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1303\source\repos\xll_ml\xlsx\"/>
    </mc:Choice>
  </mc:AlternateContent>
  <xr:revisionPtr revIDLastSave="0" documentId="13_ncr:1_{BE771E84-038D-4907-8E71-A75BF2D399AC}" xr6:coauthVersionLast="47" xr6:coauthVersionMax="47" xr10:uidLastSave="{00000000-0000-0000-0000-000000000000}"/>
  <bookViews>
    <workbookView xWindow="-120" yWindow="-120" windowWidth="29040" windowHeight="16440" activeTab="1" xr2:uid="{5E38A752-04D7-4C78-952F-E31FCF3159F7}"/>
  </bookViews>
  <sheets>
    <sheet name="Elementary" sheetId="1" r:id="rId1"/>
    <sheet name="Simulation" sheetId="4" r:id="rId2"/>
  </sheets>
  <definedNames>
    <definedName name="_M">_xlfn.ANCHORARRAY(Simulation!$H$10)</definedName>
    <definedName name="_N">_xlfn.ANCHORARRAY(Simulation!$I$10)</definedName>
    <definedName name="A">_xlfn.ANCHORARRAY(Simulation!$K$10)</definedName>
    <definedName name="ad">_xlfn.LAMBDA(_xlpm.x, _xlfn.VSTACK(_xlfn.TAKE(_xlpm.x,1), _xlfn.DROP(_xlpm.x,1) - _xlfn.DROP(_xlpm.x,-1)))</definedName>
    <definedName name="B_">_xlfn.ANCHORARRAY(Simulation!$C$10)</definedName>
    <definedName name="co">_xlfn.LAMBDA(_xlpm.x,_xlfn.LET(_xlpm.x_,_xlfn.DROP(_xlpm.x,-1),_xlfn.VSTACK(_xlpm.x_, -SUM(_xlpm.x_))))</definedName>
    <definedName name="dt">Simulation!$C$6</definedName>
    <definedName name="error">Simulation!$G$6</definedName>
    <definedName name="f">Simulation!$C$3</definedName>
    <definedName name="hedge">Simulation!$G$5</definedName>
    <definedName name="k">Simulation!$C$7</definedName>
    <definedName name="last">Simulation!$G$3</definedName>
    <definedName name="M">_xlfn.ANCHORARRAY(Simulation!$F$10)</definedName>
    <definedName name="mu">Simulation!$C$2</definedName>
    <definedName name="N">_xlfn.ANCHORARRAY(Simulation!$G$10)</definedName>
    <definedName name="payoff">Simulation!$G$4</definedName>
    <definedName name="put">Simulation!$G$2</definedName>
    <definedName name="R_">_xlfn.ANCHORARRAY(Simulation!$D$10)</definedName>
    <definedName name="S_">_xlfn.ANCHORARRAY(Simulation!$E$10)</definedName>
    <definedName name="sigma">Simulation!$C$4</definedName>
    <definedName name="t">Simulation!$C$5</definedName>
    <definedName name="t_">_xlfn.ANCHORARRAY(Simulation!$B$10)</definedName>
    <definedName name="V">_xlfn.ANCHORARRAY(Simulation!$J$10)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U7" i="4" a="1"/>
  <c r="U7" i="4" s="1"/>
  <c r="R7" i="4" a="1"/>
  <c r="R7" i="4" s="1"/>
  <c r="P3" i="4" a="1"/>
  <c r="P3" i="4" s="1"/>
  <c r="O3" i="4" a="1"/>
  <c r="O3" i="4" s="1"/>
  <c r="H4" i="1"/>
  <c r="F5" i="1"/>
  <c r="D5" i="1"/>
  <c r="D4" i="1"/>
  <c r="I2" i="4" a="1"/>
  <c r="K2" i="4" a="1"/>
  <c r="J2" i="4" a="1"/>
  <c r="G2" i="4" a="1"/>
  <c r="B10" i="4" a="1"/>
  <c r="B1" i="4" a="1"/>
  <c r="B10" i="4" l="1"/>
  <c r="B1" i="4"/>
  <c r="N21" i="4"/>
  <c r="P20" i="4"/>
  <c r="K2" i="4"/>
  <c r="J2" i="4"/>
  <c r="I2" i="4"/>
  <c r="G2" i="4"/>
  <c r="K5" i="1"/>
  <c r="E4" i="1"/>
  <c r="C10" i="4" a="1"/>
  <c r="T8" i="4" l="1"/>
  <c r="T9" i="4"/>
  <c r="T15" i="4"/>
  <c r="T10" i="4"/>
  <c r="T16" i="4"/>
  <c r="T11" i="4"/>
  <c r="T12" i="4"/>
  <c r="T13" i="4"/>
  <c r="T14" i="4"/>
  <c r="M14" i="4"/>
  <c r="C10" i="4"/>
  <c r="L2" i="4"/>
  <c r="M2" i="4" s="1"/>
  <c r="G4" i="1"/>
  <c r="E5" i="1"/>
  <c r="J5" i="1" s="1"/>
  <c r="L5" i="1" s="1"/>
  <c r="J4" i="1"/>
  <c r="M20" i="4" a="1"/>
  <c r="M21" i="4" l="1"/>
  <c r="M20" i="4"/>
  <c r="E10" i="4" a="1"/>
  <c r="D10" i="4" a="1"/>
  <c r="D10" i="4" s="1"/>
  <c r="G5" i="1" a="1"/>
  <c r="G5" i="1" s="1"/>
  <c r="I5" i="1" s="1"/>
  <c r="I4" i="1"/>
  <c r="M16" i="4" a="1"/>
  <c r="O20" i="4" a="1"/>
  <c r="M16" i="4" l="1"/>
  <c r="N14" i="4"/>
  <c r="O20" i="4"/>
  <c r="O21" i="4"/>
  <c r="E10" i="4"/>
  <c r="I10" i="4" a="1"/>
  <c r="I10" i="4" l="1"/>
  <c r="N16" i="4"/>
  <c r="L10" i="4" a="1"/>
  <c r="L10" i="4" s="1"/>
  <c r="G3" i="4" a="1"/>
  <c r="G3" i="4" s="1"/>
  <c r="G4" i="4" l="1"/>
  <c r="G10" i="4" a="1"/>
  <c r="H4" i="4" a="1"/>
  <c r="H4" i="4" l="1"/>
  <c r="I4" i="4"/>
  <c r="G10" i="4"/>
  <c r="F10" i="4" s="1" a="1"/>
  <c r="M11" i="4"/>
  <c r="F10" i="4" l="1"/>
  <c r="K10" i="4" s="1" a="1"/>
  <c r="M10" i="4"/>
  <c r="N11" i="4"/>
  <c r="H10" i="4" a="1"/>
  <c r="K10" i="4" l="1"/>
  <c r="G5" i="4" s="1" a="1"/>
  <c r="G5" i="4" s="1"/>
  <c r="G6" i="4" s="1"/>
  <c r="N10" i="4"/>
  <c r="H10" i="4"/>
  <c r="J10" i="4" s="1" a="1"/>
  <c r="J10" i="4" s="1"/>
  <c r="H6" i="4" a="1"/>
  <c r="I6" i="4" l="1"/>
  <c r="J6" i="4" s="1"/>
  <c r="H6" i="4"/>
  <c r="S7" i="4"/>
  <c r="T7" i="4" s="1"/>
  <c r="V7" i="4" s="1" a="1"/>
  <c r="V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H4" authorId="0" shapeId="0" xr:uid="{11EC72C2-EA02-4BCF-BE17-CDD3CFEC86F9}">
      <text>
        <r>
          <rPr>
            <b/>
            <sz val="11"/>
            <color indexed="81"/>
            <rFont val="Tahoma"/>
            <family val="2"/>
          </rPr>
          <t>E[max(k - F, 0)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<sst xmlns="http://schemas.openxmlformats.org/spreadsheetml/2006/main" count="48" uniqueCount="37">
  <si>
    <t>X</t>
  </si>
  <si>
    <t>t</t>
  </si>
  <si>
    <t>R</t>
  </si>
  <si>
    <t>S</t>
  </si>
  <si>
    <t>M</t>
  </si>
  <si>
    <t>N</t>
  </si>
  <si>
    <t>\M</t>
  </si>
  <si>
    <t>\N</t>
  </si>
  <si>
    <t>V</t>
  </si>
  <si>
    <t>A</t>
  </si>
  <si>
    <t>Γ</t>
  </si>
  <si>
    <t>(Δ+Γ).X</t>
  </si>
  <si>
    <t>-Γ.X</t>
  </si>
  <si>
    <t>Δ+Γ</t>
  </si>
  <si>
    <t>sigma</t>
  </si>
  <si>
    <t>mu</t>
  </si>
  <si>
    <t>f</t>
  </si>
  <si>
    <t>k</t>
  </si>
  <si>
    <t>R_</t>
  </si>
  <si>
    <t>S_</t>
  </si>
  <si>
    <t>put</t>
  </si>
  <si>
    <t>t_</t>
  </si>
  <si>
    <t>payoff</t>
  </si>
  <si>
    <t>hedge</t>
  </si>
  <si>
    <t>_M</t>
  </si>
  <si>
    <t>_N</t>
  </si>
  <si>
    <t>last</t>
  </si>
  <si>
    <t>error</t>
  </si>
  <si>
    <t>accuracy</t>
  </si>
  <si>
    <t>intrinsic</t>
  </si>
  <si>
    <t>dt</t>
    <phoneticPr fontId="13" type="noConversion"/>
  </si>
  <si>
    <t>accuracy</t>
    <phoneticPr fontId="13" type="noConversion"/>
  </si>
  <si>
    <t>error</t>
    <phoneticPr fontId="13" type="noConversion"/>
  </si>
  <si>
    <t>log(dt)</t>
    <phoneticPr fontId="13" type="noConversion"/>
  </si>
  <si>
    <t>log(accuracy)</t>
    <phoneticPr fontId="13" type="noConversion"/>
  </si>
  <si>
    <t>B_</t>
    <phoneticPr fontId="13" type="noConversion"/>
  </si>
  <si>
    <t xml:space="preserve"> The error (the difference between the option payoff and the hedge portfolio) is proportional to dt^1/2. Theoretically, smaller dt makes the hedging smooth and will generally result in a higher accuracy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</si>
</sst>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76" formatCode="&quot;0x&quot;#"/>
    <numFmt numFmtId="177" formatCode="0.0000"/>
    <numFmt numFmtId="178" formatCode="0.000"/>
    <numFmt numFmtId="179" formatCode="0.0%"/>
    <numFmt numFmtId="180" formatCode="_(* #,##0_);_(* \(#,##0\);_(* &quot;-&quot;??_);_(@_)"/>
  </numFmts>
  <fonts count="14">
    <font>
      <sz val="14"/>
      <color theme="1"/>
      <name val="等线"/>
      <family val="2"/>
      <scheme val="minor"/>
    </font>
    <font>
      <sz val="14"/>
      <color theme="1"/>
      <name val="Aptos Narrow"/>
      <family val="2"/>
    </font>
    <font>
      <b/>
      <sz val="14"/>
      <color theme="0"/>
      <name val="等线"/>
      <family val="2"/>
      <scheme val="minor"/>
    </font>
    <font>
      <sz val="8"/>
      <color indexed="63"/>
      <name val="等线"/>
      <family val="2"/>
      <scheme val="minor"/>
    </font>
    <font>
      <b/>
      <sz val="11"/>
      <color indexed="81"/>
      <name val="Tahoma"/>
      <family val="2"/>
    </font>
    <font>
      <sz val="14"/>
      <color theme="0" tint="-0.34998626667073579"/>
      <name val="等线"/>
      <family val="2"/>
      <scheme val="minor"/>
    </font>
    <font>
      <sz val="14"/>
      <color theme="1"/>
      <name val="等线"/>
      <family val="2"/>
      <scheme val="minor"/>
    </font>
    <font>
      <b/>
      <sz val="14"/>
      <color rgb="FF3F3F3F"/>
      <name val="等线"/>
      <family val="2"/>
      <scheme val="minor"/>
    </font>
    <font>
      <sz val="14"/>
      <color rgb="FF3F3F76"/>
      <name val="等线"/>
      <family val="2"/>
      <scheme val="minor"/>
    </font>
    <font>
      <b/>
      <sz val="14"/>
      <color rgb="FFFA7D00"/>
      <name val="等线"/>
      <family val="2"/>
      <scheme val="minor"/>
    </font>
    <font>
      <b/>
      <sz val="14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4"/>
      <color theme="0" tint="-0.499984740745262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2" fillId="2" borderId="2" applyNumberFormat="0" applyAlignment="0" applyProtection="0"/>
    <xf numFmtId="176" fontId="3" fillId="0" borderId="0">
      <alignment horizontal="center" vertical="center"/>
    </xf>
    <xf numFmtId="9" fontId="6" fillId="0" borderId="0" applyFont="0" applyFill="0" applyBorder="0" applyAlignment="0" applyProtection="0"/>
    <xf numFmtId="0" fontId="7" fillId="3" borderId="3" applyNumberFormat="0" applyAlignment="0" applyProtection="0"/>
    <xf numFmtId="43" fontId="6" fillId="0" borderId="0" applyFont="0" applyFill="0" applyBorder="0" applyAlignment="0" applyProtection="0"/>
    <xf numFmtId="0" fontId="8" fillId="4" borderId="4" applyNumberFormat="0" applyAlignment="0" applyProtection="0"/>
    <xf numFmtId="0" fontId="9" fillId="3" borderId="4" applyNumberFormat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2" borderId="2" xfId="1"/>
    <xf numFmtId="0" fontId="5" fillId="0" borderId="0" xfId="0" applyFont="1"/>
    <xf numFmtId="177" fontId="0" fillId="0" borderId="0" xfId="0" applyNumberFormat="1"/>
    <xf numFmtId="177" fontId="5" fillId="0" borderId="0" xfId="0" applyNumberFormat="1" applyFont="1"/>
    <xf numFmtId="0" fontId="5" fillId="0" borderId="0" xfId="0" applyFont="1" applyAlignment="1">
      <alignment horizontal="right"/>
    </xf>
    <xf numFmtId="178" fontId="0" fillId="0" borderId="0" xfId="0" applyNumberFormat="1"/>
    <xf numFmtId="2" fontId="0" fillId="0" borderId="0" xfId="0" applyNumberFormat="1"/>
    <xf numFmtId="177" fontId="7" fillId="3" borderId="3" xfId="4" applyNumberFormat="1"/>
    <xf numFmtId="0" fontId="0" fillId="0" borderId="0" xfId="0" applyAlignment="1">
      <alignment horizontal="center"/>
    </xf>
    <xf numFmtId="0" fontId="10" fillId="0" borderId="0" xfId="0" applyFont="1"/>
    <xf numFmtId="179" fontId="0" fillId="0" borderId="0" xfId="3" applyNumberFormat="1" applyFont="1" applyAlignment="1">
      <alignment horizontal="center"/>
    </xf>
    <xf numFmtId="180" fontId="11" fillId="0" borderId="0" xfId="5" applyNumberFormat="1" applyFont="1"/>
    <xf numFmtId="0" fontId="8" fillId="4" borderId="4" xfId="6"/>
    <xf numFmtId="0" fontId="9" fillId="3" borderId="4" xfId="7"/>
    <xf numFmtId="0" fontId="12" fillId="0" borderId="0" xfId="0" applyFon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8">
    <cellStyle name="Calculation" xfId="7" builtinId="22"/>
    <cellStyle name="Check Cell" xfId="1" builtinId="23"/>
    <cellStyle name="Comma" xfId="5" builtinId="3"/>
    <cellStyle name="Handle" xfId="2" xr:uid="{FF7A162F-DF08-42FE-AEB2-120BB5405C33}"/>
    <cellStyle name="Input" xfId="6" builtinId="20"/>
    <cellStyle name="Normal" xfId="0" builtinId="0"/>
    <cellStyle name="Output" xfId="4" builtinId="21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delta</a:t>
            </a:r>
            <a:r>
              <a:rPr lang="en-US" altLang="zh-CN" baseline="0"/>
              <a:t> gamma hedge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Simulation!$U$7:$U$16</c:f>
              <c:numCache>
                <c:formatCode>General</c:formatCode>
                <c:ptCount val="10"/>
                <c:pt idx="0">
                  <c:v>-3</c:v>
                </c:pt>
                <c:pt idx="1">
                  <c:v>-2.6989700043360187</c:v>
                </c:pt>
                <c:pt idx="2">
                  <c:v>-2.5228787452803374</c:v>
                </c:pt>
                <c:pt idx="3">
                  <c:v>-2.3979400086720375</c:v>
                </c:pt>
                <c:pt idx="4">
                  <c:v>-2.3010299956639813</c:v>
                </c:pt>
                <c:pt idx="5">
                  <c:v>-2.2218487496163561</c:v>
                </c:pt>
                <c:pt idx="6">
                  <c:v>-2.1549019599857431</c:v>
                </c:pt>
                <c:pt idx="7">
                  <c:v>-2.0969100130080562</c:v>
                </c:pt>
                <c:pt idx="8">
                  <c:v>-2.0457574905606752</c:v>
                </c:pt>
                <c:pt idx="9">
                  <c:v>-2</c:v>
                </c:pt>
              </c:numCache>
            </c:numRef>
          </c:xVal>
          <c:yVal>
            <c:numRef>
              <c:f>Simulation!$V$7:$V$16</c:f>
              <c:numCache>
                <c:formatCode>General</c:formatCode>
                <c:ptCount val="10"/>
                <c:pt idx="0">
                  <c:v>-9.9097385035831695E-3</c:v>
                </c:pt>
                <c:pt idx="1">
                  <c:v>-4.2768326065587836E-2</c:v>
                </c:pt>
                <c:pt idx="2">
                  <c:v>-0.11305076032174766</c:v>
                </c:pt>
                <c:pt idx="3">
                  <c:v>-3.0394276860975747E-2</c:v>
                </c:pt>
                <c:pt idx="4">
                  <c:v>-7.87711048582284E-2</c:v>
                </c:pt>
                <c:pt idx="5">
                  <c:v>-5.5917846408802353E-2</c:v>
                </c:pt>
                <c:pt idx="6">
                  <c:v>-1.2000143048773167E-2</c:v>
                </c:pt>
                <c:pt idx="7">
                  <c:v>-3.4769920560757922E-2</c:v>
                </c:pt>
                <c:pt idx="8">
                  <c:v>-0.26924446234461996</c:v>
                </c:pt>
                <c:pt idx="9">
                  <c:v>-0.29764221064580032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E5-4E64-AE02-CA14A562E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1957119"/>
        <c:axId val="1801962399"/>
      </c:scatterChart>
      <c:valAx>
        <c:axId val="180195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1962399"/>
        <c:crosses val="autoZero"/>
        <c:crossBetween val="midCat"/>
      </c:valAx>
      <c:valAx>
        <c:axId val="180196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1957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814387</xdr:colOff>
      <xdr:row>17</xdr:row>
      <xdr:rowOff>76200</xdr:rowOff>
    </xdr:from>
    <xdr:to>
      <xdr:col>22</xdr:col>
      <xdr:colOff>733425</xdr:colOff>
      <xdr:row>29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A4A29DA-F782-880C-81E9-AEA0F4C2DF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3CCDB-807E-4762-83AC-A616811C3245}">
  <dimension ref="B2:L6"/>
  <sheetViews>
    <sheetView workbookViewId="0">
      <selection activeCell="F21" sqref="F21"/>
    </sheetView>
  </sheetViews>
  <sheetFormatPr defaultRowHeight="18"/>
  <cols>
    <col min="1" max="1" width="3.59765625" customWidth="1"/>
  </cols>
  <sheetData>
    <row r="2" spans="2:12" ht="18.75">
      <c r="C2" s="22" t="s">
        <v>0</v>
      </c>
      <c r="D2" s="22"/>
      <c r="E2" s="23" t="s">
        <v>10</v>
      </c>
      <c r="F2" s="23"/>
      <c r="G2" s="23" t="s">
        <v>13</v>
      </c>
      <c r="H2" s="23"/>
      <c r="I2" s="1" t="s">
        <v>11</v>
      </c>
      <c r="J2" s="2" t="s">
        <v>12</v>
      </c>
    </row>
    <row r="3" spans="2:12"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</row>
    <row r="4" spans="2:12" ht="18.75" thickBot="1">
      <c r="B4">
        <v>0</v>
      </c>
      <c r="C4">
        <v>1</v>
      </c>
      <c r="D4">
        <f ca="1">RAND()</f>
        <v>0.86850426605056508</v>
      </c>
      <c r="E4">
        <f ca="1">-F4*D4</f>
        <v>-2.605512798151695</v>
      </c>
      <c r="F4" s="17">
        <v>3</v>
      </c>
      <c r="G4">
        <f ca="1">E4</f>
        <v>-2.605512798151695</v>
      </c>
      <c r="H4">
        <f>F4</f>
        <v>3</v>
      </c>
      <c r="I4">
        <f ca="1">SUMPRODUCT(G4:H4,C4:D4)</f>
        <v>0</v>
      </c>
      <c r="J4">
        <f ca="1">-SUMPRODUCT(E4:F4,C4:D4)</f>
        <v>0</v>
      </c>
    </row>
    <row r="5" spans="2:12" ht="19.5" thickTop="1" thickBot="1">
      <c r="B5">
        <v>1</v>
      </c>
      <c r="C5">
        <v>1</v>
      </c>
      <c r="D5">
        <f ca="1">RAND()</f>
        <v>0.91818763884220544</v>
      </c>
      <c r="E5">
        <f ca="1">-E4</f>
        <v>2.605512798151695</v>
      </c>
      <c r="F5" s="18">
        <f>-F4</f>
        <v>-3</v>
      </c>
      <c r="G5" cm="1">
        <f t="array" aca="1" ref="G5:H5" ca="1">G4:H4+E5:F5</f>
        <v>0</v>
      </c>
      <c r="H5">
        <f ca="1"/>
        <v>0</v>
      </c>
      <c r="I5">
        <f ca="1">SUMPRODUCT(G5:H5,C5:D5)</f>
        <v>0</v>
      </c>
      <c r="J5">
        <f ca="1">-SUMPRODUCT(E5:F5,C5:D5)</f>
        <v>0.14905011837492133</v>
      </c>
      <c r="K5">
        <f ca="1">F4*(D5-D4)</f>
        <v>0.1490501183749211</v>
      </c>
      <c r="L5" s="5">
        <f ca="1">J5-K5</f>
        <v>2.2204460492503131E-16</v>
      </c>
    </row>
    <row r="6" spans="2:12" ht="18.75" thickTop="1"/>
  </sheetData>
  <mergeCells count="3">
    <mergeCell ref="C2:D2"/>
    <mergeCell ref="E2:F2"/>
    <mergeCell ref="G2:H2"/>
  </mergeCells>
  <phoneticPr fontId="1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952DD-292F-41DF-A786-89DEB5029ACA}">
  <dimension ref="B1:V1260"/>
  <sheetViews>
    <sheetView tabSelected="1" topLeftCell="E1" workbookViewId="0">
      <selection activeCell="R5" sqref="R5"/>
    </sheetView>
  </sheetViews>
  <sheetFormatPr defaultRowHeight="18"/>
  <cols>
    <col min="1" max="1" width="3.59765625" customWidth="1"/>
    <col min="2" max="2" width="9.8984375" bestFit="1" customWidth="1"/>
    <col min="7" max="7" width="11.69921875" bestFit="1" customWidth="1"/>
    <col min="10" max="10" width="10.19921875" bestFit="1" customWidth="1"/>
    <col min="13" max="13" width="11.69921875" bestFit="1" customWidth="1"/>
  </cols>
  <sheetData>
    <row r="1" spans="2:22">
      <c r="B1" s="16" cm="1">
        <f t="array" aca="1" ref="B1" ca="1">_xll.MONTE.COUNT()</f>
        <v>0</v>
      </c>
    </row>
    <row r="2" spans="2:22">
      <c r="B2" s="3" t="s">
        <v>15</v>
      </c>
      <c r="C2">
        <v>0</v>
      </c>
      <c r="F2" s="3" t="s">
        <v>20</v>
      </c>
      <c r="G2" s="7" cm="1">
        <f t="array" ref="G2">_xll.OPTION.BLACK.PUT(f, sigma*SQRT(t), k)</f>
        <v>3.987761167674492</v>
      </c>
      <c r="I2" s="8" cm="1">
        <f t="array" ref="I2">_xll.OPTION.BLACK.PUT_DELTA(f, sigma*SQRT(t), k)</f>
        <v>-0.48006119416162751</v>
      </c>
      <c r="J2" s="8" cm="1">
        <f t="array" ref="J2">_xll.OPTION.BLACK.PUT(f+0.01, sigma*SQRT(t), k)</f>
        <v>3.9829625478526722</v>
      </c>
      <c r="K2" s="8" cm="1">
        <f t="array" ref="K2">_xll.OPTION.BLACK.PUT(f-0.01, sigma*SQRT(t), k)</f>
        <v>3.9925637719351386</v>
      </c>
      <c r="L2" s="8">
        <f>(J2-K2)/0.02</f>
        <v>-0.48006120412331654</v>
      </c>
      <c r="M2" s="9">
        <f>I2-L2</f>
        <v>9.9616890292253402E-9</v>
      </c>
    </row>
    <row r="3" spans="2:22">
      <c r="B3" s="3" t="s">
        <v>16</v>
      </c>
      <c r="C3">
        <v>100</v>
      </c>
      <c r="F3" s="3" t="s">
        <v>26</v>
      </c>
      <c r="G3" s="7" cm="1">
        <f t="array" aca="1" ref="G3" ca="1">_xlfn.TAKE(S_,-1)</f>
        <v>96.730157773024843</v>
      </c>
      <c r="N3" s="6">
        <v>1</v>
      </c>
      <c r="O3" s="6" cm="1">
        <f t="array" ref="O3:O5">ad(N3:N5)</f>
        <v>1</v>
      </c>
      <c r="P3" s="6" cm="1">
        <f t="array" ref="P3:P5">_xlfn.SCAN(0,_xlfn.ANCHORARRAY(O3),_xlfn.LAMBDA(_xlpm.a,_xlpm.b,_xlpm.a+_xlpm.b))</f>
        <v>1</v>
      </c>
    </row>
    <row r="4" spans="2:22">
      <c r="B4" s="3" t="s">
        <v>14</v>
      </c>
      <c r="C4">
        <v>0.2</v>
      </c>
      <c r="F4" s="3" t="s">
        <v>22</v>
      </c>
      <c r="G4" s="10">
        <f ca="1">MAX(k - last,0)</f>
        <v>3.2698422269751575</v>
      </c>
      <c r="H4" s="10">
        <f t="array" aca="1" ref="H4:I4" ca="1">_xll.MONTE.STDEV(G4)</f>
        <v>3.9809247744181899</v>
      </c>
      <c r="I4" s="10">
        <f ca="1"/>
        <v>5.4664008231117904</v>
      </c>
      <c r="M4">
        <v>1E-3</v>
      </c>
      <c r="N4" s="6">
        <v>2</v>
      </c>
      <c r="O4" s="6">
        <v>1</v>
      </c>
      <c r="P4" s="6">
        <v>2</v>
      </c>
    </row>
    <row r="5" spans="2:22">
      <c r="B5" s="3" t="s">
        <v>1</v>
      </c>
      <c r="C5">
        <v>0.25</v>
      </c>
      <c r="F5" s="3" t="s">
        <v>23</v>
      </c>
      <c r="G5" s="10" cm="1">
        <f t="array" aca="1" ref="G5" ca="1">_xlfn.TAKE(A,-1)</f>
        <v>3.359804739382497</v>
      </c>
      <c r="H5" s="10"/>
      <c r="I5" s="10"/>
      <c r="M5">
        <v>0.01</v>
      </c>
      <c r="N5" s="6">
        <v>3</v>
      </c>
      <c r="O5" s="6">
        <v>1</v>
      </c>
      <c r="P5" s="6">
        <v>3</v>
      </c>
      <c r="R5" t="s">
        <v>36</v>
      </c>
    </row>
    <row r="6" spans="2:22">
      <c r="B6" s="3" t="s">
        <v>30</v>
      </c>
      <c r="C6">
        <f>1/5000</f>
        <v>2.0000000000000001E-4</v>
      </c>
      <c r="F6" s="3" t="s">
        <v>27</v>
      </c>
      <c r="G6" s="10">
        <f ca="1">payoff-hedge</f>
        <v>-8.9962512407339545E-2</v>
      </c>
      <c r="H6" s="7" t="e">
        <f t="array" aca="1" ref="H6:I6" ca="1">_xll.MONTE.STDEV(error)</f>
        <v>#VALUE!</v>
      </c>
      <c r="I6" s="12" t="e">
        <f ca="1"/>
        <v>#VALUE!</v>
      </c>
      <c r="J6" s="15" t="e">
        <f ca="1">I6/put</f>
        <v>#VALUE!</v>
      </c>
      <c r="K6" s="14" t="s">
        <v>28</v>
      </c>
      <c r="M6">
        <v>0.1</v>
      </c>
      <c r="R6" t="s">
        <v>30</v>
      </c>
      <c r="S6" t="s">
        <v>32</v>
      </c>
      <c r="T6" t="s">
        <v>31</v>
      </c>
      <c r="U6" t="s">
        <v>33</v>
      </c>
      <c r="V6" t="s">
        <v>34</v>
      </c>
    </row>
    <row r="7" spans="2:22">
      <c r="B7" s="3" t="s">
        <v>17</v>
      </c>
      <c r="C7">
        <v>100</v>
      </c>
      <c r="R7" cm="1">
        <f t="array" ref="R7:R16">_xlfn.SEQUENCE(10, 1, 0.001, 0.001)</f>
        <v>1E-3</v>
      </c>
      <c r="S7">
        <f ca="1">error</f>
        <v>-8.9962512407339545E-2</v>
      </c>
      <c r="T7">
        <f t="shared" ref="T7:T16" ca="1" si="0">1-ABS(S7)/put</f>
        <v>0.97744034594233176</v>
      </c>
      <c r="U7" cm="1">
        <f t="array" ref="U7:U16">LOG(_xlfn.ANCHORARRAY(R7))</f>
        <v>-3</v>
      </c>
      <c r="V7" cm="1">
        <f t="array" aca="1" ref="V7:V16" ca="1">LOG(T7:T16)</f>
        <v>-9.9097385035831695E-3</v>
      </c>
    </row>
    <row r="8" spans="2:22" ht="18.75">
      <c r="D8" s="20" t="s">
        <v>0</v>
      </c>
      <c r="E8" s="20"/>
      <c r="F8" s="21" t="s">
        <v>10</v>
      </c>
      <c r="G8" s="21"/>
      <c r="H8" s="21" t="s">
        <v>13</v>
      </c>
      <c r="I8" s="21"/>
      <c r="J8" s="1" t="s">
        <v>11</v>
      </c>
      <c r="K8" s="2" t="s">
        <v>12</v>
      </c>
      <c r="R8">
        <v>2E-3</v>
      </c>
      <c r="S8">
        <f t="dataTable" ref="S8:S16" dt2D="0" dtr="0" r1="C6" ca="1"/>
        <v>0.37398862444520792</v>
      </c>
      <c r="T8">
        <f t="shared" si="0"/>
        <v>0.90621589189522511</v>
      </c>
      <c r="U8">
        <v>-2.6989700043360187</v>
      </c>
      <c r="V8">
        <f ca="1"/>
        <v>-4.2768326065587836E-2</v>
      </c>
    </row>
    <row r="9" spans="2:22">
      <c r="B9" s="4" t="s">
        <v>21</v>
      </c>
      <c r="C9" s="4" t="s">
        <v>35</v>
      </c>
      <c r="D9" s="4" t="s">
        <v>18</v>
      </c>
      <c r="E9" s="4" t="s">
        <v>19</v>
      </c>
      <c r="F9" s="4" t="s">
        <v>4</v>
      </c>
      <c r="G9" s="4" t="s">
        <v>5</v>
      </c>
      <c r="H9" s="4" t="s">
        <v>24</v>
      </c>
      <c r="I9" s="4" t="s">
        <v>25</v>
      </c>
      <c r="J9" s="4" t="s">
        <v>8</v>
      </c>
      <c r="K9" s="4" t="s">
        <v>9</v>
      </c>
      <c r="L9" s="13" t="s">
        <v>29</v>
      </c>
      <c r="R9">
        <v>3.0000000000000001E-3</v>
      </c>
      <c r="S9">
        <v>0.91394153862604988</v>
      </c>
      <c r="T9">
        <f t="shared" si="0"/>
        <v>0.77081337116309168</v>
      </c>
      <c r="U9">
        <v>-2.5228787452803374</v>
      </c>
      <c r="V9">
        <f ca="1"/>
        <v>-0.11305076032174766</v>
      </c>
    </row>
    <row r="10" spans="2:22">
      <c r="B10" cm="1">
        <f t="array" ref="B10:B1260">_xll.ARRAY.SEQUENCE(0, t, dt)</f>
        <v>0</v>
      </c>
      <c r="C10" cm="1">
        <f t="array" aca="1" ref="C10:C1260" ca="1">_xll.RANDOM.BROWNIAN(t_)</f>
        <v>0</v>
      </c>
      <c r="D10" cm="1">
        <f t="array" aca="1" ref="D10:D1260" ca="1">1+0*B_</f>
        <v>1</v>
      </c>
      <c r="E10" cm="1">
        <f t="array" aca="1" ref="E10:E1260" ca="1">f*EXP(sigma*B_+(mu-sigma*sigma/2)*t_)</f>
        <v>100</v>
      </c>
      <c r="F10" s="10" cm="1">
        <f t="array" aca="1" ref="F10:F1260" ca="1">co(put*(t_ = 0) - N*S_/R_)</f>
        <v>51.993880583837246</v>
      </c>
      <c r="G10" s="7" cm="1">
        <f t="array" aca="1" ref="G10:G1260" ca="1">co(ad(_N))</f>
        <v>-0.48006119416162751</v>
      </c>
      <c r="H10" s="10" cm="1">
        <f t="array" aca="1" ref="H10:H1260" ca="1">_xlfn.SCAN(0,M,_xlfn.LAMBDA(_xlpm.a,_xlpm.b,_xlpm.a+_xlpm.b))</f>
        <v>51.993880583837246</v>
      </c>
      <c r="I10" s="7" cm="1">
        <f t="array" aca="1" ref="I10:I1260" ca="1">_xlfn.VSTACK(_xlfn.DROP(_xlfn.MAP(t_,S_,_xlfn.LAMBDA(_xlpm._t,_xlpm._S,_xll.OPTION.BLACK.PUT_DELTA(_xlpm._S,sigma*SQRT(t - _xlpm._t),k))),-1),0)</f>
        <v>-0.48006119416162751</v>
      </c>
      <c r="J10" s="7" cm="1">
        <f t="array" aca="1" ref="J10:J1260" ca="1">_M * R_ + _N * S_</f>
        <v>3.987761167674492</v>
      </c>
      <c r="K10" cm="1">
        <f t="array" aca="1" ref="K10:K1260" ca="1">-M * R_ - N * S_</f>
        <v>-3.987761167674492</v>
      </c>
      <c r="L10" cm="1">
        <f t="array" aca="1" ref="L10:L1260" ca="1">_xlfn.MAP(S_,_xlfn.LAMBDA(_xlpm.s,MAX(k-_xlpm.s,0)))</f>
        <v>0</v>
      </c>
      <c r="M10" s="19">
        <f ca="1">put - G10*E10</f>
        <v>51.993880583837246</v>
      </c>
      <c r="N10" s="19">
        <f ca="1">F10-M10</f>
        <v>0</v>
      </c>
      <c r="R10" s="3">
        <v>4.0000000000000001E-3</v>
      </c>
      <c r="S10">
        <v>-0.26954304685159847</v>
      </c>
      <c r="T10">
        <f t="shared" si="0"/>
        <v>0.93240742473833116</v>
      </c>
      <c r="U10">
        <v>-2.3979400086720375</v>
      </c>
      <c r="V10">
        <f ca="1"/>
        <v>-3.0394276860975747E-2</v>
      </c>
    </row>
    <row r="11" spans="2:22">
      <c r="B11">
        <v>2.0000000000000001E-4</v>
      </c>
      <c r="C11">
        <f ca="1"/>
        <v>5.1926788154892317E-3</v>
      </c>
      <c r="D11">
        <f ca="1"/>
        <v>1</v>
      </c>
      <c r="E11" s="11">
        <f ca="1"/>
        <v>100.10350710798059</v>
      </c>
      <c r="F11" s="10">
        <f ca="1"/>
        <v>-0.41188472022519751</v>
      </c>
      <c r="G11" s="7">
        <f ca="1"/>
        <v>4.1145883108860692E-3</v>
      </c>
      <c r="H11" s="10">
        <f ca="1"/>
        <v>51.58199586361205</v>
      </c>
      <c r="I11" s="7">
        <f ca="1"/>
        <v>-0.47594660585074144</v>
      </c>
      <c r="J11" s="7">
        <f ca="1"/>
        <v>3.9380714218131203</v>
      </c>
      <c r="K11">
        <f ca="1"/>
        <v>0</v>
      </c>
      <c r="L11">
        <f ca="1"/>
        <v>0</v>
      </c>
      <c r="M11" s="19">
        <f ca="1" xml:space="preserve"> - G11*E11</f>
        <v>-0.41188472022519751</v>
      </c>
      <c r="N11" s="19">
        <f ca="1">F11-M11</f>
        <v>0</v>
      </c>
      <c r="R11">
        <v>5.0000000000000001E-3</v>
      </c>
      <c r="S11">
        <v>-0.66148706076771902</v>
      </c>
      <c r="T11">
        <f t="shared" si="0"/>
        <v>0.83412069255053389</v>
      </c>
      <c r="U11">
        <v>-2.3010299956639813</v>
      </c>
      <c r="V11">
        <f ca="1"/>
        <v>-7.87711048582284E-2</v>
      </c>
    </row>
    <row r="12" spans="2:22">
      <c r="B12">
        <v>4.0000000000000002E-4</v>
      </c>
      <c r="C12">
        <f ca="1"/>
        <v>2.7589588888215257E-3</v>
      </c>
      <c r="D12">
        <f ca="1"/>
        <v>1</v>
      </c>
      <c r="E12" s="11">
        <f ca="1"/>
        <v>100.05439396593174</v>
      </c>
      <c r="F12" s="10">
        <f ca="1"/>
        <v>0.19634603301766629</v>
      </c>
      <c r="G12" s="7">
        <f ca="1"/>
        <v>-1.9623929068474655E-3</v>
      </c>
      <c r="H12" s="10">
        <f ca="1"/>
        <v>51.778341896629719</v>
      </c>
      <c r="I12" s="7">
        <f ca="1"/>
        <v>-0.47790899875758891</v>
      </c>
      <c r="J12" s="7">
        <f ca="1"/>
        <v>3.9614466550739351</v>
      </c>
      <c r="K12">
        <f ca="1"/>
        <v>0</v>
      </c>
      <c r="L12">
        <f ca="1"/>
        <v>0</v>
      </c>
      <c r="R12">
        <v>6.0000000000000001E-3</v>
      </c>
      <c r="S12">
        <v>0.48176615849925497</v>
      </c>
      <c r="T12">
        <f t="shared" si="0"/>
        <v>0.87918881341125998</v>
      </c>
      <c r="U12">
        <v>-2.2218487496163561</v>
      </c>
      <c r="V12">
        <f ca="1"/>
        <v>-5.5917846408802353E-2</v>
      </c>
    </row>
    <row r="13" spans="2:22">
      <c r="B13">
        <v>6.0000000000000006E-4</v>
      </c>
      <c r="C13">
        <f ca="1"/>
        <v>1.181140648116199E-2</v>
      </c>
      <c r="D13">
        <f ca="1"/>
        <v>1</v>
      </c>
      <c r="E13" s="11">
        <f ca="1"/>
        <v>100.23530453723461</v>
      </c>
      <c r="F13" s="10">
        <f ca="1"/>
        <v>-0.72102772687495287</v>
      </c>
      <c r="G13" s="7">
        <f ca="1"/>
        <v>7.1933509874967383E-3</v>
      </c>
      <c r="H13" s="10">
        <f ca="1"/>
        <v>51.057314169754768</v>
      </c>
      <c r="I13" s="7">
        <f ca="1"/>
        <v>-0.47071564777009217</v>
      </c>
      <c r="J13" s="7">
        <f ca="1"/>
        <v>3.8749878650779195</v>
      </c>
      <c r="K13">
        <f ca="1"/>
        <v>0</v>
      </c>
      <c r="L13">
        <f ca="1"/>
        <v>0</v>
      </c>
      <c r="R13">
        <v>7.0000000000000001E-3</v>
      </c>
      <c r="S13">
        <v>-0.10867884043354081</v>
      </c>
      <c r="T13">
        <f t="shared" si="0"/>
        <v>0.9727469033716184</v>
      </c>
      <c r="U13">
        <v>-2.1549019599857431</v>
      </c>
      <c r="V13">
        <f ca="1"/>
        <v>-1.2000143048773167E-2</v>
      </c>
    </row>
    <row r="14" spans="2:22">
      <c r="B14">
        <v>8.0000000000000004E-4</v>
      </c>
      <c r="C14">
        <f ca="1"/>
        <v>1.3628039100609234E-3</v>
      </c>
      <c r="D14">
        <f ca="1"/>
        <v>1</v>
      </c>
      <c r="E14" s="11">
        <f ca="1"/>
        <v>100.02565936965443</v>
      </c>
      <c r="F14" s="10">
        <f ca="1"/>
        <v>0.83557633380157881</v>
      </c>
      <c r="G14" s="7">
        <f ca="1"/>
        <v>-8.3536198518184834E-3</v>
      </c>
      <c r="H14" s="10">
        <f ca="1"/>
        <v>51.892890503556345</v>
      </c>
      <c r="I14" s="7">
        <f ca="1"/>
        <v>-0.47906926762191065</v>
      </c>
      <c r="J14" s="7">
        <f ca="1"/>
        <v>3.9736711259372868</v>
      </c>
      <c r="K14">
        <f ca="1"/>
        <v>0</v>
      </c>
      <c r="L14">
        <f ca="1"/>
        <v>0</v>
      </c>
      <c r="M14" s="19">
        <f ca="1">f*EXP(sigma*C14-sigma^2*B14/2)</f>
        <v>100.02565936965443</v>
      </c>
      <c r="N14" s="19">
        <f ca="1">E14-M14</f>
        <v>0</v>
      </c>
      <c r="R14">
        <v>8.0000000000000002E-3</v>
      </c>
      <c r="S14">
        <v>0.30681709122144696</v>
      </c>
      <c r="T14">
        <f t="shared" si="0"/>
        <v>0.92306031421626722</v>
      </c>
      <c r="U14">
        <v>-2.0969100130080562</v>
      </c>
      <c r="V14">
        <f ca="1"/>
        <v>-3.4769920560757922E-2</v>
      </c>
    </row>
    <row r="15" spans="2:22">
      <c r="B15">
        <v>1E-3</v>
      </c>
      <c r="C15">
        <f ca="1"/>
        <v>-1.2629171208090517E-2</v>
      </c>
      <c r="D15">
        <f ca="1"/>
        <v>1</v>
      </c>
      <c r="E15" s="11">
        <f ca="1"/>
        <v>99.745740364608352</v>
      </c>
      <c r="F15" s="10">
        <f ca="1"/>
        <v>1.1172819990246869</v>
      </c>
      <c r="G15" s="7">
        <f ca="1"/>
        <v>-1.1201300375741352E-2</v>
      </c>
      <c r="H15" s="10">
        <f ca="1"/>
        <v>53.010172502581028</v>
      </c>
      <c r="I15" s="7">
        <f ca="1"/>
        <v>-0.49027056799765201</v>
      </c>
      <c r="J15" s="7">
        <f ca="1"/>
        <v>4.1077717186781655</v>
      </c>
      <c r="K15">
        <f ca="1"/>
        <v>0</v>
      </c>
      <c r="L15">
        <f ca="1"/>
        <v>0.25425963539164798</v>
      </c>
      <c r="R15">
        <v>9.0000000000000011E-3</v>
      </c>
      <c r="S15">
        <v>-1.8424777412213089</v>
      </c>
      <c r="T15">
        <f t="shared" si="0"/>
        <v>0.53796687821809286</v>
      </c>
      <c r="U15">
        <v>-2.0457574905606752</v>
      </c>
      <c r="V15">
        <f ca="1"/>
        <v>-0.26924446234461996</v>
      </c>
    </row>
    <row r="16" spans="2:22">
      <c r="B16">
        <v>1.2000000000000001E-3</v>
      </c>
      <c r="C16">
        <f ca="1"/>
        <v>-8.2854748484574182E-3</v>
      </c>
      <c r="D16">
        <f ca="1"/>
        <v>1</v>
      </c>
      <c r="E16" s="11">
        <f ca="1"/>
        <v>99.832031727897146</v>
      </c>
      <c r="F16" s="10">
        <f ca="1"/>
        <v>-0.34388176445881891</v>
      </c>
      <c r="G16" s="7">
        <f ca="1"/>
        <v>3.4446034855436514E-3</v>
      </c>
      <c r="H16" s="10">
        <f ca="1"/>
        <v>52.666290738122207</v>
      </c>
      <c r="I16" s="7">
        <f ca="1"/>
        <v>-0.48682596451210836</v>
      </c>
      <c r="J16" s="7">
        <f ca="1"/>
        <v>4.0654656029852774</v>
      </c>
      <c r="K16">
        <f ca="1"/>
        <v>0</v>
      </c>
      <c r="L16">
        <f ca="1"/>
        <v>0.16796827210285414</v>
      </c>
      <c r="M16" s="19" cm="1">
        <f t="array" aca="1" ref="M16" ca="1">_xll.OPTION.BLACK.PUT_DELTA(E16,sigma*SQRT(t - B16),k)</f>
        <v>-0.48682596451210836</v>
      </c>
      <c r="N16" s="19">
        <f ca="1">I16-M16</f>
        <v>0</v>
      </c>
      <c r="R16">
        <v>1.0000000000000002E-2</v>
      </c>
      <c r="S16">
        <v>1.9782661705682827</v>
      </c>
      <c r="T16">
        <f t="shared" si="0"/>
        <v>0.50391558386082314</v>
      </c>
      <c r="U16">
        <v>-2</v>
      </c>
      <c r="V16">
        <f ca="1"/>
        <v>-0.29764221064580032</v>
      </c>
    </row>
    <row r="17" spans="2:16">
      <c r="B17">
        <v>1.4E-3</v>
      </c>
      <c r="C17">
        <f ca="1"/>
        <v>-1.0118444959254833E-2</v>
      </c>
      <c r="D17">
        <f ca="1"/>
        <v>1</v>
      </c>
      <c r="E17" s="11">
        <f ca="1"/>
        <v>99.795041428334059</v>
      </c>
      <c r="F17" s="10">
        <f ca="1"/>
        <v>0.1489532056836147</v>
      </c>
      <c r="G17" s="7">
        <f ca="1"/>
        <v>-1.492591250544073E-3</v>
      </c>
      <c r="H17" s="10">
        <f ca="1"/>
        <v>52.815243943805825</v>
      </c>
      <c r="I17" s="7">
        <f ca="1"/>
        <v>-0.48831855576265243</v>
      </c>
      <c r="J17" s="7">
        <f ca="1"/>
        <v>4.0834734412476692</v>
      </c>
      <c r="K17">
        <f ca="1"/>
        <v>0</v>
      </c>
      <c r="L17">
        <f ca="1"/>
        <v>0.20495857166594078</v>
      </c>
    </row>
    <row r="18" spans="2:16">
      <c r="B18">
        <v>1.6000000000000001E-3</v>
      </c>
      <c r="C18">
        <f ca="1"/>
        <v>-1.8604604935018934E-2</v>
      </c>
      <c r="D18">
        <f ca="1"/>
        <v>1</v>
      </c>
      <c r="E18" s="11">
        <f ca="1"/>
        <v>99.62541124196062</v>
      </c>
      <c r="F18" s="10">
        <f ca="1"/>
        <v>0.67929726192962858</v>
      </c>
      <c r="G18" s="7">
        <f ca="1"/>
        <v>-6.8185140062289595E-3</v>
      </c>
      <c r="H18" s="10">
        <f ca="1"/>
        <v>53.494541205735452</v>
      </c>
      <c r="I18" s="7">
        <f ca="1"/>
        <v>-0.49513706976888139</v>
      </c>
      <c r="J18" s="7">
        <f ca="1"/>
        <v>4.1663070088712928</v>
      </c>
      <c r="K18">
        <f ca="1"/>
        <v>0</v>
      </c>
      <c r="L18">
        <f ca="1"/>
        <v>0.37458875803937985</v>
      </c>
    </row>
    <row r="19" spans="2:16">
      <c r="B19">
        <v>1.8000000000000002E-3</v>
      </c>
      <c r="C19">
        <f ca="1"/>
        <v>4.8235652989259518E-3</v>
      </c>
      <c r="D19">
        <f ca="1"/>
        <v>1</v>
      </c>
      <c r="E19" s="11">
        <f ca="1"/>
        <v>100.09291444472936</v>
      </c>
      <c r="F19" s="10">
        <f ca="1"/>
        <v>-1.8734328567150367</v>
      </c>
      <c r="G19" s="7">
        <f ca="1"/>
        <v>1.8716937828296865E-2</v>
      </c>
      <c r="H19" s="10">
        <f ca="1"/>
        <v>51.621108349020417</v>
      </c>
      <c r="I19" s="7">
        <f ca="1"/>
        <v>-0.47642013194058452</v>
      </c>
      <c r="J19" s="7">
        <f ca="1"/>
        <v>3.9348288429448175</v>
      </c>
      <c r="K19">
        <f ca="1"/>
        <v>0</v>
      </c>
      <c r="L19">
        <f ca="1"/>
        <v>0</v>
      </c>
    </row>
    <row r="20" spans="2:16">
      <c r="B20">
        <v>2E-3</v>
      </c>
      <c r="C20">
        <f ca="1"/>
        <v>1.7613730466615546E-2</v>
      </c>
      <c r="D20">
        <f ca="1"/>
        <v>1</v>
      </c>
      <c r="E20" s="11">
        <f ca="1"/>
        <v>100.3488817900306</v>
      </c>
      <c r="F20" s="10">
        <f ca="1"/>
        <v>-1.0232476169034217</v>
      </c>
      <c r="G20" s="7">
        <f ca="1"/>
        <v>1.0196901038164619E-2</v>
      </c>
      <c r="H20" s="10">
        <f ca="1"/>
        <v>50.597860732116999</v>
      </c>
      <c r="I20" s="7">
        <f ca="1"/>
        <v>-0.46622323090241991</v>
      </c>
      <c r="J20" s="7">
        <f ca="1"/>
        <v>3.8128808465239175</v>
      </c>
      <c r="K20">
        <f ca="1"/>
        <v>0</v>
      </c>
      <c r="L20">
        <f ca="1"/>
        <v>0</v>
      </c>
      <c r="M20" s="6">
        <f t="array" aca="1" ref="M20:M21" ca="1">_xll.MONTE.STDEV(C20)</f>
        <v>3.8030772164227651E-4</v>
      </c>
      <c r="N20" s="6">
        <v>0</v>
      </c>
      <c r="O20" s="6">
        <f t="array" aca="1" ref="O20:O21" ca="1">_xll.MONTE.STDEV(E20)</f>
        <v>100.00818714859341</v>
      </c>
      <c r="P20" s="6">
        <f>f*EXP(mu*B20)</f>
        <v>100</v>
      </c>
    </row>
    <row r="21" spans="2:16">
      <c r="B21">
        <v>2.2000000000000001E-3</v>
      </c>
      <c r="C21">
        <f ca="1"/>
        <v>1.6829292810342265E-2</v>
      </c>
      <c r="D21">
        <f ca="1"/>
        <v>1</v>
      </c>
      <c r="E21" s="11">
        <f ca="1"/>
        <v>100.33273820486086</v>
      </c>
      <c r="F21" s="10">
        <f ca="1"/>
        <v>6.4694436992256674E-2</v>
      </c>
      <c r="G21" s="7">
        <f ca="1"/>
        <v>-6.4479887771190514E-4</v>
      </c>
      <c r="H21" s="10">
        <f ca="1"/>
        <v>50.662555169109254</v>
      </c>
      <c r="I21" s="7">
        <f ca="1"/>
        <v>-0.46686802978013181</v>
      </c>
      <c r="J21" s="7">
        <f ca="1"/>
        <v>3.8204073609601039</v>
      </c>
      <c r="K21">
        <f ca="1"/>
        <v>0</v>
      </c>
      <c r="L21">
        <f ca="1"/>
        <v>0</v>
      </c>
      <c r="M21" s="6">
        <f ca="1"/>
        <v>0.14246877339565153</v>
      </c>
      <c r="N21" s="6">
        <f>SQRT(B20)</f>
        <v>4.4721359549995794E-2</v>
      </c>
      <c r="O21" s="6">
        <f ca="1"/>
        <v>2.8494088040547276</v>
      </c>
      <c r="P21" s="6"/>
    </row>
    <row r="22" spans="2:16">
      <c r="B22">
        <v>2.4000000000000002E-3</v>
      </c>
      <c r="C22">
        <f ca="1"/>
        <v>1.2858210685808972E-2</v>
      </c>
      <c r="D22">
        <f ca="1"/>
        <v>1</v>
      </c>
      <c r="E22" s="11">
        <f ca="1"/>
        <v>100.25268292024201</v>
      </c>
      <c r="F22" s="10">
        <f ca="1"/>
        <v>0.3200507189625541</v>
      </c>
      <c r="G22" s="7">
        <f ca="1"/>
        <v>-3.1924404379000682E-3</v>
      </c>
      <c r="H22" s="10">
        <f ca="1"/>
        <v>50.982605888071809</v>
      </c>
      <c r="I22" s="7">
        <f ca="1"/>
        <v>-0.47006047021803188</v>
      </c>
      <c r="J22" s="7">
        <f ca="1"/>
        <v>3.8577826139636002</v>
      </c>
      <c r="K22">
        <f ca="1"/>
        <v>0</v>
      </c>
      <c r="L22">
        <f ca="1"/>
        <v>0</v>
      </c>
    </row>
    <row r="23" spans="2:16">
      <c r="B23">
        <v>2.6000000000000003E-3</v>
      </c>
      <c r="C23">
        <f ca="1"/>
        <v>1.2155461946760409E-2</v>
      </c>
      <c r="D23">
        <f ca="1"/>
        <v>1</v>
      </c>
      <c r="E23" s="11">
        <f ca="1"/>
        <v>100.23819246752952</v>
      </c>
      <c r="F23" s="10">
        <f ca="1"/>
        <v>5.8339685286679162E-2</v>
      </c>
      <c r="G23" s="7">
        <f ca="1"/>
        <v>-5.8201054758222348E-4</v>
      </c>
      <c r="H23" s="10">
        <f ca="1"/>
        <v>51.040945573358492</v>
      </c>
      <c r="I23" s="7">
        <f ca="1"/>
        <v>-0.4706424807656141</v>
      </c>
      <c r="J23" s="7">
        <f ca="1"/>
        <v>3.8645940029793096</v>
      </c>
      <c r="K23">
        <f ca="1"/>
        <v>0</v>
      </c>
      <c r="L23">
        <f ca="1"/>
        <v>0</v>
      </c>
    </row>
    <row r="24" spans="2:16">
      <c r="B24">
        <v>2.8E-3</v>
      </c>
      <c r="C24">
        <f ca="1"/>
        <v>4.5804728375003533E-3</v>
      </c>
      <c r="D24">
        <f ca="1"/>
        <v>1</v>
      </c>
      <c r="E24" s="11">
        <f ca="1"/>
        <v>100.08604645548998</v>
      </c>
      <c r="F24" s="10">
        <f ca="1"/>
        <v>0.60902158333497336</v>
      </c>
      <c r="G24" s="7">
        <f ca="1"/>
        <v>-6.0849799238080204E-3</v>
      </c>
      <c r="H24" s="10">
        <f ca="1"/>
        <v>51.649967156693464</v>
      </c>
      <c r="I24" s="7">
        <f ca="1"/>
        <v>-0.47672746068942212</v>
      </c>
      <c r="J24" s="7">
        <f ca="1"/>
        <v>3.9362003795241876</v>
      </c>
      <c r="K24">
        <f ca="1"/>
        <v>0</v>
      </c>
      <c r="L24">
        <f ca="1"/>
        <v>0</v>
      </c>
    </row>
    <row r="25" spans="2:16">
      <c r="B25">
        <v>3.0000000000000001E-3</v>
      </c>
      <c r="C25">
        <f ca="1"/>
        <v>-1.1989596773326752E-2</v>
      </c>
      <c r="D25">
        <f ca="1"/>
        <v>1</v>
      </c>
      <c r="E25" s="11">
        <f ca="1"/>
        <v>99.754509885576596</v>
      </c>
      <c r="F25" s="10">
        <f ca="1"/>
        <v>1.3278874320667142</v>
      </c>
      <c r="G25" s="7">
        <f ca="1"/>
        <v>-1.3311552867031951E-2</v>
      </c>
      <c r="H25" s="10">
        <f ca="1"/>
        <v>52.977854588760181</v>
      </c>
      <c r="I25" s="7">
        <f ca="1"/>
        <v>-0.49003901355645407</v>
      </c>
      <c r="J25" s="7">
        <f ca="1"/>
        <v>4.0942529666246799</v>
      </c>
      <c r="K25">
        <f ca="1"/>
        <v>0</v>
      </c>
      <c r="L25">
        <f ca="1"/>
        <v>0.24549011442340429</v>
      </c>
    </row>
    <row r="26" spans="2:16">
      <c r="B26">
        <v>3.2000000000000002E-3</v>
      </c>
      <c r="C26">
        <f ca="1"/>
        <v>3.4545943631093465E-3</v>
      </c>
      <c r="D26">
        <f ca="1"/>
        <v>1</v>
      </c>
      <c r="E26" s="11">
        <f ca="1"/>
        <v>100.06271154273307</v>
      </c>
      <c r="F26" s="10">
        <f ca="1"/>
        <v>-1.2371350546140683</v>
      </c>
      <c r="G26" s="7">
        <f ca="1"/>
        <v>1.2363597143634608E-2</v>
      </c>
      <c r="H26" s="10">
        <f ca="1"/>
        <v>51.740719534146109</v>
      </c>
      <c r="I26" s="7">
        <f ca="1"/>
        <v>-0.47767541641281946</v>
      </c>
      <c r="J26" s="7">
        <f ca="1"/>
        <v>3.9432221305752506</v>
      </c>
      <c r="K26">
        <f ca="1"/>
        <v>0</v>
      </c>
      <c r="L26">
        <f ca="1"/>
        <v>0</v>
      </c>
    </row>
    <row r="27" spans="2:16">
      <c r="B27">
        <v>3.4000000000000002E-3</v>
      </c>
      <c r="C27">
        <f ca="1"/>
        <v>-1.3767535953363243E-2</v>
      </c>
      <c r="D27">
        <f ca="1"/>
        <v>1</v>
      </c>
      <c r="E27" s="11">
        <f ca="1"/>
        <v>99.718246951975601</v>
      </c>
      <c r="F27" s="10">
        <f ca="1"/>
        <v>1.3808712726369743</v>
      </c>
      <c r="G27" s="7">
        <f ca="1"/>
        <v>-1.3847729125262331E-2</v>
      </c>
      <c r="H27" s="10">
        <f ca="1"/>
        <v>53.121590806783082</v>
      </c>
      <c r="I27" s="7">
        <f ca="1"/>
        <v>-0.4915231455380818</v>
      </c>
      <c r="J27" s="7">
        <f ca="1"/>
        <v>4.1077643974048001</v>
      </c>
      <c r="K27">
        <f ca="1"/>
        <v>0</v>
      </c>
      <c r="L27">
        <f ca="1"/>
        <v>0.28175304802439882</v>
      </c>
    </row>
    <row r="28" spans="2:16">
      <c r="B28">
        <v>3.6000000000000003E-3</v>
      </c>
      <c r="C28">
        <f ca="1"/>
        <v>-9.6659534205975235E-3</v>
      </c>
      <c r="D28">
        <f ca="1"/>
        <v>1</v>
      </c>
      <c r="E28" s="11">
        <f ca="1"/>
        <v>99.799681836765203</v>
      </c>
      <c r="F28" s="10">
        <f ca="1"/>
        <v>-0.32600995446560649</v>
      </c>
      <c r="G28" s="7">
        <f ca="1"/>
        <v>3.2666432243625421E-3</v>
      </c>
      <c r="H28" s="10">
        <f ca="1"/>
        <v>52.795580852317478</v>
      </c>
      <c r="I28" s="7">
        <f ca="1"/>
        <v>-0.48825650231371925</v>
      </c>
      <c r="J28" s="7">
        <f ca="1"/>
        <v>4.0677372666764811</v>
      </c>
      <c r="K28">
        <f ca="1"/>
        <v>0</v>
      </c>
      <c r="L28">
        <f ca="1"/>
        <v>0.20031816323479745</v>
      </c>
    </row>
    <row r="29" spans="2:16">
      <c r="B29">
        <v>3.8E-3</v>
      </c>
      <c r="C29">
        <f ca="1"/>
        <v>-1.3351178002747462E-2</v>
      </c>
      <c r="D29">
        <f ca="1"/>
        <v>1</v>
      </c>
      <c r="E29" s="11">
        <f ca="1"/>
        <v>99.725753185487491</v>
      </c>
      <c r="F29" s="10">
        <f ca="1"/>
        <v>0.29811877139084575</v>
      </c>
      <c r="G29" s="7">
        <f ca="1"/>
        <v>-2.9893860098138547E-3</v>
      </c>
      <c r="H29" s="10">
        <f ca="1"/>
        <v>53.093699623708325</v>
      </c>
      <c r="I29" s="7">
        <f ca="1"/>
        <v>-0.49124588832353311</v>
      </c>
      <c r="J29" s="7">
        <f ca="1"/>
        <v>4.1038334113701112</v>
      </c>
      <c r="K29">
        <f ca="1"/>
        <v>0</v>
      </c>
      <c r="L29">
        <f ca="1"/>
        <v>0.27424681451250876</v>
      </c>
    </row>
    <row r="30" spans="2:16">
      <c r="B30">
        <v>4.0000000000000001E-3</v>
      </c>
      <c r="C30">
        <f ca="1"/>
        <v>-1.1756794116537836E-2</v>
      </c>
      <c r="D30">
        <f ca="1"/>
        <v>1</v>
      </c>
      <c r="E30" s="11">
        <f ca="1"/>
        <v>99.75715945355131</v>
      </c>
      <c r="F30" s="10">
        <f ca="1"/>
        <v>-0.12504283674484531</v>
      </c>
      <c r="G30" s="7">
        <f ca="1"/>
        <v>1.2534723064470121E-3</v>
      </c>
      <c r="H30" s="10">
        <f ca="1"/>
        <v>52.968656786963479</v>
      </c>
      <c r="I30" s="7">
        <f ca="1"/>
        <v>-0.4899924160170861</v>
      </c>
      <c r="J30" s="7">
        <f ca="1"/>
        <v>4.0884052113161715</v>
      </c>
      <c r="K30">
        <f ca="1"/>
        <v>0</v>
      </c>
      <c r="L30">
        <f ca="1"/>
        <v>0.24284054644869002</v>
      </c>
    </row>
    <row r="31" spans="2:16">
      <c r="B31">
        <v>4.2000000000000006E-3</v>
      </c>
      <c r="C31">
        <f ca="1"/>
        <v>1.5620668299180945E-2</v>
      </c>
      <c r="D31">
        <f ca="1"/>
        <v>1</v>
      </c>
      <c r="E31" s="11">
        <f ca="1"/>
        <v>100.30447595527608</v>
      </c>
      <c r="F31" s="10">
        <f ca="1"/>
        <v>-2.2035397318559742</v>
      </c>
      <c r="G31" s="7">
        <f ca="1"/>
        <v>2.1968508492467398E-2</v>
      </c>
      <c r="H31" s="10">
        <f ca="1"/>
        <v>50.765117055107503</v>
      </c>
      <c r="I31" s="7">
        <f ca="1"/>
        <v>-0.4680239075246187</v>
      </c>
      <c r="J31" s="7">
        <f ca="1"/>
        <v>3.8202242763100358</v>
      </c>
      <c r="K31">
        <f ca="1"/>
        <v>0</v>
      </c>
      <c r="L31">
        <f ca="1"/>
        <v>0</v>
      </c>
    </row>
    <row r="32" spans="2:16">
      <c r="B32">
        <v>4.4000000000000003E-3</v>
      </c>
      <c r="C32">
        <f ca="1"/>
        <v>2.8317910764133949E-2</v>
      </c>
      <c r="D32">
        <f ca="1"/>
        <v>1</v>
      </c>
      <c r="E32" s="11">
        <f ca="1"/>
        <v>100.55911546394387</v>
      </c>
      <c r="F32" s="10">
        <f ca="1"/>
        <v>-1.0214583510048278</v>
      </c>
      <c r="G32" s="7">
        <f ca="1"/>
        <v>1.0157789736834733E-2</v>
      </c>
      <c r="H32" s="10">
        <f ca="1"/>
        <v>49.743658704102671</v>
      </c>
      <c r="I32" s="7">
        <f ca="1"/>
        <v>-0.45786611778778397</v>
      </c>
      <c r="J32" s="7">
        <f ca="1"/>
        <v>3.7010468984531784</v>
      </c>
      <c r="K32">
        <f ca="1"/>
        <v>0</v>
      </c>
      <c r="L32">
        <f ca="1"/>
        <v>0</v>
      </c>
    </row>
    <row r="33" spans="2:12">
      <c r="B33">
        <v>4.5999999999999999E-3</v>
      </c>
      <c r="C33">
        <f ca="1"/>
        <v>3.2995130673505305E-2</v>
      </c>
      <c r="D33">
        <f ca="1"/>
        <v>1</v>
      </c>
      <c r="E33" s="11">
        <f ca="1"/>
        <v>100.65282428234778</v>
      </c>
      <c r="F33" s="10">
        <f ca="1"/>
        <v>-0.37531699421538567</v>
      </c>
      <c r="G33" s="7">
        <f ca="1"/>
        <v>3.7288272524033661E-3</v>
      </c>
      <c r="H33" s="10">
        <f ca="1"/>
        <v>49.368341709887282</v>
      </c>
      <c r="I33" s="7">
        <f ca="1"/>
        <v>-0.4541372905353806</v>
      </c>
      <c r="J33" s="7">
        <f ca="1"/>
        <v>3.6581408055680953</v>
      </c>
      <c r="K33">
        <f ca="1"/>
        <v>0</v>
      </c>
      <c r="L33">
        <f ca="1"/>
        <v>0</v>
      </c>
    </row>
    <row r="34" spans="2:12">
      <c r="B34">
        <v>4.8000000000000004E-3</v>
      </c>
      <c r="C34">
        <f ca="1"/>
        <v>2.5028610375703586E-2</v>
      </c>
      <c r="D34">
        <f ca="1"/>
        <v>1</v>
      </c>
      <c r="E34" s="11">
        <f ca="1"/>
        <v>100.49217945099151</v>
      </c>
      <c r="F34" s="10">
        <f ca="1"/>
        <v>0.6426348929548249</v>
      </c>
      <c r="G34" s="7">
        <f ca="1"/>
        <v>-6.3948746705033699E-3</v>
      </c>
      <c r="H34" s="10">
        <f ca="1"/>
        <v>50.010976602842106</v>
      </c>
      <c r="I34" s="7">
        <f ca="1"/>
        <v>-0.46053216520588397</v>
      </c>
      <c r="J34" s="7">
        <f ca="1"/>
        <v>3.7310956140187415</v>
      </c>
      <c r="K34">
        <f ca="1"/>
        <v>0</v>
      </c>
      <c r="L34">
        <f ca="1"/>
        <v>0</v>
      </c>
    </row>
    <row r="35" spans="2:12">
      <c r="B35">
        <v>5.0000000000000001E-3</v>
      </c>
      <c r="C35">
        <f ca="1"/>
        <v>3.3522592026078782E-2</v>
      </c>
      <c r="D35">
        <f ca="1"/>
        <v>1</v>
      </c>
      <c r="E35" s="11">
        <f ca="1"/>
        <v>100.66263763307595</v>
      </c>
      <c r="F35" s="10">
        <f ca="1"/>
        <v>-0.68353672068411631</v>
      </c>
      <c r="G35" s="7">
        <f ca="1"/>
        <v>6.7903716488700305E-3</v>
      </c>
      <c r="H35" s="10">
        <f ca="1"/>
        <v>49.327439882157989</v>
      </c>
      <c r="I35" s="7">
        <f ca="1"/>
        <v>-0.45374179355701394</v>
      </c>
      <c r="J35" s="7">
        <f ca="1"/>
        <v>3.6525941383463447</v>
      </c>
      <c r="K35">
        <f ca="1"/>
        <v>0</v>
      </c>
      <c r="L35">
        <f ca="1"/>
        <v>0</v>
      </c>
    </row>
    <row r="36" spans="2:12">
      <c r="B36">
        <v>5.2000000000000006E-3</v>
      </c>
      <c r="C36">
        <f ca="1"/>
        <v>3.6057400433837705E-2</v>
      </c>
      <c r="D36">
        <f ca="1"/>
        <v>1</v>
      </c>
      <c r="E36" s="11">
        <f ca="1"/>
        <v>100.71327981704073</v>
      </c>
      <c r="F36" s="10">
        <f ca="1"/>
        <v>-0.20306457060994038</v>
      </c>
      <c r="G36" s="7">
        <f ca="1"/>
        <v>2.0162641012072546E-3</v>
      </c>
      <c r="H36" s="10">
        <f ca="1"/>
        <v>49.12437531154805</v>
      </c>
      <c r="I36" s="7">
        <f ca="1"/>
        <v>-0.45172552945580668</v>
      </c>
      <c r="J36" s="7">
        <f ca="1"/>
        <v>3.6296156629645182</v>
      </c>
      <c r="K36">
        <f ca="1"/>
        <v>0</v>
      </c>
      <c r="L36">
        <f ca="1"/>
        <v>0</v>
      </c>
    </row>
    <row r="37" spans="2:12">
      <c r="B37">
        <v>5.4000000000000003E-3</v>
      </c>
      <c r="C37">
        <f ca="1"/>
        <v>3.7117209656402861E-2</v>
      </c>
      <c r="D37">
        <f ca="1"/>
        <v>1</v>
      </c>
      <c r="E37" s="11">
        <f ca="1"/>
        <v>100.73422651445986</v>
      </c>
      <c r="F37" s="10">
        <f ca="1"/>
        <v>-8.4225963718017258E-2</v>
      </c>
      <c r="G37" s="7">
        <f ca="1"/>
        <v>8.3612061791060732E-4</v>
      </c>
      <c r="H37" s="10">
        <f ca="1"/>
        <v>49.040149347830031</v>
      </c>
      <c r="I37" s="7">
        <f ca="1"/>
        <v>-0.45088940883789608</v>
      </c>
      <c r="J37" s="7">
        <f ca="1"/>
        <v>3.620153504982504</v>
      </c>
      <c r="K37">
        <f ca="1"/>
        <v>0</v>
      </c>
      <c r="L37">
        <f ca="1"/>
        <v>0</v>
      </c>
    </row>
    <row r="38" spans="2:12">
      <c r="B38">
        <v>5.5999999999999999E-3</v>
      </c>
      <c r="C38">
        <f ca="1"/>
        <v>5.9155603601344892E-2</v>
      </c>
      <c r="D38">
        <f ca="1"/>
        <v>1</v>
      </c>
      <c r="E38" s="11">
        <f ca="1"/>
        <v>101.17880586496032</v>
      </c>
      <c r="F38" s="10">
        <f ca="1"/>
        <v>-1.7790506165902</v>
      </c>
      <c r="G38" s="7">
        <f ca="1"/>
        <v>1.758323397258349E-2</v>
      </c>
      <c r="H38" s="10">
        <f ca="1"/>
        <v>47.261098731239834</v>
      </c>
      <c r="I38" s="7">
        <f ca="1"/>
        <v>-0.43330617486531259</v>
      </c>
      <c r="J38" s="7">
        <f ca="1"/>
        <v>3.4196973844538192</v>
      </c>
      <c r="K38">
        <f ca="1"/>
        <v>0</v>
      </c>
      <c r="L38">
        <f ca="1"/>
        <v>0</v>
      </c>
    </row>
    <row r="39" spans="2:12">
      <c r="B39">
        <v>5.8000000000000005E-3</v>
      </c>
      <c r="C39">
        <f ca="1"/>
        <v>6.0518327563640839E-2</v>
      </c>
      <c r="D39">
        <f ca="1"/>
        <v>1</v>
      </c>
      <c r="E39" s="11">
        <f ca="1"/>
        <v>101.20598055503002</v>
      </c>
      <c r="F39" s="10">
        <f ca="1"/>
        <v>-0.10927038680126225</v>
      </c>
      <c r="G39" s="7">
        <f ca="1"/>
        <v>1.0796830997734097E-3</v>
      </c>
      <c r="H39" s="10">
        <f ca="1"/>
        <v>47.15182834443857</v>
      </c>
      <c r="I39" s="7">
        <f ca="1"/>
        <v>-0.43222649176553918</v>
      </c>
      <c r="J39" s="7">
        <f ca="1"/>
        <v>3.4079224234465642</v>
      </c>
      <c r="K39">
        <f ca="1"/>
        <v>0</v>
      </c>
      <c r="L39">
        <f ca="1"/>
        <v>0</v>
      </c>
    </row>
    <row r="40" spans="2:12">
      <c r="B40">
        <v>6.0000000000000001E-3</v>
      </c>
      <c r="C40">
        <f ca="1"/>
        <v>4.8604666778012069E-2</v>
      </c>
      <c r="D40">
        <f ca="1"/>
        <v>1</v>
      </c>
      <c r="E40" s="11">
        <f ca="1"/>
        <v>100.96471701699778</v>
      </c>
      <c r="F40" s="10">
        <f ca="1"/>
        <v>0.95973907741879261</v>
      </c>
      <c r="G40" s="7">
        <f ca="1"/>
        <v>-9.5056877865286049E-3</v>
      </c>
      <c r="H40" s="10">
        <f ca="1"/>
        <v>48.111567421857366</v>
      </c>
      <c r="I40" s="7">
        <f ca="1"/>
        <v>-0.44173217955206778</v>
      </c>
      <c r="J40" s="7">
        <f ca="1"/>
        <v>3.5122029160811863</v>
      </c>
      <c r="K40">
        <f ca="1"/>
        <v>0</v>
      </c>
      <c r="L40">
        <f ca="1"/>
        <v>0</v>
      </c>
    </row>
    <row r="41" spans="2:12">
      <c r="B41">
        <v>6.2000000000000006E-3</v>
      </c>
      <c r="C41">
        <f ca="1"/>
        <v>5.3114436312827619E-2</v>
      </c>
      <c r="D41">
        <f ca="1"/>
        <v>1</v>
      </c>
      <c r="E41" s="11">
        <f ca="1"/>
        <v>101.05541939629194</v>
      </c>
      <c r="F41" s="10">
        <f ca="1"/>
        <v>-0.36320406821378853</v>
      </c>
      <c r="G41" s="7">
        <f ca="1"/>
        <v>3.5941077715928582E-3</v>
      </c>
      <c r="H41" s="10">
        <f ca="1"/>
        <v>47.748363353643576</v>
      </c>
      <c r="I41" s="7">
        <f ca="1"/>
        <v>-0.43813807178047492</v>
      </c>
      <c r="J41" s="7">
        <f ca="1"/>
        <v>3.4721367563850194</v>
      </c>
      <c r="K41">
        <f ca="1"/>
        <v>0</v>
      </c>
      <c r="L41">
        <f ca="1"/>
        <v>0</v>
      </c>
    </row>
    <row r="42" spans="2:12">
      <c r="B42">
        <v>6.4000000000000003E-3</v>
      </c>
      <c r="C42">
        <f ca="1"/>
        <v>4.2413480140544427E-2</v>
      </c>
      <c r="D42">
        <f ca="1"/>
        <v>1</v>
      </c>
      <c r="E42" s="11">
        <f ca="1"/>
        <v>100.83896938985974</v>
      </c>
      <c r="F42" s="10">
        <f ca="1"/>
        <v>0.86377722379005628</v>
      </c>
      <c r="G42" s="7">
        <f ca="1"/>
        <v>-8.5659069010369793E-3</v>
      </c>
      <c r="H42" s="10">
        <f ca="1"/>
        <v>48.612140577433635</v>
      </c>
      <c r="I42" s="7">
        <f ca="1"/>
        <v>-0.4467039786815119</v>
      </c>
      <c r="J42" s="7">
        <f ca="1"/>
        <v>3.5669717448400959</v>
      </c>
      <c r="K42">
        <f ca="1"/>
        <v>0</v>
      </c>
      <c r="L42">
        <f ca="1"/>
        <v>0</v>
      </c>
    </row>
    <row r="43" spans="2:12">
      <c r="B43">
        <v>6.6E-3</v>
      </c>
      <c r="C43">
        <f ca="1"/>
        <v>4.5809862387988218E-2</v>
      </c>
      <c r="D43">
        <f ca="1"/>
        <v>1</v>
      </c>
      <c r="E43" s="11">
        <f ca="1"/>
        <v>100.9070865674539</v>
      </c>
      <c r="F43" s="10">
        <f ca="1"/>
        <v>-0.27348948838733106</v>
      </c>
      <c r="G43" s="7">
        <f ca="1"/>
        <v>2.710310025693885E-3</v>
      </c>
      <c r="H43" s="10">
        <f ca="1"/>
        <v>48.338651089046301</v>
      </c>
      <c r="I43" s="7">
        <f ca="1"/>
        <v>-0.44399366865581802</v>
      </c>
      <c r="J43" s="7">
        <f ca="1"/>
        <v>3.5365435305922261</v>
      </c>
      <c r="K43">
        <f ca="1"/>
        <v>0</v>
      </c>
      <c r="L43">
        <f ca="1"/>
        <v>0</v>
      </c>
    </row>
    <row r="44" spans="2:12">
      <c r="B44">
        <v>6.8000000000000005E-3</v>
      </c>
      <c r="C44">
        <f ca="1"/>
        <v>4.0988196546817256E-2</v>
      </c>
      <c r="D44">
        <f ca="1"/>
        <v>1</v>
      </c>
      <c r="E44" s="11">
        <f ca="1"/>
        <v>100.80942218208402</v>
      </c>
      <c r="F44" s="10">
        <f ca="1"/>
        <v>0.39051789128930636</v>
      </c>
      <c r="G44" s="7">
        <f ca="1"/>
        <v>-3.8738233275848466E-3</v>
      </c>
      <c r="H44" s="10">
        <f ca="1"/>
        <v>48.729168980335608</v>
      </c>
      <c r="I44" s="7">
        <f ca="1"/>
        <v>-0.44786749198340287</v>
      </c>
      <c r="J44" s="7">
        <f ca="1"/>
        <v>3.5799058993496189</v>
      </c>
      <c r="K44">
        <f ca="1"/>
        <v>0</v>
      </c>
      <c r="L44">
        <f ca="1"/>
        <v>0</v>
      </c>
    </row>
    <row r="45" spans="2:12">
      <c r="B45">
        <v>7.0000000000000001E-3</v>
      </c>
      <c r="C45">
        <f ca="1"/>
        <v>3.835590249302899E-2</v>
      </c>
      <c r="D45">
        <f ca="1"/>
        <v>1</v>
      </c>
      <c r="E45" s="11">
        <f ca="1"/>
        <v>100.75596111658037</v>
      </c>
      <c r="F45" s="10">
        <f ca="1"/>
        <v>0.21396461095569294</v>
      </c>
      <c r="G45" s="7">
        <f ca="1"/>
        <v>-2.1235925754122253E-3</v>
      </c>
      <c r="H45" s="10">
        <f ca="1"/>
        <v>48.9431335912913</v>
      </c>
      <c r="I45" s="7">
        <f ca="1"/>
        <v>-0.44999108455881509</v>
      </c>
      <c r="J45" s="7">
        <f ca="1"/>
        <v>3.6038493726754979</v>
      </c>
      <c r="K45">
        <f ca="1"/>
        <v>0</v>
      </c>
      <c r="L45">
        <f ca="1"/>
        <v>0</v>
      </c>
    </row>
    <row r="46" spans="2:12">
      <c r="B46">
        <v>7.2000000000000007E-3</v>
      </c>
      <c r="C46">
        <f ca="1"/>
        <v>6.0482949510054604E-2</v>
      </c>
      <c r="D46">
        <f ca="1"/>
        <v>1</v>
      </c>
      <c r="E46" s="11">
        <f ca="1"/>
        <v>101.2024307557099</v>
      </c>
      <c r="F46" s="10">
        <f ca="1"/>
        <v>-1.7919075332051237</v>
      </c>
      <c r="G46" s="7">
        <f ca="1"/>
        <v>1.7706170887639705E-2</v>
      </c>
      <c r="H46" s="10">
        <f ca="1"/>
        <v>47.151226058086174</v>
      </c>
      <c r="I46" s="7">
        <f ca="1"/>
        <v>-0.43228491367117539</v>
      </c>
      <c r="J46" s="7">
        <f ca="1"/>
        <v>3.4029420155410151</v>
      </c>
      <c r="K46">
        <f ca="1"/>
        <v>0</v>
      </c>
      <c r="L46">
        <f ca="1"/>
        <v>0</v>
      </c>
    </row>
    <row r="47" spans="2:12">
      <c r="B47">
        <v>7.4000000000000003E-3</v>
      </c>
      <c r="C47">
        <f ca="1"/>
        <v>8.733582475664238E-2</v>
      </c>
      <c r="D47">
        <f ca="1"/>
        <v>1</v>
      </c>
      <c r="E47" s="11">
        <f ca="1"/>
        <v>101.74700112744448</v>
      </c>
      <c r="F47" s="10">
        <f ca="1"/>
        <v>-2.1694087411330272</v>
      </c>
      <c r="G47" s="7">
        <f ca="1"/>
        <v>2.1321598839219913E-2</v>
      </c>
      <c r="H47" s="10">
        <f ca="1"/>
        <v>44.981817316953148</v>
      </c>
      <c r="I47" s="7">
        <f ca="1"/>
        <v>-0.41096331483195547</v>
      </c>
      <c r="J47" s="7">
        <f ca="1"/>
        <v>3.1675324594078518</v>
      </c>
      <c r="K47">
        <f ca="1"/>
        <v>0</v>
      </c>
      <c r="L47">
        <f ca="1"/>
        <v>0</v>
      </c>
    </row>
    <row r="48" spans="2:12">
      <c r="B48">
        <v>7.6E-3</v>
      </c>
      <c r="C48">
        <f ca="1"/>
        <v>9.134206771217987E-2</v>
      </c>
      <c r="D48">
        <f ca="1"/>
        <v>1</v>
      </c>
      <c r="E48" s="11">
        <f ca="1"/>
        <v>101.82815112480499</v>
      </c>
      <c r="F48" s="10">
        <f ca="1"/>
        <v>-0.32245131103726937</v>
      </c>
      <c r="G48" s="7">
        <f ca="1"/>
        <v>3.1666224661396347E-3</v>
      </c>
      <c r="H48" s="10">
        <f ca="1"/>
        <v>44.659366005915878</v>
      </c>
      <c r="I48" s="7">
        <f ca="1"/>
        <v>-0.40779669236581584</v>
      </c>
      <c r="J48" s="7">
        <f ca="1"/>
        <v>3.1341827874939767</v>
      </c>
      <c r="K48">
        <f ca="1"/>
        <v>0</v>
      </c>
      <c r="L48">
        <f ca="1"/>
        <v>0</v>
      </c>
    </row>
    <row r="49" spans="2:12">
      <c r="B49">
        <v>7.8000000000000005E-3</v>
      </c>
      <c r="C49">
        <f ca="1"/>
        <v>8.4307922303803962E-2</v>
      </c>
      <c r="D49">
        <f ca="1"/>
        <v>1</v>
      </c>
      <c r="E49" s="11">
        <f ca="1"/>
        <v>101.68459030156953</v>
      </c>
      <c r="F49" s="10">
        <f ca="1"/>
        <v>0.56458790766900879</v>
      </c>
      <c r="G49" s="7">
        <f ca="1"/>
        <v>-5.552344814436394E-3</v>
      </c>
      <c r="H49" s="10">
        <f ca="1"/>
        <v>45.223953913584886</v>
      </c>
      <c r="I49" s="7">
        <f ca="1"/>
        <v>-0.41334903718025223</v>
      </c>
      <c r="J49" s="7">
        <f ca="1"/>
        <v>3.19272641636271</v>
      </c>
      <c r="K49">
        <f ca="1"/>
        <v>0</v>
      </c>
      <c r="L49">
        <f ca="1"/>
        <v>0</v>
      </c>
    </row>
    <row r="50" spans="2:12">
      <c r="B50">
        <v>8.0000000000000002E-3</v>
      </c>
      <c r="C50">
        <f ca="1"/>
        <v>9.3815595767293272E-2</v>
      </c>
      <c r="D50">
        <f ca="1"/>
        <v>1</v>
      </c>
      <c r="E50" s="11">
        <f ca="1"/>
        <v>101.87772351992037</v>
      </c>
      <c r="F50" s="10">
        <f ca="1"/>
        <v>-0.76560803757419471</v>
      </c>
      <c r="G50" s="7">
        <f ca="1"/>
        <v>7.514970016232192E-3</v>
      </c>
      <c r="H50" s="10">
        <f ca="1"/>
        <v>44.458345876010689</v>
      </c>
      <c r="I50" s="7">
        <f ca="1"/>
        <v>-0.40583406716402004</v>
      </c>
      <c r="J50" s="7">
        <f ca="1"/>
        <v>3.1128949865098647</v>
      </c>
      <c r="K50">
        <f ca="1"/>
        <v>0</v>
      </c>
      <c r="L50">
        <f ca="1"/>
        <v>0</v>
      </c>
    </row>
    <row r="51" spans="2:12">
      <c r="B51">
        <v>8.2000000000000007E-3</v>
      </c>
      <c r="C51">
        <f ca="1"/>
        <v>0.12405439850535846</v>
      </c>
      <c r="D51">
        <f ca="1"/>
        <v>1</v>
      </c>
      <c r="E51" s="11">
        <f ca="1"/>
        <v>102.49531248603436</v>
      </c>
      <c r="F51" s="10">
        <f ca="1"/>
        <v>-2.4254467613994994</v>
      </c>
      <c r="G51" s="7">
        <f ca="1"/>
        <v>2.3663977430479877E-2</v>
      </c>
      <c r="H51" s="10">
        <f ca="1"/>
        <v>42.03289911461119</v>
      </c>
      <c r="I51" s="7">
        <f ca="1"/>
        <v>-0.38217008973354016</v>
      </c>
      <c r="J51" s="7">
        <f ca="1"/>
        <v>2.8622563445562008</v>
      </c>
      <c r="K51">
        <f ca="1"/>
        <v>0</v>
      </c>
      <c r="L51">
        <f ca="1"/>
        <v>0</v>
      </c>
    </row>
    <row r="52" spans="2:12">
      <c r="B52">
        <v>8.4000000000000012E-3</v>
      </c>
      <c r="C52">
        <f ca="1"/>
        <v>0.13359995843912628</v>
      </c>
      <c r="D52">
        <f ca="1"/>
        <v>1</v>
      </c>
      <c r="E52" s="11">
        <f ca="1"/>
        <v>102.6907636535035</v>
      </c>
      <c r="F52" s="10">
        <f ca="1"/>
        <v>-0.76004379472815164</v>
      </c>
      <c r="G52" s="7">
        <f ca="1"/>
        <v>7.4012868118565334E-3</v>
      </c>
      <c r="H52" s="10">
        <f ca="1"/>
        <v>41.272855319883035</v>
      </c>
      <c r="I52" s="7">
        <f ca="1"/>
        <v>-0.37476880292168363</v>
      </c>
      <c r="J52" s="7">
        <f ca="1"/>
        <v>2.7875607543459893</v>
      </c>
      <c r="K52">
        <f ca="1"/>
        <v>0</v>
      </c>
      <c r="L52">
        <f ca="1"/>
        <v>0</v>
      </c>
    </row>
    <row r="53" spans="2:12">
      <c r="B53">
        <v>8.6E-3</v>
      </c>
      <c r="C53">
        <f ca="1"/>
        <v>0.10746667204137758</v>
      </c>
      <c r="D53">
        <f ca="1"/>
        <v>1</v>
      </c>
      <c r="E53" s="11">
        <f ca="1"/>
        <v>102.15502581504082</v>
      </c>
      <c r="F53" s="10">
        <f ca="1"/>
        <v>2.0745899577752978</v>
      </c>
      <c r="G53" s="7">
        <f ca="1"/>
        <v>-2.0308251515020859E-2</v>
      </c>
      <c r="H53" s="10">
        <f ca="1"/>
        <v>43.347445277658331</v>
      </c>
      <c r="I53" s="7">
        <f ca="1"/>
        <v>-0.39507705443670449</v>
      </c>
      <c r="J53" s="7">
        <f ca="1"/>
        <v>2.9883385827465005</v>
      </c>
      <c r="K53">
        <f ca="1"/>
        <v>0</v>
      </c>
      <c r="L53">
        <f ca="1"/>
        <v>0</v>
      </c>
    </row>
    <row r="54" spans="2:12">
      <c r="B54">
        <v>8.8000000000000005E-3</v>
      </c>
      <c r="C54">
        <f ca="1"/>
        <v>9.5162521954890944E-2</v>
      </c>
      <c r="D54">
        <f ca="1"/>
        <v>1</v>
      </c>
      <c r="E54" s="11">
        <f ca="1"/>
        <v>101.90354110185133</v>
      </c>
      <c r="F54" s="10">
        <f ca="1"/>
        <v>0.98511279427424969</v>
      </c>
      <c r="G54" s="7">
        <f ca="1"/>
        <v>-9.6671105206210806E-3</v>
      </c>
      <c r="H54" s="10">
        <f ca="1"/>
        <v>44.332558071932581</v>
      </c>
      <c r="I54" s="7">
        <f ca="1"/>
        <v>-0.40474416495732557</v>
      </c>
      <c r="J54" s="7">
        <f ca="1"/>
        <v>3.0876944224692622</v>
      </c>
      <c r="K54">
        <f ca="1"/>
        <v>0</v>
      </c>
      <c r="L54">
        <f ca="1"/>
        <v>0</v>
      </c>
    </row>
    <row r="55" spans="2:12">
      <c r="B55">
        <v>9.0000000000000011E-3</v>
      </c>
      <c r="C55">
        <f ca="1"/>
        <v>7.4396671729381247E-2</v>
      </c>
      <c r="D55">
        <f ca="1"/>
        <v>1</v>
      </c>
      <c r="E55" s="11">
        <f ca="1"/>
        <v>101.48079008605657</v>
      </c>
      <c r="F55" s="10">
        <f ca="1"/>
        <v>1.6707415280010278</v>
      </c>
      <c r="G55" s="7">
        <f ca="1"/>
        <v>-1.6463623574316133E-2</v>
      </c>
      <c r="H55" s="10">
        <f ca="1"/>
        <v>46.003299599933612</v>
      </c>
      <c r="I55" s="7">
        <f ca="1"/>
        <v>-0.4212077885316417</v>
      </c>
      <c r="J55" s="7">
        <f ca="1"/>
        <v>3.2588004293419743</v>
      </c>
      <c r="K55">
        <f ca="1"/>
        <v>0</v>
      </c>
      <c r="L55">
        <f ca="1"/>
        <v>0</v>
      </c>
    </row>
    <row r="56" spans="2:12">
      <c r="B56">
        <v>9.1999999999999998E-3</v>
      </c>
      <c r="C56">
        <f ca="1"/>
        <v>8.7309190363470054E-2</v>
      </c>
      <c r="D56">
        <f ca="1"/>
        <v>1</v>
      </c>
      <c r="E56" s="11">
        <f ca="1"/>
        <v>101.74279632836367</v>
      </c>
      <c r="F56" s="10">
        <f ca="1"/>
        <v>-1.0443486323574243</v>
      </c>
      <c r="G56" s="7">
        <f ca="1"/>
        <v>1.0264595332989512E-2</v>
      </c>
      <c r="H56" s="10">
        <f ca="1"/>
        <v>44.958950967576186</v>
      </c>
      <c r="I56" s="7">
        <f ca="1"/>
        <v>-0.41094319319865219</v>
      </c>
      <c r="J56" s="7">
        <f ca="1"/>
        <v>3.1484413594383156</v>
      </c>
      <c r="K56">
        <f ca="1"/>
        <v>0</v>
      </c>
      <c r="L56">
        <f ca="1"/>
        <v>0</v>
      </c>
    </row>
    <row r="57" spans="2:12">
      <c r="B57">
        <v>9.4000000000000004E-3</v>
      </c>
      <c r="C57">
        <f ca="1"/>
        <v>6.7013792010767362E-2</v>
      </c>
      <c r="D57">
        <f ca="1"/>
        <v>1</v>
      </c>
      <c r="E57" s="11">
        <f ca="1"/>
        <v>101.33024592111721</v>
      </c>
      <c r="F57" s="10">
        <f ca="1"/>
        <v>1.6374487557810804</v>
      </c>
      <c r="G57" s="7">
        <f ca="1"/>
        <v>-1.6159526120718082E-2</v>
      </c>
      <c r="H57" s="10">
        <f ca="1"/>
        <v>46.596399723357266</v>
      </c>
      <c r="I57" s="7">
        <f ca="1"/>
        <v>-0.42710271931937027</v>
      </c>
      <c r="J57" s="7">
        <f ca="1"/>
        <v>3.3179761411475752</v>
      </c>
      <c r="K57">
        <f ca="1"/>
        <v>0</v>
      </c>
      <c r="L57">
        <f ca="1"/>
        <v>0</v>
      </c>
    </row>
    <row r="58" spans="2:12">
      <c r="B58">
        <v>9.6000000000000009E-3</v>
      </c>
      <c r="C58">
        <f ca="1"/>
        <v>6.5542729683675569E-2</v>
      </c>
      <c r="D58">
        <f ca="1"/>
        <v>1</v>
      </c>
      <c r="E58" s="11">
        <f ca="1"/>
        <v>101.30003248389534</v>
      </c>
      <c r="F58" s="10">
        <f ca="1"/>
        <v>0.11945845300802894</v>
      </c>
      <c r="G58" s="7">
        <f ca="1"/>
        <v>-1.1792538470016822E-3</v>
      </c>
      <c r="H58" s="10">
        <f ca="1"/>
        <v>46.715858176365295</v>
      </c>
      <c r="I58" s="7">
        <f ca="1"/>
        <v>-0.42828197316637195</v>
      </c>
      <c r="J58" s="7">
        <f ca="1"/>
        <v>3.3308803823450219</v>
      </c>
      <c r="K58">
        <f ca="1"/>
        <v>0</v>
      </c>
      <c r="L58">
        <f ca="1"/>
        <v>0</v>
      </c>
    </row>
    <row r="59" spans="2:12">
      <c r="B59">
        <v>9.7999999999999997E-3</v>
      </c>
      <c r="C59">
        <f ca="1"/>
        <v>6.0004588096497197E-2</v>
      </c>
      <c r="D59">
        <f ca="1"/>
        <v>1</v>
      </c>
      <c r="E59" s="11">
        <f ca="1"/>
        <v>101.18748706515584</v>
      </c>
      <c r="F59" s="10">
        <f ca="1"/>
        <v>0.44946916340575283</v>
      </c>
      <c r="G59" s="7">
        <f ca="1"/>
        <v>-4.4419441221653644E-3</v>
      </c>
      <c r="H59" s="10">
        <f ca="1"/>
        <v>47.165327339771046</v>
      </c>
      <c r="I59" s="7">
        <f ca="1"/>
        <v>-0.43272391728853732</v>
      </c>
      <c r="J59" s="7">
        <f ca="1"/>
        <v>3.3790815563536114</v>
      </c>
      <c r="K59">
        <f ca="1"/>
        <v>0</v>
      </c>
      <c r="L59">
        <f ca="1"/>
        <v>0</v>
      </c>
    </row>
    <row r="60" spans="2:12">
      <c r="B60">
        <v>0.01</v>
      </c>
      <c r="C60">
        <f ca="1"/>
        <v>4.2890397935346741E-2</v>
      </c>
      <c r="D60">
        <f ca="1"/>
        <v>1</v>
      </c>
      <c r="E60" s="11">
        <f ca="1"/>
        <v>100.84132739141512</v>
      </c>
      <c r="F60" s="10">
        <f ca="1"/>
        <v>1.3896333550465871</v>
      </c>
      <c r="G60" s="7">
        <f ca="1"/>
        <v>-1.3780395310076909E-2</v>
      </c>
      <c r="H60" s="10">
        <f ca="1"/>
        <v>48.55496069481763</v>
      </c>
      <c r="I60" s="7">
        <f ca="1"/>
        <v>-0.44650431259861423</v>
      </c>
      <c r="J60" s="7">
        <f ca="1"/>
        <v>3.5288731263820168</v>
      </c>
      <c r="K60">
        <f ca="1"/>
        <v>0</v>
      </c>
      <c r="L60">
        <f ca="1"/>
        <v>0</v>
      </c>
    </row>
    <row r="61" spans="2:12">
      <c r="B61">
        <v>1.0200000000000001E-2</v>
      </c>
      <c r="C61">
        <f ca="1"/>
        <v>2.9966545412660583E-2</v>
      </c>
      <c r="D61">
        <f ca="1"/>
        <v>1</v>
      </c>
      <c r="E61" s="11">
        <f ca="1"/>
        <v>100.58060995183951</v>
      </c>
      <c r="F61" s="10">
        <f ca="1"/>
        <v>1.052218648876692</v>
      </c>
      <c r="G61" s="7">
        <f ca="1"/>
        <v>-1.0461446290497944E-2</v>
      </c>
      <c r="H61" s="10">
        <f ca="1"/>
        <v>49.60717934369432</v>
      </c>
      <c r="I61" s="7">
        <f ca="1"/>
        <v>-0.45696575888911217</v>
      </c>
      <c r="J61" s="7">
        <f ca="1"/>
        <v>3.6452845875221911</v>
      </c>
      <c r="K61">
        <f ca="1"/>
        <v>0</v>
      </c>
      <c r="L61">
        <f ca="1"/>
        <v>0</v>
      </c>
    </row>
    <row r="62" spans="2:12">
      <c r="B62">
        <v>1.0400000000000001E-2</v>
      </c>
      <c r="C62">
        <f ca="1"/>
        <v>1.7398141793386973E-2</v>
      </c>
      <c r="D62">
        <f ca="1"/>
        <v>1</v>
      </c>
      <c r="E62" s="11">
        <f ca="1"/>
        <v>100.32769859758534</v>
      </c>
      <c r="F62" s="10">
        <f ca="1"/>
        <v>1.0244851687061585</v>
      </c>
      <c r="G62" s="7">
        <f ca="1"/>
        <v>-1.0211389108160163E-2</v>
      </c>
      <c r="H62" s="10">
        <f ca="1"/>
        <v>50.631664512400476</v>
      </c>
      <c r="I62" s="7">
        <f ca="1"/>
        <v>-0.46717714799727234</v>
      </c>
      <c r="J62" s="7">
        <f ca="1"/>
        <v>3.7608564164506149</v>
      </c>
      <c r="K62">
        <f ca="1"/>
        <v>0</v>
      </c>
      <c r="L62">
        <f ca="1"/>
        <v>0</v>
      </c>
    </row>
    <row r="63" spans="2:12">
      <c r="B63">
        <v>1.06E-2</v>
      </c>
      <c r="C63">
        <f ca="1"/>
        <v>2.5571278253282051E-2</v>
      </c>
      <c r="D63">
        <f ca="1"/>
        <v>1</v>
      </c>
      <c r="E63" s="11">
        <f ca="1"/>
        <v>100.49142913652346</v>
      </c>
      <c r="F63" s="10">
        <f ca="1"/>
        <v>-0.66503069415212979</v>
      </c>
      <c r="G63" s="7">
        <f ca="1"/>
        <v>6.6177852167735307E-3</v>
      </c>
      <c r="H63" s="10">
        <f ca="1"/>
        <v>49.966633818248347</v>
      </c>
      <c r="I63" s="7">
        <f ca="1"/>
        <v>-0.4605593627804988</v>
      </c>
      <c r="J63" s="7">
        <f ca="1"/>
        <v>3.6843652502294475</v>
      </c>
      <c r="K63">
        <f ca="1"/>
        <v>0</v>
      </c>
      <c r="L63">
        <f ca="1"/>
        <v>0</v>
      </c>
    </row>
    <row r="64" spans="2:12">
      <c r="B64">
        <v>1.0800000000000001E-2</v>
      </c>
      <c r="C64">
        <f ca="1"/>
        <v>4.0201990136699166E-2</v>
      </c>
      <c r="D64">
        <f ca="1"/>
        <v>1</v>
      </c>
      <c r="E64" s="11">
        <f ca="1"/>
        <v>100.78550886225098</v>
      </c>
      <c r="F64" s="10">
        <f ca="1"/>
        <v>-1.1933561436272127</v>
      </c>
      <c r="G64" s="7">
        <f ca="1"/>
        <v>1.1840552844340324E-2</v>
      </c>
      <c r="H64" s="10">
        <f ca="1"/>
        <v>48.773277674621134</v>
      </c>
      <c r="I64" s="7">
        <f ca="1"/>
        <v>-0.44871880993615848</v>
      </c>
      <c r="J64" s="7">
        <f ca="1"/>
        <v>3.5489240791417203</v>
      </c>
      <c r="K64">
        <f ca="1"/>
        <v>0</v>
      </c>
      <c r="L64">
        <f ca="1"/>
        <v>0</v>
      </c>
    </row>
    <row r="65" spans="2:12">
      <c r="B65">
        <v>1.1000000000000001E-2</v>
      </c>
      <c r="C65">
        <f ca="1"/>
        <v>5.0319940778131303E-2</v>
      </c>
      <c r="D65">
        <f ca="1"/>
        <v>1</v>
      </c>
      <c r="E65" s="11">
        <f ca="1"/>
        <v>100.98925995862089</v>
      </c>
      <c r="F65" s="10">
        <f ca="1"/>
        <v>-0.82466177148988207</v>
      </c>
      <c r="G65" s="7">
        <f ca="1"/>
        <v>8.1658363654489308E-3</v>
      </c>
      <c r="H65" s="10">
        <f ca="1"/>
        <v>47.948615903131255</v>
      </c>
      <c r="I65" s="7">
        <f ca="1"/>
        <v>-0.44055297357070955</v>
      </c>
      <c r="J65" s="7">
        <f ca="1"/>
        <v>3.4574971296554295</v>
      </c>
      <c r="K65">
        <f ca="1"/>
        <v>0</v>
      </c>
      <c r="L65">
        <f ca="1"/>
        <v>0</v>
      </c>
    </row>
    <row r="66" spans="2:12">
      <c r="B66">
        <v>1.12E-2</v>
      </c>
      <c r="C66">
        <f ca="1"/>
        <v>2.6564695159522655E-2</v>
      </c>
      <c r="D66">
        <f ca="1"/>
        <v>1</v>
      </c>
      <c r="E66" s="11">
        <f ca="1"/>
        <v>100.51019096750767</v>
      </c>
      <c r="F66" s="10">
        <f ca="1"/>
        <v>1.9345751403968225</v>
      </c>
      <c r="G66" s="7">
        <f ca="1"/>
        <v>-1.9247552131526846E-2</v>
      </c>
      <c r="H66" s="10">
        <f ca="1"/>
        <v>49.883191043528079</v>
      </c>
      <c r="I66" s="7">
        <f ca="1"/>
        <v>-0.4598005257022364</v>
      </c>
      <c r="J66" s="7">
        <f ca="1"/>
        <v>3.6685523982358816</v>
      </c>
      <c r="K66">
        <f ca="1"/>
        <v>0</v>
      </c>
      <c r="L66">
        <f ca="1"/>
        <v>0</v>
      </c>
    </row>
    <row r="67" spans="2:12">
      <c r="B67">
        <v>1.14E-2</v>
      </c>
      <c r="C67">
        <f ca="1"/>
        <v>2.0321906230750149E-2</v>
      </c>
      <c r="D67">
        <f ca="1"/>
        <v>1</v>
      </c>
      <c r="E67" s="11">
        <f ca="1"/>
        <v>100.38437495762442</v>
      </c>
      <c r="F67" s="10">
        <f ca="1"/>
        <v>0.51111637531252285</v>
      </c>
      <c r="G67" s="7">
        <f ca="1"/>
        <v>-5.0915929449008579E-3</v>
      </c>
      <c r="H67" s="10">
        <f ca="1"/>
        <v>50.394307418840604</v>
      </c>
      <c r="I67" s="7">
        <f ca="1"/>
        <v>-0.46489211864713725</v>
      </c>
      <c r="J67" s="7">
        <f ca="1"/>
        <v>3.7264026657219631</v>
      </c>
      <c r="K67">
        <f ca="1"/>
        <v>0</v>
      </c>
      <c r="L67">
        <f ca="1"/>
        <v>0</v>
      </c>
    </row>
    <row r="68" spans="2:12">
      <c r="B68">
        <v>1.1600000000000001E-2</v>
      </c>
      <c r="C68">
        <f ca="1"/>
        <v>3.7684524800121508E-2</v>
      </c>
      <c r="D68">
        <f ca="1"/>
        <v>1</v>
      </c>
      <c r="E68" s="11">
        <f ca="1"/>
        <v>100.73316508640269</v>
      </c>
      <c r="F68" s="10">
        <f ca="1"/>
        <v>-1.4191831830190489</v>
      </c>
      <c r="G68" s="7">
        <f ca="1"/>
        <v>1.4088539576829151E-2</v>
      </c>
      <c r="H68" s="10">
        <f ca="1"/>
        <v>48.975124235821553</v>
      </c>
      <c r="I68" s="7">
        <f ca="1"/>
        <v>-0.4508035790703081</v>
      </c>
      <c r="J68" s="7">
        <f ca="1"/>
        <v>3.5642528837910206</v>
      </c>
      <c r="K68">
        <f ca="1"/>
        <v>0</v>
      </c>
      <c r="L68">
        <f ca="1"/>
        <v>0</v>
      </c>
    </row>
    <row r="69" spans="2:12">
      <c r="B69">
        <v>1.18E-2</v>
      </c>
      <c r="C69">
        <f ca="1"/>
        <v>3.3684163772799404E-2</v>
      </c>
      <c r="D69">
        <f ca="1"/>
        <v>1</v>
      </c>
      <c r="E69" s="11">
        <f ca="1"/>
        <v>100.65220090307514</v>
      </c>
      <c r="F69" s="10">
        <f ca="1"/>
        <v>0.32798103999618961</v>
      </c>
      <c r="G69" s="7">
        <f ca="1"/>
        <v>-3.2585580549006066E-3</v>
      </c>
      <c r="H69" s="10">
        <f ca="1"/>
        <v>49.303105275817742</v>
      </c>
      <c r="I69" s="7">
        <f ca="1"/>
        <v>-0.45406213712520871</v>
      </c>
      <c r="J69" s="7">
        <f ca="1"/>
        <v>3.6007518274115853</v>
      </c>
      <c r="K69">
        <f ca="1"/>
        <v>0</v>
      </c>
      <c r="L69">
        <f ca="1"/>
        <v>0</v>
      </c>
    </row>
    <row r="70" spans="2:12">
      <c r="B70">
        <v>1.2E-2</v>
      </c>
      <c r="C70">
        <f ca="1"/>
        <v>6.6309935585510488E-2</v>
      </c>
      <c r="D70">
        <f ca="1"/>
        <v>1</v>
      </c>
      <c r="E70" s="11">
        <f ca="1"/>
        <v>101.31071424203036</v>
      </c>
      <c r="F70" s="10">
        <f ca="1"/>
        <v>-2.6713535656654068</v>
      </c>
      <c r="G70" s="7">
        <f ca="1"/>
        <v>2.6367927475899222E-2</v>
      </c>
      <c r="H70" s="10">
        <f ca="1"/>
        <v>46.631751710152336</v>
      </c>
      <c r="I70" s="7">
        <f ca="1"/>
        <v>-0.42769420964930949</v>
      </c>
      <c r="J70" s="7">
        <f ca="1"/>
        <v>3.3017458534001207</v>
      </c>
      <c r="K70">
        <f ca="1"/>
        <v>0</v>
      </c>
      <c r="L70">
        <f ca="1"/>
        <v>0</v>
      </c>
    </row>
    <row r="71" spans="2:12">
      <c r="B71">
        <v>1.2200000000000001E-2</v>
      </c>
      <c r="C71">
        <f ca="1"/>
        <v>8.1941692403856015E-2</v>
      </c>
      <c r="D71">
        <f ca="1"/>
        <v>1</v>
      </c>
      <c r="E71" s="11">
        <f ca="1"/>
        <v>101.62753624621314</v>
      </c>
      <c r="F71" s="10">
        <f ca="1"/>
        <v>-1.2740772375961018</v>
      </c>
      <c r="G71" s="7">
        <f ca="1"/>
        <v>1.2536732510265658E-2</v>
      </c>
      <c r="H71" s="10">
        <f ca="1"/>
        <v>45.357674472556234</v>
      </c>
      <c r="I71" s="7">
        <f ca="1"/>
        <v>-0.41515747713904383</v>
      </c>
      <c r="J71" s="7">
        <f ca="1"/>
        <v>3.1662429167216573</v>
      </c>
      <c r="K71">
        <f ca="1"/>
        <v>0</v>
      </c>
      <c r="L71">
        <f ca="1"/>
        <v>0</v>
      </c>
    </row>
    <row r="72" spans="2:12">
      <c r="B72">
        <v>1.2400000000000001E-2</v>
      </c>
      <c r="C72">
        <f ca="1"/>
        <v>7.9055988455600218E-2</v>
      </c>
      <c r="D72">
        <f ca="1"/>
        <v>1</v>
      </c>
      <c r="E72" s="11">
        <f ca="1"/>
        <v>101.56849349728527</v>
      </c>
      <c r="F72" s="10">
        <f ca="1"/>
        <v>0.23426237150096371</v>
      </c>
      <c r="G72" s="7">
        <f ca="1"/>
        <v>-2.3064472400314284E-3</v>
      </c>
      <c r="H72" s="10">
        <f ca="1"/>
        <v>45.591936844057194</v>
      </c>
      <c r="I72" s="7">
        <f ca="1"/>
        <v>-0.41746392437907526</v>
      </c>
      <c r="J72" s="7">
        <f ca="1"/>
        <v>3.1907549554099006</v>
      </c>
      <c r="K72">
        <f ca="1"/>
        <v>0</v>
      </c>
      <c r="L72">
        <f ca="1"/>
        <v>0</v>
      </c>
    </row>
    <row r="73" spans="2:12">
      <c r="B73">
        <v>1.26E-2</v>
      </c>
      <c r="C73">
        <f ca="1"/>
        <v>7.7163081662224839E-2</v>
      </c>
      <c r="D73">
        <f ca="1"/>
        <v>1</v>
      </c>
      <c r="E73" s="11">
        <f ca="1"/>
        <v>101.52964271731047</v>
      </c>
      <c r="F73" s="10">
        <f ca="1"/>
        <v>0.15381655193898303</v>
      </c>
      <c r="G73" s="7">
        <f ca="1"/>
        <v>-1.5149915613044684E-3</v>
      </c>
      <c r="H73" s="10">
        <f ca="1"/>
        <v>45.745753395996175</v>
      </c>
      <c r="I73" s="7">
        <f ca="1"/>
        <v>-0.41897891594037973</v>
      </c>
      <c r="J73" s="7">
        <f ca="1"/>
        <v>3.2069737544833643</v>
      </c>
      <c r="K73">
        <f ca="1"/>
        <v>0</v>
      </c>
      <c r="L73">
        <f ca="1"/>
        <v>0</v>
      </c>
    </row>
    <row r="74" spans="2:12">
      <c r="B74">
        <v>1.2800000000000001E-2</v>
      </c>
      <c r="C74">
        <f ca="1"/>
        <v>9.9148878188490316E-2</v>
      </c>
      <c r="D74">
        <f ca="1"/>
        <v>1</v>
      </c>
      <c r="E74" s="11">
        <f ca="1"/>
        <v>101.97665980165829</v>
      </c>
      <c r="F74" s="10">
        <f ca="1"/>
        <v>-1.7897923287290622</v>
      </c>
      <c r="G74" s="7">
        <f ca="1"/>
        <v>1.7550999730822303E-2</v>
      </c>
      <c r="H74" s="10">
        <f ca="1"/>
        <v>43.955961067267111</v>
      </c>
      <c r="I74" s="7">
        <f ca="1"/>
        <v>-0.40142791620955742</v>
      </c>
      <c r="J74" s="7">
        <f ca="1"/>
        <v>3.0196830210764887</v>
      </c>
      <c r="K74">
        <f ca="1"/>
        <v>0</v>
      </c>
      <c r="L74">
        <f ca="1"/>
        <v>0</v>
      </c>
    </row>
    <row r="75" spans="2:12">
      <c r="B75">
        <v>1.3000000000000001E-2</v>
      </c>
      <c r="C75">
        <f ca="1"/>
        <v>9.6645439163972183E-2</v>
      </c>
      <c r="D75">
        <f ca="1"/>
        <v>1</v>
      </c>
      <c r="E75" s="11">
        <f ca="1"/>
        <v>101.92520641011333</v>
      </c>
      <c r="F75" s="10">
        <f ca="1"/>
        <v>0.20190006055104676</v>
      </c>
      <c r="G75" s="7">
        <f ca="1"/>
        <v>-1.9808648680942342E-3</v>
      </c>
      <c r="H75" s="10">
        <f ca="1"/>
        <v>44.157861127818158</v>
      </c>
      <c r="I75" s="7">
        <f ca="1"/>
        <v>-0.40340878107765166</v>
      </c>
      <c r="J75" s="7">
        <f ca="1"/>
        <v>3.0403378488262902</v>
      </c>
      <c r="K75">
        <f ca="1"/>
        <v>0</v>
      </c>
      <c r="L75">
        <f ca="1"/>
        <v>0</v>
      </c>
    </row>
    <row r="76" spans="2:12">
      <c r="B76">
        <v>1.32E-2</v>
      </c>
      <c r="C76">
        <f ca="1"/>
        <v>7.943522386362098E-2</v>
      </c>
      <c r="D76">
        <f ca="1"/>
        <v>1</v>
      </c>
      <c r="E76" s="11">
        <f ca="1"/>
        <v>101.5745722571002</v>
      </c>
      <c r="F76" s="10">
        <f ca="1"/>
        <v>1.3958376953664493</v>
      </c>
      <c r="G76" s="7">
        <f ca="1"/>
        <v>-1.3741999245966585E-2</v>
      </c>
      <c r="H76" s="10">
        <f ca="1"/>
        <v>45.553698823184611</v>
      </c>
      <c r="I76" s="7">
        <f ca="1"/>
        <v>-0.41715078032361824</v>
      </c>
      <c r="J76" s="7">
        <f ca="1"/>
        <v>3.1817867450975186</v>
      </c>
      <c r="K76">
        <f ca="1"/>
        <v>0</v>
      </c>
      <c r="L76">
        <f ca="1"/>
        <v>0</v>
      </c>
    </row>
    <row r="77" spans="2:12">
      <c r="B77">
        <v>1.34E-2</v>
      </c>
      <c r="C77">
        <f ca="1"/>
        <v>7.4924419537226186E-2</v>
      </c>
      <c r="D77">
        <f ca="1"/>
        <v>1</v>
      </c>
      <c r="E77" s="11">
        <f ca="1"/>
        <v>101.48257104505774</v>
      </c>
      <c r="F77" s="10">
        <f ca="1"/>
        <v>0.36742783531142753</v>
      </c>
      <c r="G77" s="7">
        <f ca="1"/>
        <v>-3.620600380219885E-3</v>
      </c>
      <c r="H77" s="10">
        <f ca="1"/>
        <v>45.921126658496036</v>
      </c>
      <c r="I77" s="7">
        <f ca="1"/>
        <v>-0.42077138070383813</v>
      </c>
      <c r="J77" s="7">
        <f ca="1"/>
        <v>3.2201651224917427</v>
      </c>
      <c r="K77">
        <f ca="1"/>
        <v>0</v>
      </c>
      <c r="L77">
        <f ca="1"/>
        <v>0</v>
      </c>
    </row>
    <row r="78" spans="2:12">
      <c r="B78">
        <v>1.3600000000000001E-2</v>
      </c>
      <c r="C78">
        <f ca="1"/>
        <v>6.9201334869337591E-2</v>
      </c>
      <c r="D78">
        <f ca="1"/>
        <v>1</v>
      </c>
      <c r="E78" s="11">
        <f ca="1"/>
        <v>101.36607336390517</v>
      </c>
      <c r="F78" s="10">
        <f ca="1"/>
        <v>0.46703228867850688</v>
      </c>
      <c r="G78" s="7">
        <f ca="1"/>
        <v>-4.6073826595004475E-3</v>
      </c>
      <c r="H78" s="10">
        <f ca="1"/>
        <v>46.388158947174546</v>
      </c>
      <c r="I78" s="7">
        <f ca="1"/>
        <v>-0.42537876336333857</v>
      </c>
      <c r="J78" s="7">
        <f ca="1"/>
        <v>3.2691840126391085</v>
      </c>
      <c r="K78">
        <f ca="1"/>
        <v>0</v>
      </c>
      <c r="L78">
        <f ca="1"/>
        <v>0</v>
      </c>
    </row>
    <row r="79" spans="2:12">
      <c r="B79">
        <v>1.3800000000000002E-2</v>
      </c>
      <c r="C79">
        <f ca="1"/>
        <v>6.8293854480796445E-2</v>
      </c>
      <c r="D79">
        <f ca="1"/>
        <v>1</v>
      </c>
      <c r="E79" s="11">
        <f ca="1"/>
        <v>101.34727209871788</v>
      </c>
      <c r="F79" s="10">
        <f ca="1"/>
        <v>7.428946023651424E-2</v>
      </c>
      <c r="G79" s="7">
        <f ca="1"/>
        <v>-7.3301884400156503E-4</v>
      </c>
      <c r="H79" s="10">
        <f ca="1"/>
        <v>46.46244840741106</v>
      </c>
      <c r="I79" s="7">
        <f ca="1"/>
        <v>-0.42611178220734014</v>
      </c>
      <c r="J79" s="7">
        <f ca="1"/>
        <v>3.277181671574148</v>
      </c>
      <c r="K79">
        <f ca="1"/>
        <v>0</v>
      </c>
      <c r="L79">
        <f ca="1"/>
        <v>0</v>
      </c>
    </row>
    <row r="80" spans="2:12">
      <c r="B80">
        <v>1.4E-2</v>
      </c>
      <c r="C80">
        <f ca="1"/>
        <v>7.7406327882250062E-2</v>
      </c>
      <c r="D80">
        <f ca="1"/>
        <v>1</v>
      </c>
      <c r="E80" s="11">
        <f ca="1"/>
        <v>101.5317392493225</v>
      </c>
      <c r="F80" s="10">
        <f ca="1"/>
        <v>-0.74523604513973529</v>
      </c>
      <c r="G80" s="7">
        <f ca="1"/>
        <v>7.3399318346130671E-3</v>
      </c>
      <c r="H80" s="10">
        <f ca="1"/>
        <v>45.717212362271326</v>
      </c>
      <c r="I80" s="7">
        <f ca="1"/>
        <v>-0.41877185037272707</v>
      </c>
      <c r="J80" s="7">
        <f ca="1"/>
        <v>3.1985780452713044</v>
      </c>
      <c r="K80">
        <f ca="1"/>
        <v>0</v>
      </c>
      <c r="L80">
        <f ca="1"/>
        <v>0</v>
      </c>
    </row>
    <row r="81" spans="2:12">
      <c r="B81">
        <v>1.4200000000000001E-2</v>
      </c>
      <c r="C81">
        <f ca="1"/>
        <v>7.5994215902554008E-2</v>
      </c>
      <c r="D81">
        <f ca="1"/>
        <v>1</v>
      </c>
      <c r="E81" s="11">
        <f ca="1"/>
        <v>101.50266244962494</v>
      </c>
      <c r="F81" s="10">
        <f ca="1"/>
        <v>0.11516030048857565</v>
      </c>
      <c r="G81" s="7">
        <f ca="1"/>
        <v>-1.1345544807332408E-3</v>
      </c>
      <c r="H81" s="10">
        <f ca="1"/>
        <v>45.832372662759902</v>
      </c>
      <c r="I81" s="7">
        <f ca="1"/>
        <v>-0.41990640485346031</v>
      </c>
      <c r="J81" s="7">
        <f ca="1"/>
        <v>3.2107545904835675</v>
      </c>
      <c r="K81">
        <f ca="1"/>
        <v>0</v>
      </c>
      <c r="L81">
        <f ca="1"/>
        <v>0</v>
      </c>
    </row>
    <row r="82" spans="2:12">
      <c r="B82">
        <v>1.4400000000000001E-2</v>
      </c>
      <c r="C82">
        <f ca="1"/>
        <v>7.8927835266078925E-2</v>
      </c>
      <c r="D82">
        <f ca="1"/>
        <v>1</v>
      </c>
      <c r="E82" s="11">
        <f ca="1"/>
        <v>101.56182771100836</v>
      </c>
      <c r="F82" s="10">
        <f ca="1"/>
        <v>-0.23991558727730045</v>
      </c>
      <c r="G82" s="7">
        <f ca="1"/>
        <v>2.3622614193196112E-3</v>
      </c>
      <c r="H82" s="10">
        <f ca="1"/>
        <v>45.592457075482599</v>
      </c>
      <c r="I82" s="7">
        <f ca="1"/>
        <v>-0.4175441434341407</v>
      </c>
      <c r="J82" s="7">
        <f ca="1"/>
        <v>3.1859107182838358</v>
      </c>
      <c r="K82">
        <f ca="1"/>
        <v>0</v>
      </c>
      <c r="L82">
        <f ca="1"/>
        <v>0</v>
      </c>
    </row>
    <row r="83" spans="2:12">
      <c r="B83">
        <v>1.46E-2</v>
      </c>
      <c r="C83">
        <f ca="1"/>
        <v>8.1638595247293236E-2</v>
      </c>
      <c r="D83">
        <f ca="1"/>
        <v>1</v>
      </c>
      <c r="E83" s="11">
        <f ca="1"/>
        <v>101.61649812050871</v>
      </c>
      <c r="F83" s="10">
        <f ca="1"/>
        <v>-0.22174827975921077</v>
      </c>
      <c r="G83" s="7">
        <f ca="1"/>
        <v>2.1822074550948978E-3</v>
      </c>
      <c r="H83" s="10">
        <f ca="1"/>
        <v>45.370708795723388</v>
      </c>
      <c r="I83" s="7">
        <f ca="1"/>
        <v>-0.4153619359790458</v>
      </c>
      <c r="J83" s="7">
        <f ca="1"/>
        <v>3.163083408977819</v>
      </c>
      <c r="K83">
        <f ca="1"/>
        <v>0</v>
      </c>
      <c r="L83">
        <f ca="1"/>
        <v>0</v>
      </c>
    </row>
    <row r="84" spans="2:12">
      <c r="B84">
        <v>1.4800000000000001E-2</v>
      </c>
      <c r="C84">
        <f ca="1"/>
        <v>9.9220212687677709E-2</v>
      </c>
      <c r="D84">
        <f ca="1"/>
        <v>1</v>
      </c>
      <c r="E84" s="11">
        <f ca="1"/>
        <v>101.97403565982117</v>
      </c>
      <c r="F84" s="10">
        <f ca="1"/>
        <v>-1.4359516147234019</v>
      </c>
      <c r="G84" s="7">
        <f ca="1"/>
        <v>1.4081541496637873E-2</v>
      </c>
      <c r="H84" s="10">
        <f ca="1"/>
        <v>43.934757180999988</v>
      </c>
      <c r="I84" s="7">
        <f ca="1"/>
        <v>-0.40128039448240793</v>
      </c>
      <c r="J84" s="7">
        <f ca="1"/>
        <v>3.0145759244638128</v>
      </c>
      <c r="K84">
        <f ca="1"/>
        <v>0</v>
      </c>
      <c r="L84">
        <f ca="1"/>
        <v>0</v>
      </c>
    </row>
    <row r="85" spans="2:12">
      <c r="B85">
        <v>1.5000000000000001E-2</v>
      </c>
      <c r="C85">
        <f ca="1"/>
        <v>0.10361133018192059</v>
      </c>
      <c r="D85">
        <f ca="1"/>
        <v>1</v>
      </c>
      <c r="E85" s="11">
        <f ca="1"/>
        <v>102.06322273710656</v>
      </c>
      <c r="F85" s="10">
        <f ca="1"/>
        <v>-0.35800458228328214</v>
      </c>
      <c r="G85" s="7">
        <f ca="1"/>
        <v>3.5076746812652271E-3</v>
      </c>
      <c r="H85" s="10">
        <f ca="1"/>
        <v>43.576752598716709</v>
      </c>
      <c r="I85" s="7">
        <f ca="1"/>
        <v>-0.3977727198011427</v>
      </c>
      <c r="J85" s="7">
        <f ca="1"/>
        <v>2.9787868989080053</v>
      </c>
      <c r="K85">
        <f ca="1"/>
        <v>0</v>
      </c>
      <c r="L85">
        <f ca="1"/>
        <v>0</v>
      </c>
    </row>
    <row r="86" spans="2:12">
      <c r="B86">
        <v>1.52E-2</v>
      </c>
      <c r="C86">
        <f ca="1"/>
        <v>0.10482158147721676</v>
      </c>
      <c r="D86">
        <f ca="1"/>
        <v>1</v>
      </c>
      <c r="E86" s="11">
        <f ca="1"/>
        <v>102.0875218058046</v>
      </c>
      <c r="F86" s="10">
        <f ca="1"/>
        <v>-9.9424088681012657E-2</v>
      </c>
      <c r="G86" s="7">
        <f ca="1"/>
        <v>9.7391029699145371E-4</v>
      </c>
      <c r="H86" s="10">
        <f ca="1"/>
        <v>43.477328510035697</v>
      </c>
      <c r="I86" s="7">
        <f ca="1"/>
        <v>-0.39679880950415125</v>
      </c>
      <c r="J86" s="7">
        <f ca="1"/>
        <v>2.9691213922633537</v>
      </c>
      <c r="K86">
        <f ca="1"/>
        <v>0</v>
      </c>
      <c r="L86">
        <f ca="1"/>
        <v>0</v>
      </c>
    </row>
    <row r="87" spans="2:12">
      <c r="B87">
        <v>1.54E-2</v>
      </c>
      <c r="C87">
        <f ca="1"/>
        <v>8.5816857825859072E-2</v>
      </c>
      <c r="D87">
        <f ca="1"/>
        <v>1</v>
      </c>
      <c r="E87" s="11">
        <f ca="1"/>
        <v>101.6998224826777</v>
      </c>
      <c r="F87" s="10">
        <f ca="1"/>
        <v>1.5447579913128704</v>
      </c>
      <c r="G87" s="7">
        <f ca="1"/>
        <v>-1.518938729294228E-2</v>
      </c>
      <c r="H87" s="10">
        <f ca="1"/>
        <v>45.022086501348568</v>
      </c>
      <c r="I87" s="7">
        <f ca="1"/>
        <v>-0.41198819679709353</v>
      </c>
      <c r="J87" s="7">
        <f ca="1"/>
        <v>3.1229600221256675</v>
      </c>
      <c r="K87">
        <f ca="1"/>
        <v>0</v>
      </c>
      <c r="L87">
        <f ca="1"/>
        <v>0</v>
      </c>
    </row>
    <row r="88" spans="2:12">
      <c r="B88">
        <v>1.5600000000000001E-2</v>
      </c>
      <c r="C88">
        <f ca="1"/>
        <v>7.8746642156590108E-2</v>
      </c>
      <c r="D88">
        <f ca="1"/>
        <v>1</v>
      </c>
      <c r="E88" s="11">
        <f ca="1"/>
        <v>101.5557099507342</v>
      </c>
      <c r="F88" s="10">
        <f ca="1"/>
        <v>0.57762962290852093</v>
      </c>
      <c r="G88" s="7">
        <f ca="1"/>
        <v>-5.6878103967638594E-3</v>
      </c>
      <c r="H88" s="10">
        <f ca="1"/>
        <v>45.599716124257085</v>
      </c>
      <c r="I88" s="7">
        <f ca="1"/>
        <v>-0.41767600719385739</v>
      </c>
      <c r="J88" s="7">
        <f ca="1"/>
        <v>3.1823326842969308</v>
      </c>
      <c r="K88">
        <f ca="1"/>
        <v>0</v>
      </c>
      <c r="L88">
        <f ca="1"/>
        <v>0</v>
      </c>
    </row>
    <row r="89" spans="2:12">
      <c r="B89">
        <v>1.5800000000000002E-2</v>
      </c>
      <c r="C89">
        <f ca="1"/>
        <v>7.2041016785322751E-2</v>
      </c>
      <c r="D89">
        <f ca="1"/>
        <v>1</v>
      </c>
      <c r="E89" s="11">
        <f ca="1"/>
        <v>101.41919665315913</v>
      </c>
      <c r="F89" s="10">
        <f ca="1"/>
        <v>0.54918242313336174</v>
      </c>
      <c r="G89" s="7">
        <f ca="1"/>
        <v>-5.4149750861416934E-3</v>
      </c>
      <c r="H89" s="10">
        <f ca="1"/>
        <v>46.148898547390445</v>
      </c>
      <c r="I89" s="7">
        <f ca="1"/>
        <v>-0.42309098227999908</v>
      </c>
      <c r="J89" s="7">
        <f ca="1"/>
        <v>3.2393510133569521</v>
      </c>
      <c r="K89">
        <f ca="1"/>
        <v>0</v>
      </c>
      <c r="L89">
        <f ca="1"/>
        <v>0</v>
      </c>
    </row>
    <row r="90" spans="2:12">
      <c r="B90">
        <v>1.6E-2</v>
      </c>
      <c r="C90">
        <f ca="1"/>
        <v>6.6072811431147863E-2</v>
      </c>
      <c r="D90">
        <f ca="1"/>
        <v>1</v>
      </c>
      <c r="E90" s="11">
        <f ca="1"/>
        <v>101.29780556386301</v>
      </c>
      <c r="F90" s="10">
        <f ca="1"/>
        <v>0.48986449322292547</v>
      </c>
      <c r="G90" s="7">
        <f ca="1"/>
        <v>-4.8358845534328121E-3</v>
      </c>
      <c r="H90" s="10">
        <f ca="1"/>
        <v>46.63876304061337</v>
      </c>
      <c r="I90" s="7">
        <f ca="1"/>
        <v>-0.4279268668334319</v>
      </c>
      <c r="J90" s="7">
        <f ca="1"/>
        <v>3.2907104885672851</v>
      </c>
      <c r="K90">
        <f ca="1"/>
        <v>0</v>
      </c>
      <c r="L90">
        <f ca="1"/>
        <v>0</v>
      </c>
    </row>
    <row r="91" spans="2:12">
      <c r="B91">
        <v>1.6199999999999999E-2</v>
      </c>
      <c r="C91">
        <f ca="1"/>
        <v>4.5051661154827519E-2</v>
      </c>
      <c r="D91">
        <f ca="1"/>
        <v>1</v>
      </c>
      <c r="E91" s="11">
        <f ca="1"/>
        <v>100.87241678864578</v>
      </c>
      <c r="F91" s="10">
        <f ca="1"/>
        <v>1.7273514916465846</v>
      </c>
      <c r="G91" s="7">
        <f ca="1"/>
        <v>-1.7124121208137999E-2</v>
      </c>
      <c r="H91" s="10">
        <f ca="1"/>
        <v>48.366114532259957</v>
      </c>
      <c r="I91" s="7">
        <f ca="1"/>
        <v>-0.44505098804156989</v>
      </c>
      <c r="J91" s="7">
        <f ca="1"/>
        <v>3.4727457743321111</v>
      </c>
      <c r="K91">
        <f ca="1"/>
        <v>0</v>
      </c>
      <c r="L91">
        <f ca="1"/>
        <v>0</v>
      </c>
    </row>
    <row r="92" spans="2:12">
      <c r="B92">
        <v>1.6400000000000001E-2</v>
      </c>
      <c r="C92">
        <f ca="1"/>
        <v>4.6821535135493877E-2</v>
      </c>
      <c r="D92">
        <f ca="1"/>
        <v>1</v>
      </c>
      <c r="E92" s="11">
        <f ca="1"/>
        <v>100.90772577041332</v>
      </c>
      <c r="F92" s="10">
        <f ca="1"/>
        <v>-0.145035301526662</v>
      </c>
      <c r="G92" s="7">
        <f ca="1"/>
        <v>1.4373062163411388E-3</v>
      </c>
      <c r="H92" s="10">
        <f ca="1"/>
        <v>48.221079230733295</v>
      </c>
      <c r="I92" s="7">
        <f ca="1"/>
        <v>-0.44361368182522876</v>
      </c>
      <c r="J92" s="7">
        <f ca="1"/>
        <v>3.457031477109723</v>
      </c>
      <c r="K92">
        <f ca="1"/>
        <v>0</v>
      </c>
      <c r="L92">
        <f ca="1"/>
        <v>0</v>
      </c>
    </row>
    <row r="93" spans="2:12">
      <c r="B93">
        <v>1.66E-2</v>
      </c>
      <c r="C93">
        <f ca="1"/>
        <v>1.5892450867084698E-2</v>
      </c>
      <c r="D93">
        <f ca="1"/>
        <v>1</v>
      </c>
      <c r="E93" s="11">
        <f ca="1"/>
        <v>100.28505452732584</v>
      </c>
      <c r="F93" s="10">
        <f ca="1"/>
        <v>2.5463704039530506</v>
      </c>
      <c r="G93" s="7">
        <f ca="1"/>
        <v>-2.5391324918302871E-2</v>
      </c>
      <c r="H93" s="10">
        <f ca="1"/>
        <v>50.767449634686344</v>
      </c>
      <c r="I93" s="7">
        <f ca="1"/>
        <v>-0.46900500674353163</v>
      </c>
      <c r="J93" s="7">
        <f ca="1"/>
        <v>3.7332569598224481</v>
      </c>
      <c r="K93">
        <f ca="1"/>
        <v>0</v>
      </c>
      <c r="L93">
        <f ca="1"/>
        <v>0</v>
      </c>
    </row>
    <row r="94" spans="2:12">
      <c r="B94">
        <v>1.6800000000000002E-2</v>
      </c>
      <c r="C94">
        <f ca="1"/>
        <v>1.7236236213497534E-3</v>
      </c>
      <c r="D94">
        <f ca="1"/>
        <v>1</v>
      </c>
      <c r="E94" s="11">
        <f ca="1"/>
        <v>100.00087247623304</v>
      </c>
      <c r="F94" s="10">
        <f ca="1"/>
        <v>1.1701347754664375</v>
      </c>
      <c r="G94" s="7">
        <f ca="1"/>
        <v>-1.1701245664076987E-2</v>
      </c>
      <c r="H94" s="10">
        <f ca="1"/>
        <v>51.93758441015278</v>
      </c>
      <c r="I94" s="7">
        <f ca="1"/>
        <v>-0.48070625240760861</v>
      </c>
      <c r="J94" s="7">
        <f ca="1"/>
        <v>3.8665397646116162</v>
      </c>
      <c r="K94">
        <f ca="1"/>
        <v>0</v>
      </c>
      <c r="L94">
        <f ca="1"/>
        <v>0</v>
      </c>
    </row>
    <row r="95" spans="2:12">
      <c r="B95">
        <v>1.7000000000000001E-2</v>
      </c>
      <c r="C95">
        <f ca="1"/>
        <v>-1.0943847160356743E-2</v>
      </c>
      <c r="D95">
        <f ca="1"/>
        <v>1</v>
      </c>
      <c r="E95" s="11">
        <f ca="1"/>
        <v>99.747442521194216</v>
      </c>
      <c r="F95" s="10">
        <f ca="1"/>
        <v>1.0460883997423411</v>
      </c>
      <c r="G95" s="7">
        <f ca="1"/>
        <v>-1.0487370636295457E-2</v>
      </c>
      <c r="H95" s="10">
        <f ca="1"/>
        <v>52.983672809895118</v>
      </c>
      <c r="I95" s="7">
        <f ca="1"/>
        <v>-0.49119362304390407</v>
      </c>
      <c r="J95" s="7">
        <f ca="1"/>
        <v>3.9883651285461568</v>
      </c>
      <c r="K95">
        <f ca="1"/>
        <v>0</v>
      </c>
      <c r="L95">
        <f ca="1"/>
        <v>0.25255747880578383</v>
      </c>
    </row>
    <row r="96" spans="2:12">
      <c r="B96">
        <v>1.72E-2</v>
      </c>
      <c r="C96">
        <f ca="1"/>
        <v>-3.4908444474783924E-2</v>
      </c>
      <c r="D96">
        <f ca="1"/>
        <v>1</v>
      </c>
      <c r="E96" s="11">
        <f ca="1"/>
        <v>99.270107856070197</v>
      </c>
      <c r="F96" s="10">
        <f ca="1"/>
        <v>1.9697098681521448</v>
      </c>
      <c r="G96" s="7">
        <f ca="1"/>
        <v>-1.984192332104634E-2</v>
      </c>
      <c r="H96" s="10">
        <f ca="1"/>
        <v>54.953382678047262</v>
      </c>
      <c r="I96" s="7">
        <f ca="1"/>
        <v>-0.51103554636495041</v>
      </c>
      <c r="J96" s="7">
        <f ca="1"/>
        <v>4.2228288721128706</v>
      </c>
      <c r="K96">
        <f ca="1"/>
        <v>0</v>
      </c>
      <c r="L96">
        <f ca="1"/>
        <v>0.72989214392980273</v>
      </c>
    </row>
    <row r="97" spans="2:12">
      <c r="B97">
        <v>1.7400000000000002E-2</v>
      </c>
      <c r="C97">
        <f ca="1"/>
        <v>-8.6829912622005782E-3</v>
      </c>
      <c r="D97">
        <f ca="1"/>
        <v>1</v>
      </c>
      <c r="E97" s="11">
        <f ca="1"/>
        <v>99.791757301349577</v>
      </c>
      <c r="F97" s="10">
        <f ca="1"/>
        <v>-2.1607845688104295</v>
      </c>
      <c r="G97" s="7">
        <f ca="1"/>
        <v>2.1652936347090534E-2</v>
      </c>
      <c r="H97" s="10">
        <f ca="1"/>
        <v>52.792598109236835</v>
      </c>
      <c r="I97" s="7">
        <f ca="1"/>
        <v>-0.48938261001785988</v>
      </c>
      <c r="J97" s="7">
        <f ca="1"/>
        <v>3.9562474628335522</v>
      </c>
      <c r="K97">
        <f ca="1"/>
        <v>0</v>
      </c>
      <c r="L97">
        <f ca="1"/>
        <v>0.20824269865042311</v>
      </c>
    </row>
    <row r="98" spans="2:12">
      <c r="B98">
        <v>1.7600000000000001E-2</v>
      </c>
      <c r="C98">
        <f ca="1"/>
        <v>-3.5661505099772201E-2</v>
      </c>
      <c r="D98">
        <f ca="1"/>
        <v>1</v>
      </c>
      <c r="E98" s="11">
        <f ca="1"/>
        <v>99.254363661957456</v>
      </c>
      <c r="F98" s="10">
        <f ca="1"/>
        <v>2.2184880358202252</v>
      </c>
      <c r="G98" s="7">
        <f ca="1"/>
        <v>-2.2351541574292866E-2</v>
      </c>
      <c r="H98" s="10">
        <f ca="1"/>
        <v>55.011086145057057</v>
      </c>
      <c r="I98" s="7">
        <f ca="1"/>
        <v>-0.51173415159215274</v>
      </c>
      <c r="J98" s="7">
        <f ca="1"/>
        <v>4.2192385646862647</v>
      </c>
      <c r="K98">
        <f ca="1"/>
        <v>0</v>
      </c>
      <c r="L98">
        <f ca="1"/>
        <v>0.74563633804254437</v>
      </c>
    </row>
    <row r="99" spans="2:12">
      <c r="B99">
        <v>1.78E-2</v>
      </c>
      <c r="C99">
        <f ca="1"/>
        <v>-4.4856355705727782E-2</v>
      </c>
      <c r="D99">
        <f ca="1"/>
        <v>1</v>
      </c>
      <c r="E99" s="11">
        <f ca="1"/>
        <v>99.07160929247955</v>
      </c>
      <c r="F99" s="10">
        <f ca="1"/>
        <v>0.75736976224538166</v>
      </c>
      <c r="G99" s="7">
        <f ca="1"/>
        <v>-7.6446700286201263E-3</v>
      </c>
      <c r="H99" s="10">
        <f ca="1"/>
        <v>55.768455907302439</v>
      </c>
      <c r="I99" s="7">
        <f ca="1"/>
        <v>-0.51937882162077287</v>
      </c>
      <c r="J99">
        <f ca="1"/>
        <v>4.3127602169007986</v>
      </c>
      <c r="K99">
        <f ca="1"/>
        <v>0</v>
      </c>
      <c r="L99">
        <f ca="1"/>
        <v>0.92839070752044961</v>
      </c>
    </row>
    <row r="100" spans="2:12">
      <c r="B100">
        <v>1.8000000000000002E-2</v>
      </c>
      <c r="C100">
        <f ca="1"/>
        <v>-5.3192162105380802E-2</v>
      </c>
      <c r="D100">
        <f ca="1"/>
        <v>1</v>
      </c>
      <c r="E100" s="11">
        <f ca="1"/>
        <v>98.906182920663127</v>
      </c>
      <c r="F100" s="10">
        <f ca="1"/>
        <v>0.68583622509159659</v>
      </c>
      <c r="G100" s="7">
        <f ca="1"/>
        <v>-6.9342098222689996E-3</v>
      </c>
      <c r="H100" s="10">
        <f ca="1"/>
        <v>56.454292132394038</v>
      </c>
      <c r="I100" s="7">
        <f ca="1"/>
        <v>-0.52631303144304187</v>
      </c>
      <c r="J100">
        <f ca="1"/>
        <v>4.3986791709598165</v>
      </c>
      <c r="K100">
        <f ca="1"/>
        <v>0</v>
      </c>
      <c r="L100">
        <f ca="1"/>
        <v>1.0938170793368727</v>
      </c>
    </row>
    <row r="101" spans="2:12">
      <c r="B101">
        <v>1.8200000000000001E-2</v>
      </c>
      <c r="C101">
        <f ca="1"/>
        <v>-5.0369150158615948E-2</v>
      </c>
      <c r="D101">
        <f ca="1"/>
        <v>1</v>
      </c>
      <c r="E101" s="11">
        <f ca="1"/>
        <v>98.961645507907164</v>
      </c>
      <c r="F101" s="10">
        <f ca="1"/>
        <v>-0.22663403845169619</v>
      </c>
      <c r="G101" s="7">
        <f ca="1"/>
        <v>2.2901199478699841E-3</v>
      </c>
      <c r="H101" s="10">
        <f ca="1"/>
        <v>56.227658093942338</v>
      </c>
      <c r="I101" s="7">
        <f ca="1"/>
        <v>-0.52402291149517188</v>
      </c>
      <c r="J101">
        <f ca="1"/>
        <v>4.3694884885357297</v>
      </c>
      <c r="K101">
        <f ca="1"/>
        <v>0</v>
      </c>
      <c r="L101">
        <f ca="1"/>
        <v>1.0383544920928358</v>
      </c>
    </row>
    <row r="102" spans="2:12">
      <c r="B102">
        <v>1.84E-2</v>
      </c>
      <c r="C102">
        <f ca="1"/>
        <v>-2.3489235042946199E-2</v>
      </c>
      <c r="D102">
        <f ca="1"/>
        <v>1</v>
      </c>
      <c r="E102" s="11">
        <f ca="1"/>
        <v>99.494696275447296</v>
      </c>
      <c r="F102" s="10">
        <f ca="1"/>
        <v>-2.2112376507047378</v>
      </c>
      <c r="G102" s="7">
        <f ca="1"/>
        <v>2.2224678635964779E-2</v>
      </c>
      <c r="H102" s="10">
        <f ca="1"/>
        <v>54.0164204432376</v>
      </c>
      <c r="I102" s="7">
        <f ca="1"/>
        <v>-0.50179823285920711</v>
      </c>
      <c r="J102">
        <f ca="1"/>
        <v>4.0901576733546108</v>
      </c>
      <c r="K102">
        <f ca="1"/>
        <v>0</v>
      </c>
      <c r="L102">
        <f ca="1"/>
        <v>0.50530372455270367</v>
      </c>
    </row>
    <row r="103" spans="2:12">
      <c r="B103">
        <v>1.8600000000000002E-2</v>
      </c>
      <c r="C103">
        <f ca="1"/>
        <v>-4.0524454877617785E-2</v>
      </c>
      <c r="D103">
        <f ca="1"/>
        <v>1</v>
      </c>
      <c r="E103" s="11">
        <f ca="1"/>
        <v>99.155893655794387</v>
      </c>
      <c r="F103" s="10">
        <f ca="1"/>
        <v>1.403804708702256</v>
      </c>
      <c r="G103" s="7">
        <f ca="1"/>
        <v>-1.415755188063117E-2</v>
      </c>
      <c r="H103" s="10">
        <f ca="1"/>
        <v>55.420225151939853</v>
      </c>
      <c r="I103" s="7">
        <f ca="1"/>
        <v>-0.51595578473983827</v>
      </c>
      <c r="J103">
        <f ca="1"/>
        <v>4.260168229184508</v>
      </c>
      <c r="K103">
        <f ca="1"/>
        <v>0</v>
      </c>
      <c r="L103">
        <f ca="1"/>
        <v>0.84410634420561337</v>
      </c>
    </row>
    <row r="104" spans="2:12">
      <c r="B104">
        <v>1.8800000000000001E-2</v>
      </c>
      <c r="C104">
        <f ca="1"/>
        <v>-1.0403518885059637E-2</v>
      </c>
      <c r="D104">
        <f ca="1"/>
        <v>1</v>
      </c>
      <c r="E104" s="11">
        <f ca="1"/>
        <v>99.754631145003344</v>
      </c>
      <c r="F104" s="10">
        <f ca="1"/>
        <v>-2.488474023451396</v>
      </c>
      <c r="G104" s="7">
        <f ca="1"/>
        <v>2.4945949825969982E-2</v>
      </c>
      <c r="H104" s="10">
        <f ca="1"/>
        <v>52.931751128488457</v>
      </c>
      <c r="I104" s="7">
        <f ca="1"/>
        <v>-0.49100983491386829</v>
      </c>
      <c r="J104">
        <f ca="1"/>
        <v>3.9512461580865406</v>
      </c>
      <c r="K104">
        <f ca="1"/>
        <v>0</v>
      </c>
      <c r="L104">
        <f ca="1"/>
        <v>0.24536885499665573</v>
      </c>
    </row>
    <row r="105" spans="2:12">
      <c r="B105">
        <v>1.9E-2</v>
      </c>
      <c r="C105">
        <f ca="1"/>
        <v>-4.5724972832782524E-3</v>
      </c>
      <c r="D105">
        <f ca="1"/>
        <v>1</v>
      </c>
      <c r="E105" s="11">
        <f ca="1"/>
        <v>99.870633804634451</v>
      </c>
      <c r="F105" s="10">
        <f ca="1"/>
        <v>-0.48025144028183592</v>
      </c>
      <c r="G105" s="7">
        <f ca="1"/>
        <v>4.8087352806961969E-3</v>
      </c>
      <c r="H105" s="10">
        <f ca="1"/>
        <v>52.451499688206624</v>
      </c>
      <c r="I105" s="7">
        <f ca="1"/>
        <v>-0.4862010996331721</v>
      </c>
      <c r="J105">
        <f ca="1"/>
        <v>3.8942877113315078</v>
      </c>
      <c r="K105">
        <f ca="1"/>
        <v>0</v>
      </c>
      <c r="L105">
        <f ca="1"/>
        <v>0.12936619536554872</v>
      </c>
    </row>
    <row r="106" spans="2:12">
      <c r="B106">
        <v>1.9200000000000002E-2</v>
      </c>
      <c r="C106">
        <f ca="1"/>
        <v>-4.2659300777702002E-3</v>
      </c>
      <c r="D106">
        <f ca="1"/>
        <v>1</v>
      </c>
      <c r="E106" s="11">
        <f ca="1"/>
        <v>99.876357898354996</v>
      </c>
      <c r="F106" s="10">
        <f ca="1"/>
        <v>-2.2691931773150119E-2</v>
      </c>
      <c r="G106" s="7">
        <f ca="1"/>
        <v>2.2720023287436941E-4</v>
      </c>
      <c r="H106" s="10">
        <f ca="1"/>
        <v>52.428807756433471</v>
      </c>
      <c r="I106" s="7">
        <f ca="1"/>
        <v>-0.48597389940029773</v>
      </c>
      <c r="J106">
        <f ca="1"/>
        <v>3.8915046506701714</v>
      </c>
      <c r="K106">
        <f ca="1"/>
        <v>0</v>
      </c>
      <c r="L106">
        <f ca="1"/>
        <v>0.12364210164500378</v>
      </c>
    </row>
    <row r="107" spans="2:12">
      <c r="B107">
        <v>1.9400000000000001E-2</v>
      </c>
      <c r="C107">
        <f ca="1"/>
        <v>-1.3152768085414251E-2</v>
      </c>
      <c r="D107">
        <f ca="1"/>
        <v>1</v>
      </c>
      <c r="E107" s="11">
        <f ca="1"/>
        <v>99.698599763533522</v>
      </c>
      <c r="F107" s="10">
        <f ca="1"/>
        <v>0.73851468102758921</v>
      </c>
      <c r="G107" s="7">
        <f ca="1"/>
        <v>-7.4074729512672022E-3</v>
      </c>
      <c r="H107" s="10">
        <f ca="1"/>
        <v>53.16732243746106</v>
      </c>
      <c r="I107" s="7">
        <f ca="1"/>
        <v>-0.49338137235156493</v>
      </c>
      <c r="J107">
        <f ca="1"/>
        <v>3.9778904645994828</v>
      </c>
      <c r="K107">
        <f ca="1"/>
        <v>0</v>
      </c>
      <c r="L107">
        <f ca="1"/>
        <v>0.30140023646647762</v>
      </c>
    </row>
    <row r="108" spans="2:12">
      <c r="B108">
        <v>1.9599999999999999E-2</v>
      </c>
      <c r="C108">
        <f ca="1"/>
        <v>-1.8105346619614687E-2</v>
      </c>
      <c r="D108">
        <f ca="1"/>
        <v>1</v>
      </c>
      <c r="E108" s="11">
        <f ca="1"/>
        <v>99.599497227801123</v>
      </c>
      <c r="F108" s="10">
        <f ca="1"/>
        <v>0.41297144217485787</v>
      </c>
      <c r="G108" s="7">
        <f ca="1"/>
        <v>-4.1463205504975731E-3</v>
      </c>
      <c r="H108" s="10">
        <f ca="1"/>
        <v>53.580293879635917</v>
      </c>
      <c r="I108" s="7">
        <f ca="1"/>
        <v>-0.4975276929020625</v>
      </c>
      <c r="J108">
        <f ca="1"/>
        <v>4.0267858096826572</v>
      </c>
      <c r="K108">
        <f ca="1"/>
        <v>0</v>
      </c>
      <c r="L108">
        <f ca="1"/>
        <v>0.40050277219887676</v>
      </c>
    </row>
    <row r="109" spans="2:12">
      <c r="B109">
        <v>1.9800000000000002E-2</v>
      </c>
      <c r="C109">
        <f ca="1"/>
        <v>-3.5143840819372704E-2</v>
      </c>
      <c r="D109">
        <f ca="1"/>
        <v>1</v>
      </c>
      <c r="E109" s="11">
        <f ca="1"/>
        <v>99.26027273359486</v>
      </c>
      <c r="F109" s="10">
        <f ca="1"/>
        <v>1.4092805900561789</v>
      </c>
      <c r="G109" s="7">
        <f ca="1"/>
        <v>-1.4197831128658633E-2</v>
      </c>
      <c r="H109" s="10">
        <f ca="1"/>
        <v>54.989574469692094</v>
      </c>
      <c r="I109" s="7">
        <f ca="1"/>
        <v>-0.51172552403072114</v>
      </c>
      <c r="J109">
        <f ca="1"/>
        <v>4.1955593896609642</v>
      </c>
      <c r="K109">
        <f ca="1"/>
        <v>0</v>
      </c>
      <c r="L109">
        <f ca="1"/>
        <v>0.73972726640513997</v>
      </c>
    </row>
    <row r="110" spans="2:12">
      <c r="B110">
        <v>0.02</v>
      </c>
      <c r="C110">
        <f ca="1"/>
        <v>-4.174956645039507E-2</v>
      </c>
      <c r="D110">
        <f ca="1"/>
        <v>1</v>
      </c>
      <c r="E110" s="11">
        <f ca="1"/>
        <v>99.128825579469236</v>
      </c>
      <c r="F110" s="10">
        <f ca="1"/>
        <v>0.54814909957394453</v>
      </c>
      <c r="G110" s="7">
        <f ca="1"/>
        <v>-5.5296640141722087E-3</v>
      </c>
      <c r="H110" s="10">
        <f ca="1"/>
        <v>55.537723569266042</v>
      </c>
      <c r="I110" s="7">
        <f ca="1"/>
        <v>-0.51725518804489334</v>
      </c>
      <c r="J110">
        <f ca="1"/>
        <v>4.2628242534882475</v>
      </c>
      <c r="K110">
        <f ca="1"/>
        <v>0</v>
      </c>
      <c r="L110">
        <f ca="1"/>
        <v>0.87117442053076388</v>
      </c>
    </row>
    <row r="111" spans="2:12">
      <c r="B111">
        <v>2.0200000000000003E-2</v>
      </c>
      <c r="C111">
        <f ca="1"/>
        <v>-6.9129568073752312E-2</v>
      </c>
      <c r="D111">
        <f ca="1"/>
        <v>1</v>
      </c>
      <c r="E111">
        <f ca="1"/>
        <v>98.587085307265795</v>
      </c>
      <c r="F111" s="10">
        <f ca="1"/>
        <v>2.2443197538868982</v>
      </c>
      <c r="G111" s="7">
        <f ca="1"/>
        <v>-2.2764845384078858E-2</v>
      </c>
      <c r="H111" s="10">
        <f ca="1"/>
        <v>57.782043323152941</v>
      </c>
      <c r="I111" s="7">
        <f ca="1"/>
        <v>-0.5400200334289722</v>
      </c>
      <c r="J111">
        <f ca="1"/>
        <v>4.5430422198583287</v>
      </c>
      <c r="K111">
        <f ca="1"/>
        <v>0</v>
      </c>
      <c r="L111">
        <f ca="1"/>
        <v>1.4129146927342049</v>
      </c>
    </row>
    <row r="112" spans="2:12">
      <c r="B112">
        <v>2.0400000000000001E-2</v>
      </c>
      <c r="C112">
        <f ca="1"/>
        <v>-6.667992572535103E-2</v>
      </c>
      <c r="D112">
        <f ca="1"/>
        <v>1</v>
      </c>
      <c r="E112">
        <f ca="1"/>
        <v>98.635003220155539</v>
      </c>
      <c r="F112" s="10">
        <f ca="1"/>
        <v>-0.19522116917870838</v>
      </c>
      <c r="G112" s="7">
        <f ca="1"/>
        <v>1.9792280915018612E-3</v>
      </c>
      <c r="H112" s="10">
        <f ca="1"/>
        <v>57.586822153974232</v>
      </c>
      <c r="I112" s="7">
        <f ca="1"/>
        <v>-0.53804080533747034</v>
      </c>
      <c r="J112">
        <f ca="1"/>
        <v>4.5171655869377645</v>
      </c>
      <c r="K112">
        <f ca="1"/>
        <v>0</v>
      </c>
      <c r="L112">
        <f ca="1"/>
        <v>1.3649967798444607</v>
      </c>
    </row>
    <row r="113" spans="2:12">
      <c r="B113">
        <v>2.06E-2</v>
      </c>
      <c r="C113">
        <f ca="1"/>
        <v>-5.468493060657989E-2</v>
      </c>
      <c r="D113">
        <f ca="1"/>
        <v>1</v>
      </c>
      <c r="E113">
        <f ca="1"/>
        <v>98.871517068740033</v>
      </c>
      <c r="F113" s="10">
        <f ca="1"/>
        <v>-0.97949148337984215</v>
      </c>
      <c r="G113" s="7">
        <f ca="1"/>
        <v>9.9067103693660785E-3</v>
      </c>
      <c r="H113" s="10">
        <f ca="1"/>
        <v>56.607330670594393</v>
      </c>
      <c r="I113" s="7">
        <f ca="1"/>
        <v>-0.52813409496810426</v>
      </c>
      <c r="J113">
        <f ca="1"/>
        <v>4.3899114853719041</v>
      </c>
      <c r="K113">
        <f ca="1"/>
        <v>0</v>
      </c>
      <c r="L113">
        <f ca="1"/>
        <v>1.1284829312599669</v>
      </c>
    </row>
    <row r="114" spans="2:12">
      <c r="B114">
        <v>2.0800000000000003E-2</v>
      </c>
      <c r="C114">
        <f ca="1"/>
        <v>-5.7849239215138806E-2</v>
      </c>
      <c r="D114">
        <f ca="1"/>
        <v>1</v>
      </c>
      <c r="E114">
        <f ca="1"/>
        <v>98.808569630685852</v>
      </c>
      <c r="F114" s="10">
        <f ca="1"/>
        <v>0.26432410886343882</v>
      </c>
      <c r="G114" s="7">
        <f ca="1"/>
        <v>-2.6751131997092559E-3</v>
      </c>
      <c r="H114" s="10">
        <f ca="1"/>
        <v>56.871654779457835</v>
      </c>
      <c r="I114" s="7">
        <f ca="1"/>
        <v>-0.53080920816781352</v>
      </c>
      <c r="J114">
        <f ca="1"/>
        <v>4.4231561735992102</v>
      </c>
      <c r="K114">
        <f ca="1"/>
        <v>0</v>
      </c>
      <c r="L114">
        <f ca="1"/>
        <v>1.1914303693141477</v>
      </c>
    </row>
    <row r="115" spans="2:12">
      <c r="B115">
        <v>2.1000000000000001E-2</v>
      </c>
      <c r="C115">
        <f ca="1"/>
        <v>-5.977887537224312E-2</v>
      </c>
      <c r="D115">
        <f ca="1"/>
        <v>1</v>
      </c>
      <c r="E115">
        <f ca="1"/>
        <v>98.77004898930069</v>
      </c>
      <c r="F115" s="10">
        <f ca="1"/>
        <v>0.16299776801140173</v>
      </c>
      <c r="G115" s="7">
        <f ca="1"/>
        <v>-1.6502752573207546E-3</v>
      </c>
      <c r="H115" s="10">
        <f ca="1"/>
        <v>57.034652547469236</v>
      </c>
      <c r="I115" s="7">
        <f ca="1"/>
        <v>-0.53245948342513427</v>
      </c>
      <c r="J115">
        <f ca="1"/>
        <v>4.443603284750985</v>
      </c>
      <c r="K115">
        <f ca="1"/>
        <v>0</v>
      </c>
      <c r="L115">
        <f ca="1"/>
        <v>1.2299510106993097</v>
      </c>
    </row>
    <row r="116" spans="2:12">
      <c r="B116">
        <v>2.12E-2</v>
      </c>
      <c r="C116">
        <f ca="1"/>
        <v>-6.3556950537206655E-2</v>
      </c>
      <c r="D116">
        <f ca="1"/>
        <v>1</v>
      </c>
      <c r="E116">
        <f ca="1"/>
        <v>98.695050263964887</v>
      </c>
      <c r="F116" s="10">
        <f ca="1"/>
        <v>0.3145335499976088</v>
      </c>
      <c r="G116" s="7">
        <f ca="1"/>
        <v>-3.1869232464685204E-3</v>
      </c>
      <c r="H116" s="10">
        <f ca="1"/>
        <v>57.349186097466841</v>
      </c>
      <c r="I116" s="7">
        <f ca="1"/>
        <v>-0.53564640667160279</v>
      </c>
      <c r="J116">
        <f ca="1"/>
        <v>4.4835370673008299</v>
      </c>
      <c r="K116">
        <f ca="1"/>
        <v>0</v>
      </c>
      <c r="L116">
        <f ca="1"/>
        <v>1.3049497360351126</v>
      </c>
    </row>
    <row r="117" spans="2:12">
      <c r="B117">
        <v>2.1400000000000002E-2</v>
      </c>
      <c r="C117">
        <f ca="1"/>
        <v>-7.4796279949653655E-2</v>
      </c>
      <c r="D117">
        <f ca="1"/>
        <v>1</v>
      </c>
      <c r="E117">
        <f ca="1"/>
        <v>98.473052296140523</v>
      </c>
      <c r="F117" s="10">
        <f ca="1"/>
        <v>0.92353784064508448</v>
      </c>
      <c r="G117" s="7">
        <f ca="1"/>
        <v>-9.3785844869285206E-3</v>
      </c>
      <c r="H117" s="10">
        <f ca="1"/>
        <v>58.272723938111923</v>
      </c>
      <c r="I117" s="7">
        <f ca="1"/>
        <v>-0.54502499115853131</v>
      </c>
      <c r="J117">
        <f ca="1"/>
        <v>4.602449481054343</v>
      </c>
      <c r="K117">
        <f ca="1"/>
        <v>0</v>
      </c>
      <c r="L117">
        <f ca="1"/>
        <v>1.5269477038594772</v>
      </c>
    </row>
    <row r="118" spans="2:12">
      <c r="B118">
        <v>2.1600000000000001E-2</v>
      </c>
      <c r="C118">
        <f ca="1"/>
        <v>-6.5903195294425176E-2</v>
      </c>
      <c r="D118">
        <f ca="1"/>
        <v>1</v>
      </c>
      <c r="E118">
        <f ca="1"/>
        <v>98.647959392642008</v>
      </c>
      <c r="F118" s="10">
        <f ca="1"/>
        <v>-0.72315910414276352</v>
      </c>
      <c r="G118" s="7">
        <f ca="1"/>
        <v>7.3307051518868294E-3</v>
      </c>
      <c r="H118" s="10">
        <f ca="1"/>
        <v>57.549564833969157</v>
      </c>
      <c r="I118" s="7">
        <f ca="1"/>
        <v>-0.53769428600664448</v>
      </c>
      <c r="J118">
        <f ca="1"/>
        <v>4.5071207423300521</v>
      </c>
      <c r="K118">
        <f ca="1"/>
        <v>0</v>
      </c>
      <c r="L118">
        <f ca="1"/>
        <v>1.352040607357992</v>
      </c>
    </row>
    <row r="119" spans="2:12">
      <c r="B119">
        <v>2.18E-2</v>
      </c>
      <c r="C119">
        <f ca="1"/>
        <v>-4.4734419566005809E-2</v>
      </c>
      <c r="D119">
        <f ca="1"/>
        <v>1</v>
      </c>
      <c r="E119">
        <f ca="1"/>
        <v>99.066099798855305</v>
      </c>
      <c r="F119" s="10">
        <f ca="1"/>
        <v>-1.741673872318606</v>
      </c>
      <c r="G119" s="7">
        <f ca="1"/>
        <v>1.7580927036139671E-2</v>
      </c>
      <c r="H119" s="10">
        <f ca="1"/>
        <v>55.80789096165055</v>
      </c>
      <c r="I119" s="7">
        <f ca="1"/>
        <v>-0.52011335897050481</v>
      </c>
      <c r="J119">
        <f ca="1"/>
        <v>4.2822890351606659</v>
      </c>
      <c r="K119">
        <f ca="1"/>
        <v>0</v>
      </c>
      <c r="L119">
        <f ca="1"/>
        <v>0.93390020114469507</v>
      </c>
    </row>
    <row r="120" spans="2:12">
      <c r="B120">
        <v>2.2000000000000002E-2</v>
      </c>
      <c r="C120">
        <f ca="1"/>
        <v>-3.06060050529268E-2</v>
      </c>
      <c r="D120">
        <f ca="1"/>
        <v>1</v>
      </c>
      <c r="E120">
        <f ca="1"/>
        <v>99.346027666996676</v>
      </c>
      <c r="F120" s="10">
        <f ca="1"/>
        <v>-1.1677158843130397</v>
      </c>
      <c r="G120" s="7">
        <f ca="1"/>
        <v>1.1754026927248362E-2</v>
      </c>
      <c r="H120" s="10">
        <f ca="1"/>
        <v>54.64017507733751</v>
      </c>
      <c r="I120" s="7">
        <f ca="1"/>
        <v>-0.50835933204325645</v>
      </c>
      <c r="J120">
        <f ca="1"/>
        <v>4.1366948113922035</v>
      </c>
      <c r="K120">
        <f ca="1"/>
        <v>0</v>
      </c>
      <c r="L120">
        <f ca="1"/>
        <v>0.65397233300332402</v>
      </c>
    </row>
    <row r="121" spans="2:12">
      <c r="B121">
        <v>2.2200000000000001E-2</v>
      </c>
      <c r="C121">
        <f ca="1"/>
        <v>-1.2240148218631151E-2</v>
      </c>
      <c r="D121">
        <f ca="1"/>
        <v>1</v>
      </c>
      <c r="E121">
        <f ca="1"/>
        <v>99.71121482455068</v>
      </c>
      <c r="F121" s="10">
        <f ca="1"/>
        <v>-1.5268983521902588</v>
      </c>
      <c r="G121" s="7">
        <f ca="1"/>
        <v>1.5313205790110473E-2</v>
      </c>
      <c r="H121" s="10">
        <f ca="1"/>
        <v>53.113276725147252</v>
      </c>
      <c r="I121" s="7">
        <f ca="1"/>
        <v>-0.49304612625314598</v>
      </c>
      <c r="J121">
        <f ca="1"/>
        <v>3.951048511907274</v>
      </c>
      <c r="K121">
        <f ca="1"/>
        <v>0</v>
      </c>
      <c r="L121">
        <f ca="1"/>
        <v>0.28878517544931981</v>
      </c>
    </row>
    <row r="122" spans="2:12">
      <c r="B122">
        <v>2.24E-2</v>
      </c>
      <c r="C122">
        <f ca="1"/>
        <v>2.840964958616278E-3</v>
      </c>
      <c r="D122">
        <f ca="1"/>
        <v>1</v>
      </c>
      <c r="E122">
        <f ca="1"/>
        <v>100.01202002151904</v>
      </c>
      <c r="F122" s="10">
        <f ca="1"/>
        <v>-1.257489203572995</v>
      </c>
      <c r="G122" s="7">
        <f ca="1"/>
        <v>1.2573380712662618E-2</v>
      </c>
      <c r="H122" s="10">
        <f ca="1"/>
        <v>51.855787521574257</v>
      </c>
      <c r="I122" s="7">
        <f ca="1"/>
        <v>-0.48047274554048336</v>
      </c>
      <c r="J122">
        <f ca="1"/>
        <v>3.8027376747852131</v>
      </c>
      <c r="K122">
        <f ca="1"/>
        <v>0</v>
      </c>
      <c r="L122">
        <f ca="1"/>
        <v>0</v>
      </c>
    </row>
    <row r="123" spans="2:12">
      <c r="B123">
        <v>2.2600000000000002E-2</v>
      </c>
      <c r="C123">
        <f ca="1"/>
        <v>-2.2601206930282641E-2</v>
      </c>
      <c r="D123">
        <f ca="1"/>
        <v>1</v>
      </c>
      <c r="E123">
        <f ca="1"/>
        <v>99.504009974331353</v>
      </c>
      <c r="F123" s="10">
        <f ca="1"/>
        <v>2.1196182974581568</v>
      </c>
      <c r="G123" s="7">
        <f ca="1"/>
        <v>-2.1301837966177906E-2</v>
      </c>
      <c r="H123" s="10">
        <f ca="1"/>
        <v>53.975405819032417</v>
      </c>
      <c r="I123" s="7">
        <f ca="1"/>
        <v>-0.50177458350666126</v>
      </c>
      <c r="J123">
        <f ca="1"/>
        <v>4.0468226569196375</v>
      </c>
      <c r="K123">
        <f ca="1"/>
        <v>0</v>
      </c>
      <c r="L123">
        <f ca="1"/>
        <v>0.49599002566864669</v>
      </c>
    </row>
    <row r="124" spans="2:12">
      <c r="B124">
        <v>2.2800000000000001E-2</v>
      </c>
      <c r="C124">
        <f ca="1"/>
        <v>-1.8923157675391804E-2</v>
      </c>
      <c r="D124">
        <f ca="1"/>
        <v>1</v>
      </c>
      <c r="E124">
        <f ca="1"/>
        <v>99.576834724644456</v>
      </c>
      <c r="F124" s="10">
        <f ca="1"/>
        <v>-0.30312395587305846</v>
      </c>
      <c r="G124" s="7">
        <f ca="1"/>
        <v>3.0441212226847147E-3</v>
      </c>
      <c r="H124" s="10">
        <f ca="1"/>
        <v>53.672281863159355</v>
      </c>
      <c r="I124" s="7">
        <f ca="1"/>
        <v>-0.49873046228397655</v>
      </c>
      <c r="J124">
        <f ca="1"/>
        <v>4.0102810481622981</v>
      </c>
      <c r="K124">
        <f ca="1"/>
        <v>0</v>
      </c>
      <c r="L124">
        <f ca="1"/>
        <v>0.42316527535554371</v>
      </c>
    </row>
    <row r="125" spans="2:12">
      <c r="B125">
        <v>2.3E-2</v>
      </c>
      <c r="C125">
        <f ca="1"/>
        <v>-1.1647425433552247E-2</v>
      </c>
      <c r="D125">
        <f ca="1"/>
        <v>1</v>
      </c>
      <c r="E125">
        <f ca="1"/>
        <v>99.721440191173258</v>
      </c>
      <c r="F125" s="10">
        <f ca="1"/>
        <v>-0.60419740200904493</v>
      </c>
      <c r="G125" s="7">
        <f ca="1"/>
        <v>6.0588515453723346E-3</v>
      </c>
      <c r="H125" s="10">
        <f ca="1"/>
        <v>53.068084461150313</v>
      </c>
      <c r="I125" s="7">
        <f ca="1"/>
        <v>-0.49267161073860422</v>
      </c>
      <c r="J125">
        <f ca="1"/>
        <v>3.9381618969916019</v>
      </c>
      <c r="K125">
        <f ca="1"/>
        <v>0</v>
      </c>
      <c r="L125">
        <f ca="1"/>
        <v>0.27855980882674203</v>
      </c>
    </row>
    <row r="126" spans="2:12">
      <c r="B126">
        <v>2.3200000000000002E-2</v>
      </c>
      <c r="C126">
        <f ca="1"/>
        <v>-3.3462382509384915E-2</v>
      </c>
      <c r="D126">
        <f ca="1"/>
        <v>1</v>
      </c>
      <c r="E126">
        <f ca="1"/>
        <v>99.286907009854247</v>
      </c>
      <c r="F126" s="10">
        <f ca="1"/>
        <v>1.8172354727538871</v>
      </c>
      <c r="G126" s="7">
        <f ca="1"/>
        <v>-1.830287121919838E-2</v>
      </c>
      <c r="H126" s="10">
        <f ca="1"/>
        <v>54.885319933904199</v>
      </c>
      <c r="I126" s="7">
        <f ca="1"/>
        <v>-0.5109744819578026</v>
      </c>
      <c r="J126">
        <f ca="1"/>
        <v>4.1522440593514034</v>
      </c>
      <c r="K126">
        <f ca="1"/>
        <v>0</v>
      </c>
      <c r="L126">
        <f ca="1"/>
        <v>0.71309299014575345</v>
      </c>
    </row>
    <row r="127" spans="2:12">
      <c r="B127">
        <v>2.3400000000000001E-2</v>
      </c>
      <c r="C127">
        <f ca="1"/>
        <v>-1.0264109517009155E-2</v>
      </c>
      <c r="D127">
        <f ca="1"/>
        <v>1</v>
      </c>
      <c r="E127">
        <f ca="1"/>
        <v>99.748235270003562</v>
      </c>
      <c r="F127" s="10">
        <f ca="1"/>
        <v>-1.9352545948114157</v>
      </c>
      <c r="G127" s="7">
        <f ca="1"/>
        <v>1.9401391809819701E-2</v>
      </c>
      <c r="H127" s="10">
        <f ca="1"/>
        <v>52.950065339092781</v>
      </c>
      <c r="I127" s="7">
        <f ca="1"/>
        <v>-0.49157309014798289</v>
      </c>
      <c r="J127">
        <f ca="1"/>
        <v>3.916517090609112</v>
      </c>
      <c r="K127">
        <f ca="1"/>
        <v>0</v>
      </c>
      <c r="L127">
        <f ca="1"/>
        <v>0.25176472999643806</v>
      </c>
    </row>
    <row r="128" spans="2:12">
      <c r="B128">
        <v>2.3599999999999999E-2</v>
      </c>
      <c r="C128">
        <f ca="1"/>
        <v>-2.0271167451721125E-2</v>
      </c>
      <c r="D128">
        <f ca="1"/>
        <v>1</v>
      </c>
      <c r="E128">
        <f ca="1"/>
        <v>99.548399446726691</v>
      </c>
      <c r="F128" s="10">
        <f ca="1"/>
        <v>0.83814817645677231</v>
      </c>
      <c r="G128" s="7">
        <f ca="1"/>
        <v>-8.4195042925356844E-3</v>
      </c>
      <c r="H128" s="10">
        <f ca="1"/>
        <v>53.78821351554955</v>
      </c>
      <c r="I128" s="7">
        <f ca="1"/>
        <v>-0.49999259444051858</v>
      </c>
      <c r="J128">
        <f ca="1"/>
        <v>4.0147510037795868</v>
      </c>
      <c r="K128">
        <f ca="1"/>
        <v>0</v>
      </c>
      <c r="L128">
        <f ca="1"/>
        <v>0.45160055327330895</v>
      </c>
    </row>
    <row r="129" spans="2:12">
      <c r="B129">
        <v>2.3800000000000002E-2</v>
      </c>
      <c r="C129">
        <f ca="1"/>
        <v>-2.3472735539459694E-2</v>
      </c>
      <c r="D129">
        <f ca="1"/>
        <v>1</v>
      </c>
      <c r="E129">
        <f ca="1"/>
        <v>99.484279716184076</v>
      </c>
      <c r="F129" s="10">
        <f ca="1"/>
        <v>0.27050139918226562</v>
      </c>
      <c r="G129" s="7">
        <f ca="1"/>
        <v>-2.7190366151714773E-3</v>
      </c>
      <c r="H129" s="10">
        <f ca="1"/>
        <v>54.058714914731816</v>
      </c>
      <c r="I129" s="7">
        <f ca="1"/>
        <v>-0.50271163105569006</v>
      </c>
      <c r="J129">
        <f ca="1"/>
        <v>4.0468103942084142</v>
      </c>
      <c r="K129">
        <f ca="1"/>
        <v>0</v>
      </c>
      <c r="L129">
        <f ca="1"/>
        <v>0.51572028381592361</v>
      </c>
    </row>
    <row r="130" spans="2:12">
      <c r="B130">
        <v>2.4E-2</v>
      </c>
      <c r="C130">
        <f ca="1"/>
        <v>2.2277127489659931E-3</v>
      </c>
      <c r="D130">
        <f ca="1"/>
        <v>1</v>
      </c>
      <c r="E130">
        <f ca="1"/>
        <v>99.996554314344436</v>
      </c>
      <c r="F130" s="10">
        <f ca="1"/>
        <v>-2.1524829391500462</v>
      </c>
      <c r="G130" s="7">
        <f ca="1"/>
        <v>2.1525571095015961E-2</v>
      </c>
      <c r="H130" s="10">
        <f ca="1"/>
        <v>51.906231975581768</v>
      </c>
      <c r="I130" s="7">
        <f ca="1"/>
        <v>-0.4811860599606741</v>
      </c>
      <c r="J130">
        <f ca="1"/>
        <v>3.7892839954188204</v>
      </c>
      <c r="K130">
        <f ca="1"/>
        <v>0</v>
      </c>
      <c r="L130">
        <f ca="1"/>
        <v>3.4456856555635795E-3</v>
      </c>
    </row>
    <row r="131" spans="2:12">
      <c r="B131">
        <v>2.4200000000000003E-2</v>
      </c>
      <c r="C131">
        <f ca="1"/>
        <v>9.1416086021228159E-3</v>
      </c>
      <c r="D131">
        <f ca="1"/>
        <v>1</v>
      </c>
      <c r="E131">
        <f ca="1"/>
        <v>100.13452257259145</v>
      </c>
      <c r="F131" s="10">
        <f ca="1"/>
        <v>-0.57784939696175341</v>
      </c>
      <c r="G131" s="7">
        <f ca="1"/>
        <v>5.7707310337735684E-3</v>
      </c>
      <c r="H131" s="10">
        <f ca="1"/>
        <v>51.328382578620015</v>
      </c>
      <c r="I131" s="7">
        <f ca="1"/>
        <v>-0.47541532892690053</v>
      </c>
      <c r="J131">
        <f ca="1"/>
        <v>3.7228955928333036</v>
      </c>
      <c r="K131">
        <f ca="1"/>
        <v>0</v>
      </c>
      <c r="L131">
        <f ca="1"/>
        <v>0</v>
      </c>
    </row>
    <row r="132" spans="2:12">
      <c r="B132">
        <v>2.4400000000000002E-2</v>
      </c>
      <c r="C132">
        <f ca="1"/>
        <v>9.4776435399488417E-3</v>
      </c>
      <c r="D132">
        <f ca="1"/>
        <v>1</v>
      </c>
      <c r="E132">
        <f ca="1"/>
        <v>100.14085197414364</v>
      </c>
      <c r="F132" s="10">
        <f ca="1"/>
        <v>-2.5941577877758602E-2</v>
      </c>
      <c r="G132" s="7">
        <f ca="1"/>
        <v>2.5905090047023682E-4</v>
      </c>
      <c r="H132" s="10">
        <f ca="1"/>
        <v>51.302441000742256</v>
      </c>
      <c r="I132" s="7">
        <f ca="1"/>
        <v>-0.47515627802643029</v>
      </c>
      <c r="J132">
        <f ca="1"/>
        <v>3.7198864983124551</v>
      </c>
      <c r="K132">
        <f ca="1"/>
        <v>0</v>
      </c>
      <c r="L132">
        <f ca="1"/>
        <v>0</v>
      </c>
    </row>
    <row r="133" spans="2:12">
      <c r="B133">
        <v>2.46E-2</v>
      </c>
      <c r="C133">
        <f ca="1"/>
        <v>1.1851797541139642E-2</v>
      </c>
      <c r="D133">
        <f ca="1"/>
        <v>1</v>
      </c>
      <c r="E133">
        <f ca="1"/>
        <v>100.18801247305167</v>
      </c>
      <c r="F133" s="10">
        <f ca="1"/>
        <v>-0.19719742687174702</v>
      </c>
      <c r="G133" s="7">
        <f ca="1"/>
        <v>1.9682736687164915E-3</v>
      </c>
      <c r="H133" s="10">
        <f ca="1"/>
        <v>51.10524357387051</v>
      </c>
      <c r="I133" s="7">
        <f ca="1"/>
        <v>-0.4731880043577138</v>
      </c>
      <c r="J133">
        <f ca="1"/>
        <v>3.6974778911814496</v>
      </c>
      <c r="K133">
        <f ca="1"/>
        <v>0</v>
      </c>
      <c r="L133">
        <f ca="1"/>
        <v>0</v>
      </c>
    </row>
    <row r="134" spans="2:12">
      <c r="B134">
        <v>2.4800000000000003E-2</v>
      </c>
      <c r="C134">
        <f ca="1"/>
        <v>1.4008352554609407E-2</v>
      </c>
      <c r="D134">
        <f ca="1"/>
        <v>1</v>
      </c>
      <c r="E134">
        <f ca="1"/>
        <v>100.23083306132212</v>
      </c>
      <c r="F134" s="10">
        <f ca="1"/>
        <v>-0.17910398553338147</v>
      </c>
      <c r="G134" s="7">
        <f ca="1"/>
        <v>1.7869150645870024E-3</v>
      </c>
      <c r="H134" s="10">
        <f ca="1"/>
        <v>50.926139588337129</v>
      </c>
      <c r="I134" s="7">
        <f ca="1"/>
        <v>-0.4714010892931268</v>
      </c>
      <c r="J134">
        <f ca="1"/>
        <v>3.6772157024723384</v>
      </c>
      <c r="K134">
        <f ca="1"/>
        <v>0</v>
      </c>
      <c r="L134">
        <f ca="1"/>
        <v>0</v>
      </c>
    </row>
    <row r="135" spans="2:12">
      <c r="B135">
        <v>2.5000000000000001E-2</v>
      </c>
      <c r="C135">
        <f ca="1"/>
        <v>3.7634232552817511E-2</v>
      </c>
      <c r="D135">
        <f ca="1"/>
        <v>1</v>
      </c>
      <c r="E135">
        <f ca="1"/>
        <v>100.70515927251651</v>
      </c>
      <c r="F135" s="10">
        <f ca="1"/>
        <v>-1.9894324085467636</v>
      </c>
      <c r="G135" s="7">
        <f ca="1"/>
        <v>1.9755019732039691E-2</v>
      </c>
      <c r="H135" s="10">
        <f ca="1"/>
        <v>48.936707179790368</v>
      </c>
      <c r="I135" s="7">
        <f ca="1"/>
        <v>-0.4516460695610871</v>
      </c>
      <c r="J135">
        <f ca="1"/>
        <v>3.4536178098350163</v>
      </c>
      <c r="K135">
        <f ca="1"/>
        <v>0</v>
      </c>
      <c r="L135">
        <f ca="1"/>
        <v>0</v>
      </c>
    </row>
    <row r="136" spans="2:12">
      <c r="B136">
        <v>2.52E-2</v>
      </c>
      <c r="C136">
        <f ca="1"/>
        <v>3.4058679175321335E-2</v>
      </c>
      <c r="D136">
        <f ca="1"/>
        <v>1</v>
      </c>
      <c r="E136">
        <f ca="1"/>
        <v>100.63276714949967</v>
      </c>
      <c r="F136" s="10">
        <f ca="1"/>
        <v>0.30187522247109783</v>
      </c>
      <c r="G136" s="7">
        <f ca="1"/>
        <v>-2.9997706614052766E-3</v>
      </c>
      <c r="H136" s="10">
        <f ca="1"/>
        <v>49.238582402261464</v>
      </c>
      <c r="I136" s="7">
        <f ca="1"/>
        <v>-0.45464584022249238</v>
      </c>
      <c r="J136">
        <f ca="1"/>
        <v>3.4863134276627576</v>
      </c>
      <c r="K136">
        <f ca="1"/>
        <v>0</v>
      </c>
      <c r="L136">
        <f ca="1"/>
        <v>0</v>
      </c>
    </row>
    <row r="137" spans="2:12">
      <c r="B137">
        <v>2.5400000000000002E-2</v>
      </c>
      <c r="C137">
        <f ca="1"/>
        <v>4.3167655764058274E-2</v>
      </c>
      <c r="D137">
        <f ca="1"/>
        <v>1</v>
      </c>
      <c r="E137">
        <f ca="1"/>
        <v>100.81586328766905</v>
      </c>
      <c r="F137" s="10">
        <f ca="1"/>
        <v>-0.76581152899658134</v>
      </c>
      <c r="G137" s="7">
        <f ca="1"/>
        <v>7.5961411629378861E-3</v>
      </c>
      <c r="H137" s="10">
        <f ca="1"/>
        <v>48.472770873264885</v>
      </c>
      <c r="I137" s="7">
        <f ca="1"/>
        <v>-0.4470496990595545</v>
      </c>
      <c r="J137">
        <f ca="1"/>
        <v>3.4030695300832505</v>
      </c>
      <c r="K137">
        <f ca="1"/>
        <v>0</v>
      </c>
      <c r="L137">
        <f ca="1"/>
        <v>0</v>
      </c>
    </row>
    <row r="138" spans="2:12">
      <c r="B138">
        <v>2.5600000000000001E-2</v>
      </c>
      <c r="C138">
        <f ca="1"/>
        <v>7.7344679829243673E-2</v>
      </c>
      <c r="D138">
        <f ca="1"/>
        <v>1</v>
      </c>
      <c r="E138">
        <f ca="1"/>
        <v>101.50693506932926</v>
      </c>
      <c r="F138" s="10">
        <f ca="1"/>
        <v>-2.8785295864203251</v>
      </c>
      <c r="G138" s="7">
        <f ca="1"/>
        <v>2.835795982268885E-2</v>
      </c>
      <c r="H138" s="10">
        <f ca="1"/>
        <v>45.594241286844557</v>
      </c>
      <c r="I138" s="7">
        <f ca="1"/>
        <v>-0.41869173923686565</v>
      </c>
      <c r="J138">
        <f ca="1"/>
        <v>3.0941260980634979</v>
      </c>
      <c r="K138">
        <f ca="1"/>
        <v>0</v>
      </c>
      <c r="L138">
        <f ca="1"/>
        <v>0</v>
      </c>
    </row>
    <row r="139" spans="2:12">
      <c r="B139">
        <v>2.58E-2</v>
      </c>
      <c r="C139">
        <f ca="1"/>
        <v>9.0940679045554515E-2</v>
      </c>
      <c r="D139">
        <f ca="1"/>
        <v>1</v>
      </c>
      <c r="E139">
        <f ca="1"/>
        <v>101.78292119270441</v>
      </c>
      <c r="F139" s="10">
        <f ca="1"/>
        <v>-1.1384100440877365</v>
      </c>
      <c r="G139" s="7">
        <f ca="1"/>
        <v>1.1184686298523483E-2</v>
      </c>
      <c r="H139" s="10">
        <f ca="1"/>
        <v>44.455831242756823</v>
      </c>
      <c r="I139" s="7">
        <f ca="1"/>
        <v>-0.40750705293834216</v>
      </c>
      <c r="J139">
        <f ca="1"/>
        <v>2.978572988062318</v>
      </c>
      <c r="K139">
        <f ca="1"/>
        <v>0</v>
      </c>
      <c r="L139">
        <f ca="1"/>
        <v>0</v>
      </c>
    </row>
    <row r="140" spans="2:12">
      <c r="B140">
        <v>2.6000000000000002E-2</v>
      </c>
      <c r="C140">
        <f ca="1"/>
        <v>9.5688806644403865E-2</v>
      </c>
      <c r="D140">
        <f ca="1"/>
        <v>1</v>
      </c>
      <c r="E140">
        <f ca="1"/>
        <v>101.87921524234076</v>
      </c>
      <c r="F140" s="10">
        <f ca="1"/>
        <v>-0.39705513753412347</v>
      </c>
      <c r="G140" s="7">
        <f ca="1"/>
        <v>3.8973124850799623E-3</v>
      </c>
      <c r="H140" s="10">
        <f ca="1"/>
        <v>44.058776105222698</v>
      </c>
      <c r="I140" s="7">
        <f ca="1"/>
        <v>-0.4036097404532622</v>
      </c>
      <c r="J140">
        <f ca="1"/>
        <v>2.9393324836795074</v>
      </c>
      <c r="K140">
        <f ca="1"/>
        <v>0</v>
      </c>
      <c r="L140">
        <f ca="1"/>
        <v>0</v>
      </c>
    </row>
    <row r="141" spans="2:12">
      <c r="B141">
        <v>2.6200000000000001E-2</v>
      </c>
      <c r="C141">
        <f ca="1"/>
        <v>8.795326339273396E-2</v>
      </c>
      <c r="D141">
        <f ca="1"/>
        <v>1</v>
      </c>
      <c r="E141">
        <f ca="1"/>
        <v>101.72131200448698</v>
      </c>
      <c r="F141" s="10">
        <f ca="1"/>
        <v>0.64439070412628741</v>
      </c>
      <c r="G141" s="7">
        <f ca="1"/>
        <v>-6.3348642622488294E-3</v>
      </c>
      <c r="H141" s="10">
        <f ca="1"/>
        <v>44.703166809348986</v>
      </c>
      <c r="I141" s="7">
        <f ca="1"/>
        <v>-0.40994460471551103</v>
      </c>
      <c r="J141">
        <f ca="1"/>
        <v>3.0030637685264026</v>
      </c>
      <c r="K141">
        <f ca="1"/>
        <v>0</v>
      </c>
      <c r="L141">
        <f ca="1"/>
        <v>0</v>
      </c>
    </row>
    <row r="142" spans="2:12">
      <c r="B142">
        <v>2.64E-2</v>
      </c>
      <c r="C142">
        <f ca="1"/>
        <v>8.6892960967010074E-2</v>
      </c>
      <c r="D142">
        <f ca="1"/>
        <v>1</v>
      </c>
      <c r="E142">
        <f ca="1"/>
        <v>101.69933642257867</v>
      </c>
      <c r="F142" s="10">
        <f ca="1"/>
        <v>8.7988815476164148E-2</v>
      </c>
      <c r="G142" s="7">
        <f ca="1"/>
        <v>-8.651857383862871E-4</v>
      </c>
      <c r="H142" s="10">
        <f ca="1"/>
        <v>44.791155624825151</v>
      </c>
      <c r="I142" s="7">
        <f ca="1"/>
        <v>-0.41080979045389732</v>
      </c>
      <c r="J142">
        <f ca="1"/>
        <v>3.0120725397651995</v>
      </c>
      <c r="K142">
        <f ca="1"/>
        <v>0</v>
      </c>
      <c r="L142">
        <f ca="1"/>
        <v>0</v>
      </c>
    </row>
    <row r="143" spans="2:12">
      <c r="B143">
        <v>2.6600000000000002E-2</v>
      </c>
      <c r="C143">
        <f ca="1"/>
        <v>8.416378666817538E-2</v>
      </c>
      <c r="D143">
        <f ca="1"/>
        <v>1</v>
      </c>
      <c r="E143">
        <f ca="1"/>
        <v>101.64343395217021</v>
      </c>
      <c r="F143" s="10">
        <f ca="1"/>
        <v>0.22776905639936787</v>
      </c>
      <c r="G143" s="7">
        <f ca="1"/>
        <v>-2.2408634531823068E-3</v>
      </c>
      <c r="H143">
        <f ca="1"/>
        <v>45.018924681224519</v>
      </c>
      <c r="I143" s="7">
        <f ca="1"/>
        <v>-0.41305065390707962</v>
      </c>
      <c r="J143">
        <f ca="1"/>
        <v>3.035037821919552</v>
      </c>
      <c r="K143">
        <f ca="1"/>
        <v>0</v>
      </c>
      <c r="L143">
        <f ca="1"/>
        <v>0</v>
      </c>
    </row>
    <row r="144" spans="2:12">
      <c r="B144">
        <v>2.6800000000000001E-2</v>
      </c>
      <c r="C144">
        <f ca="1"/>
        <v>6.9147620425054124E-2</v>
      </c>
      <c r="D144">
        <f ca="1"/>
        <v>1</v>
      </c>
      <c r="E144">
        <f ca="1"/>
        <v>101.33822758146762</v>
      </c>
      <c r="F144" s="10">
        <f ca="1"/>
        <v>1.2579668397760009</v>
      </c>
      <c r="G144" s="7">
        <f ca="1"/>
        <v>-1.2413546889447014E-2</v>
      </c>
      <c r="H144">
        <f ca="1"/>
        <v>46.276891521000522</v>
      </c>
      <c r="I144" s="7">
        <f ca="1"/>
        <v>-0.42546420079652664</v>
      </c>
      <c r="J144">
        <f ca="1"/>
        <v>3.1611035129148704</v>
      </c>
      <c r="K144">
        <f ca="1"/>
        <v>0</v>
      </c>
      <c r="L144">
        <f ca="1"/>
        <v>0</v>
      </c>
    </row>
    <row r="145" spans="2:12">
      <c r="B145">
        <v>2.7E-2</v>
      </c>
      <c r="C145">
        <f ca="1"/>
        <v>6.5578716745011048E-2</v>
      </c>
      <c r="D145">
        <f ca="1"/>
        <v>1</v>
      </c>
      <c r="E145">
        <f ca="1"/>
        <v>101.26551505283639</v>
      </c>
      <c r="F145" s="10">
        <f ca="1"/>
        <v>0.30020275354163622</v>
      </c>
      <c r="G145" s="7">
        <f ca="1"/>
        <v>-2.9645111999381246E-3</v>
      </c>
      <c r="H145">
        <f ca="1"/>
        <v>46.577094274542155</v>
      </c>
      <c r="I145" s="7">
        <f ca="1"/>
        <v>-0.42842871199646476</v>
      </c>
      <c r="J145">
        <f ca="1"/>
        <v>3.1920400907968443</v>
      </c>
      <c r="K145">
        <f ca="1"/>
        <v>0</v>
      </c>
      <c r="L145">
        <f ca="1"/>
        <v>0</v>
      </c>
    </row>
    <row r="146" spans="2:12">
      <c r="B146">
        <v>2.7200000000000002E-2</v>
      </c>
      <c r="C146">
        <f ca="1"/>
        <v>7.3174360232519844E-2</v>
      </c>
      <c r="D146">
        <f ca="1"/>
        <v>1</v>
      </c>
      <c r="E146">
        <f ca="1"/>
        <v>101.41906163280146</v>
      </c>
      <c r="F146" s="10">
        <f ca="1"/>
        <v>-0.63947019258111082</v>
      </c>
      <c r="G146" s="7">
        <f ca="1"/>
        <v>6.3052268704317238E-3</v>
      </c>
      <c r="H146">
        <f ca="1"/>
        <v>45.937624081961047</v>
      </c>
      <c r="I146" s="7">
        <f ca="1"/>
        <v>-0.42212348512603304</v>
      </c>
      <c r="J146">
        <f ca="1"/>
        <v>3.1262563273109549</v>
      </c>
      <c r="K146">
        <f ca="1"/>
        <v>0</v>
      </c>
      <c r="L146">
        <f ca="1"/>
        <v>0</v>
      </c>
    </row>
    <row r="147" spans="2:12">
      <c r="B147">
        <v>2.7400000000000001E-2</v>
      </c>
      <c r="C147">
        <f ca="1"/>
        <v>6.7431454560679296E-2</v>
      </c>
      <c r="D147">
        <f ca="1"/>
        <v>1</v>
      </c>
      <c r="E147">
        <f ca="1"/>
        <v>101.30223527455952</v>
      </c>
      <c r="F147" s="10">
        <f ca="1"/>
        <v>0.4829496279428751</v>
      </c>
      <c r="G147" s="7">
        <f ca="1"/>
        <v>-4.7674133412153874E-3</v>
      </c>
      <c r="H147">
        <f ca="1"/>
        <v>46.42057370990392</v>
      </c>
      <c r="I147" s="7">
        <f ca="1"/>
        <v>-0.42689089846724843</v>
      </c>
      <c r="J147">
        <f ca="1"/>
        <v>3.175571476806617</v>
      </c>
      <c r="K147">
        <f ca="1"/>
        <v>0</v>
      </c>
      <c r="L147">
        <f ca="1"/>
        <v>0</v>
      </c>
    </row>
    <row r="148" spans="2:12">
      <c r="B148">
        <v>2.7600000000000003E-2</v>
      </c>
      <c r="C148">
        <f ca="1"/>
        <v>6.217962897134454E-2</v>
      </c>
      <c r="D148">
        <f ca="1"/>
        <v>1</v>
      </c>
      <c r="E148">
        <f ca="1"/>
        <v>101.19548201966784</v>
      </c>
      <c r="F148" s="10">
        <f ca="1"/>
        <v>0.44253989921518039</v>
      </c>
      <c r="G148" s="7">
        <f ca="1"/>
        <v>-4.3731191391446766E-3</v>
      </c>
      <c r="H148">
        <f ca="1"/>
        <v>46.863113609119097</v>
      </c>
      <c r="I148" s="7">
        <f ca="1"/>
        <v>-0.4312640176063931</v>
      </c>
      <c r="J148">
        <f ca="1"/>
        <v>3.2211434697016301</v>
      </c>
      <c r="K148">
        <f ca="1"/>
        <v>0</v>
      </c>
      <c r="L148">
        <f ca="1"/>
        <v>0</v>
      </c>
    </row>
    <row r="149" spans="2:12">
      <c r="B149">
        <v>2.7800000000000002E-2</v>
      </c>
      <c r="C149">
        <f ca="1"/>
        <v>6.6537048578550792E-2</v>
      </c>
      <c r="D149">
        <f ca="1"/>
        <v>1</v>
      </c>
      <c r="E149">
        <f ca="1"/>
        <v>101.28330556048969</v>
      </c>
      <c r="F149" s="10">
        <f ca="1"/>
        <v>-0.36737921541776336</v>
      </c>
      <c r="G149" s="7">
        <f ca="1"/>
        <v>3.6272435361852651E-3</v>
      </c>
      <c r="H149">
        <f ca="1"/>
        <v>46.495734393701333</v>
      </c>
      <c r="I149" s="7">
        <f ca="1"/>
        <v>-0.42763677407020784</v>
      </c>
      <c r="J149">
        <f ca="1"/>
        <v>3.1832683366463783</v>
      </c>
      <c r="K149">
        <f ca="1"/>
        <v>0</v>
      </c>
      <c r="L149">
        <f ca="1"/>
        <v>0</v>
      </c>
    </row>
    <row r="150" spans="2:12">
      <c r="B150">
        <v>2.8000000000000001E-2</v>
      </c>
      <c r="C150">
        <f ca="1"/>
        <v>7.4262599178072944E-2</v>
      </c>
      <c r="D150">
        <f ca="1"/>
        <v>1</v>
      </c>
      <c r="E150">
        <f ca="1"/>
        <v>101.43951462443435</v>
      </c>
      <c r="F150" s="10">
        <f ca="1"/>
        <v>-0.65148539978560438</v>
      </c>
      <c r="G150" s="7">
        <f ca="1"/>
        <v>6.4224025735694634E-3</v>
      </c>
      <c r="H150">
        <f ca="1"/>
        <v>45.844248993915727</v>
      </c>
      <c r="I150" s="7">
        <f ca="1"/>
        <v>-0.42121437149663837</v>
      </c>
      <c r="J150">
        <f ca="1"/>
        <v>3.1164675964605522</v>
      </c>
      <c r="K150">
        <f ca="1"/>
        <v>0</v>
      </c>
      <c r="L150">
        <f ca="1"/>
        <v>0</v>
      </c>
    </row>
    <row r="151" spans="2:12">
      <c r="B151">
        <v>2.8200000000000003E-2</v>
      </c>
      <c r="C151">
        <f ca="1"/>
        <v>9.1081897579577659E-2</v>
      </c>
      <c r="D151">
        <f ca="1"/>
        <v>1</v>
      </c>
      <c r="E151">
        <f ca="1"/>
        <v>101.78091035933441</v>
      </c>
      <c r="F151" s="10">
        <f ca="1"/>
        <v>-1.4165970241624188</v>
      </c>
      <c r="G151" s="7">
        <f ca="1"/>
        <v>1.3918101333159294E-2</v>
      </c>
      <c r="H151">
        <f ca="1"/>
        <v>44.427651969753306</v>
      </c>
      <c r="I151" s="7">
        <f ca="1"/>
        <v>-0.40729627016347908</v>
      </c>
      <c r="J151">
        <f ca="1"/>
        <v>2.9726668065529935</v>
      </c>
      <c r="K151">
        <f ca="1"/>
        <v>0</v>
      </c>
      <c r="L151">
        <f ca="1"/>
        <v>0</v>
      </c>
    </row>
    <row r="152" spans="2:12">
      <c r="B152">
        <v>2.8400000000000002E-2</v>
      </c>
      <c r="C152">
        <f ca="1"/>
        <v>0.1198268061598184</v>
      </c>
      <c r="D152">
        <f ca="1"/>
        <v>1</v>
      </c>
      <c r="E152">
        <f ca="1"/>
        <v>102.3673226795521</v>
      </c>
      <c r="F152" s="10">
        <f ca="1"/>
        <v>-2.4081203825670352</v>
      </c>
      <c r="G152" s="7">
        <f ca="1"/>
        <v>2.3524307557650503E-2</v>
      </c>
      <c r="H152">
        <f ca="1"/>
        <v>42.019531587186272</v>
      </c>
      <c r="I152" s="7">
        <f ca="1"/>
        <v>-0.38377196260582858</v>
      </c>
      <c r="J152">
        <f ca="1"/>
        <v>2.7338232557504156</v>
      </c>
      <c r="K152">
        <f ca="1"/>
        <v>0</v>
      </c>
      <c r="L152">
        <f ca="1"/>
        <v>0</v>
      </c>
    </row>
    <row r="153" spans="2:12">
      <c r="B153">
        <v>2.86E-2</v>
      </c>
      <c r="C153">
        <f ca="1"/>
        <v>0.12233576447617732</v>
      </c>
      <c r="D153">
        <f ca="1"/>
        <v>1</v>
      </c>
      <c r="E153">
        <f ca="1"/>
        <v>102.41829296461241</v>
      </c>
      <c r="F153" s="10">
        <f ca="1"/>
        <v>-0.21028189307533474</v>
      </c>
      <c r="G153" s="7">
        <f ca="1"/>
        <v>2.0531673296682595E-3</v>
      </c>
      <c r="H153">
        <f ca="1"/>
        <v>41.809249694110939</v>
      </c>
      <c r="I153" s="7">
        <f ca="1"/>
        <v>-0.38171879527616032</v>
      </c>
      <c r="J153">
        <f ca="1"/>
        <v>2.7142622894182438</v>
      </c>
      <c r="K153">
        <f ca="1"/>
        <v>0</v>
      </c>
      <c r="L153">
        <f ca="1"/>
        <v>0</v>
      </c>
    </row>
    <row r="154" spans="2:12">
      <c r="B154">
        <v>2.8800000000000003E-2</v>
      </c>
      <c r="C154">
        <f ca="1"/>
        <v>0.11775170091510456</v>
      </c>
      <c r="D154">
        <f ca="1"/>
        <v>1</v>
      </c>
      <c r="E154">
        <f ca="1"/>
        <v>102.32402830519618</v>
      </c>
      <c r="F154" s="10">
        <f ca="1"/>
        <v>0.37881338272290216</v>
      </c>
      <c r="G154" s="7">
        <f ca="1"/>
        <v>-3.7020960667521474E-3</v>
      </c>
      <c r="H154">
        <f ca="1"/>
        <v>42.188063076833842</v>
      </c>
      <c r="I154" s="7">
        <f ca="1"/>
        <v>-0.38542089134291246</v>
      </c>
      <c r="J154">
        <f ca="1"/>
        <v>2.7502448816477241</v>
      </c>
      <c r="K154">
        <f ca="1"/>
        <v>0</v>
      </c>
      <c r="L154">
        <f ca="1"/>
        <v>0</v>
      </c>
    </row>
    <row r="155" spans="2:12">
      <c r="B155">
        <v>2.9000000000000001E-2</v>
      </c>
      <c r="C155">
        <f ca="1"/>
        <v>0.1376698987334741</v>
      </c>
      <c r="D155">
        <f ca="1"/>
        <v>1</v>
      </c>
      <c r="E155">
        <f ca="1"/>
        <v>102.73205241248644</v>
      </c>
      <c r="F155" s="10">
        <f ca="1"/>
        <v>-1.655447561709422</v>
      </c>
      <c r="G155" s="7">
        <f ca="1"/>
        <v>1.6114226503161078E-2</v>
      </c>
      <c r="H155">
        <f ca="1"/>
        <v>40.532615515124419</v>
      </c>
      <c r="I155" s="7">
        <f ca="1"/>
        <v>-0.36930666483975139</v>
      </c>
      <c r="J155">
        <f ca="1"/>
        <v>2.5929838665265166</v>
      </c>
      <c r="K155">
        <f ca="1"/>
        <v>0</v>
      </c>
      <c r="L155">
        <f ca="1"/>
        <v>0</v>
      </c>
    </row>
    <row r="156" spans="2:12">
      <c r="B156">
        <v>2.92E-2</v>
      </c>
      <c r="C156">
        <f ca="1"/>
        <v>0.14884604060191076</v>
      </c>
      <c r="D156">
        <f ca="1"/>
        <v>1</v>
      </c>
      <c r="E156">
        <f ca="1"/>
        <v>102.96152699261245</v>
      </c>
      <c r="F156" s="10">
        <f ca="1"/>
        <v>-0.92285398289543841</v>
      </c>
      <c r="G156" s="7">
        <f ca="1"/>
        <v>8.9630953410554381E-3</v>
      </c>
      <c r="H156">
        <f ca="1"/>
        <v>39.60976153222898</v>
      </c>
      <c r="I156" s="7">
        <f ca="1"/>
        <v>-0.36034356949869595</v>
      </c>
      <c r="J156">
        <f ca="1"/>
        <v>2.5082373746746782</v>
      </c>
      <c r="K156">
        <f ca="1"/>
        <v>0</v>
      </c>
      <c r="L156">
        <f ca="1"/>
        <v>0</v>
      </c>
    </row>
    <row r="157" spans="2:12">
      <c r="B157">
        <v>2.9400000000000003E-2</v>
      </c>
      <c r="C157">
        <f ca="1"/>
        <v>0.13727863668410237</v>
      </c>
      <c r="D157">
        <f ca="1"/>
        <v>1</v>
      </c>
      <c r="E157">
        <f ca="1"/>
        <v>102.72319190751998</v>
      </c>
      <c r="F157" s="10">
        <f ca="1"/>
        <v>0.94789167385908479</v>
      </c>
      <c r="G157" s="7">
        <f ca="1"/>
        <v>-9.227630647541174E-3</v>
      </c>
      <c r="H157">
        <f ca="1"/>
        <v>40.557653206088062</v>
      </c>
      <c r="I157" s="7">
        <f ca="1"/>
        <v>-0.36957120014623712</v>
      </c>
      <c r="J157">
        <f ca="1"/>
        <v>2.594119889973669</v>
      </c>
      <c r="K157">
        <f ca="1"/>
        <v>0</v>
      </c>
      <c r="L157">
        <f ca="1"/>
        <v>0</v>
      </c>
    </row>
    <row r="158" spans="2:12">
      <c r="B158">
        <v>2.9600000000000001E-2</v>
      </c>
      <c r="C158">
        <f ca="1"/>
        <v>0.14525015938067709</v>
      </c>
      <c r="D158">
        <f ca="1"/>
        <v>1</v>
      </c>
      <c r="E158">
        <f ca="1"/>
        <v>102.88668303178528</v>
      </c>
      <c r="F158" s="10">
        <f ca="1"/>
        <v>-0.66001679598468943</v>
      </c>
      <c r="G158" s="7">
        <f ca="1"/>
        <v>6.4149876012699059E-3</v>
      </c>
      <c r="H158">
        <f ca="1"/>
        <v>39.897636410103374</v>
      </c>
      <c r="I158" s="7">
        <f ca="1"/>
        <v>-0.36315621254496722</v>
      </c>
      <c r="J158">
        <f ca="1"/>
        <v>2.5336982789656872</v>
      </c>
      <c r="K158">
        <f ca="1"/>
        <v>0</v>
      </c>
      <c r="L158">
        <f ca="1"/>
        <v>0</v>
      </c>
    </row>
    <row r="159" spans="2:12">
      <c r="B159">
        <v>2.98E-2</v>
      </c>
      <c r="C159">
        <f ca="1"/>
        <v>0.15845246500985688</v>
      </c>
      <c r="D159">
        <f ca="1"/>
        <v>1</v>
      </c>
      <c r="E159">
        <f ca="1"/>
        <v>103.15829766534496</v>
      </c>
      <c r="F159" s="10">
        <f ca="1"/>
        <v>-1.0863897408190601</v>
      </c>
      <c r="G159" s="7">
        <f ca="1"/>
        <v>1.0531287985610316E-2</v>
      </c>
      <c r="H159">
        <f ca="1"/>
        <v>38.811246669284316</v>
      </c>
      <c r="I159" s="7">
        <f ca="1"/>
        <v>-0.3526249245593569</v>
      </c>
      <c r="J159">
        <f ca="1"/>
        <v>2.4350597373703664</v>
      </c>
      <c r="K159">
        <f ca="1"/>
        <v>0</v>
      </c>
      <c r="L159">
        <f ca="1"/>
        <v>0</v>
      </c>
    </row>
    <row r="160" spans="2:12">
      <c r="B160">
        <v>3.0000000000000002E-2</v>
      </c>
      <c r="C160">
        <f ca="1"/>
        <v>0.13792720026024841</v>
      </c>
      <c r="D160">
        <f ca="1"/>
        <v>1</v>
      </c>
      <c r="E160">
        <f ca="1"/>
        <v>102.73528444506516</v>
      </c>
      <c r="F160" s="10">
        <f ca="1"/>
        <v>1.6797061496693451</v>
      </c>
      <c r="G160" s="7">
        <f ca="1"/>
        <v>-1.6349846683565872E-2</v>
      </c>
      <c r="H160">
        <f ca="1"/>
        <v>40.490952818953659</v>
      </c>
      <c r="I160" s="7">
        <f ca="1"/>
        <v>-0.36897477124292277</v>
      </c>
      <c r="J160">
        <f ca="1"/>
        <v>2.5842247422591385</v>
      </c>
      <c r="K160">
        <f ca="1"/>
        <v>0</v>
      </c>
      <c r="L160">
        <f ca="1"/>
        <v>0</v>
      </c>
    </row>
    <row r="161" spans="2:12">
      <c r="B161">
        <v>3.0200000000000001E-2</v>
      </c>
      <c r="C161">
        <f ca="1"/>
        <v>0.12896158308410283</v>
      </c>
      <c r="D161">
        <f ca="1"/>
        <v>1</v>
      </c>
      <c r="E161">
        <f ca="1"/>
        <v>102.55082225806933</v>
      </c>
      <c r="F161" s="10">
        <f ca="1"/>
        <v>0.73951422536842204</v>
      </c>
      <c r="G161" s="7">
        <f ca="1"/>
        <v>-7.2111974247016097E-3</v>
      </c>
      <c r="H161">
        <f ca="1"/>
        <v>41.230467044322083</v>
      </c>
      <c r="I161" s="7">
        <f ca="1"/>
        <v>-0.37618596866762438</v>
      </c>
      <c r="J161">
        <f ca="1"/>
        <v>2.6522866355088937</v>
      </c>
      <c r="K161">
        <f ca="1"/>
        <v>0</v>
      </c>
      <c r="L161">
        <f ca="1"/>
        <v>0</v>
      </c>
    </row>
    <row r="162" spans="2:12">
      <c r="B162">
        <v>3.04E-2</v>
      </c>
      <c r="C162">
        <f ca="1"/>
        <v>0.13914735076270068</v>
      </c>
      <c r="D162">
        <f ca="1"/>
        <v>1</v>
      </c>
      <c r="E162">
        <f ca="1"/>
        <v>102.75953592650386</v>
      </c>
      <c r="F162" s="10">
        <f ca="1"/>
        <v>-0.8470898088509351</v>
      </c>
      <c r="G162" s="7">
        <f ca="1"/>
        <v>8.2434180070333762E-3</v>
      </c>
      <c r="H162">
        <f ca="1"/>
        <v>40.383377235471144</v>
      </c>
      <c r="I162" s="7">
        <f ca="1"/>
        <v>-0.36794255066059101</v>
      </c>
      <c r="J162">
        <f ca="1"/>
        <v>2.5737714819746742</v>
      </c>
      <c r="K162">
        <f ca="1"/>
        <v>0</v>
      </c>
      <c r="L162">
        <f ca="1"/>
        <v>0</v>
      </c>
    </row>
    <row r="163" spans="2:12">
      <c r="B163">
        <v>3.0600000000000002E-2</v>
      </c>
      <c r="C163">
        <f ca="1"/>
        <v>0.12502922952208162</v>
      </c>
      <c r="D163">
        <f ca="1"/>
        <v>1</v>
      </c>
      <c r="E163">
        <f ca="1"/>
        <v>102.46938098888758</v>
      </c>
      <c r="F163" s="10">
        <f ca="1"/>
        <v>1.1671055092229683</v>
      </c>
      <c r="G163" s="7">
        <f ca="1"/>
        <v>-1.1389797595728002E-2</v>
      </c>
      <c r="H163">
        <f ca="1"/>
        <v>41.550482744694115</v>
      </c>
      <c r="I163" s="7">
        <f ca="1"/>
        <v>-0.37933234825631901</v>
      </c>
      <c r="J163">
        <f ca="1"/>
        <v>2.6805318298079754</v>
      </c>
      <c r="K163">
        <f ca="1"/>
        <v>0</v>
      </c>
      <c r="L163">
        <f ca="1"/>
        <v>0</v>
      </c>
    </row>
    <row r="164" spans="2:12">
      <c r="B164">
        <v>3.0800000000000001E-2</v>
      </c>
      <c r="C164">
        <f ca="1"/>
        <v>0.12226175916440837</v>
      </c>
      <c r="D164">
        <f ca="1"/>
        <v>1</v>
      </c>
      <c r="E164">
        <f ca="1"/>
        <v>102.4122708372371</v>
      </c>
      <c r="F164" s="10">
        <f ca="1"/>
        <v>0.22844340990164363</v>
      </c>
      <c r="G164" s="7">
        <f ca="1"/>
        <v>-2.2306253736401049E-3</v>
      </c>
      <c r="H164">
        <f ca="1"/>
        <v>41.778926154595759</v>
      </c>
      <c r="I164" s="7">
        <f ca="1"/>
        <v>-0.38156297362995911</v>
      </c>
      <c r="J164">
        <f ca="1"/>
        <v>2.7021955577428258</v>
      </c>
      <c r="K164">
        <f ca="1"/>
        <v>0</v>
      </c>
      <c r="L164">
        <f ca="1"/>
        <v>0</v>
      </c>
    </row>
    <row r="165" spans="2:12">
      <c r="B165">
        <v>3.1E-2</v>
      </c>
      <c r="C165">
        <f ca="1"/>
        <v>0.11937208160064744</v>
      </c>
      <c r="D165">
        <f ca="1"/>
        <v>1</v>
      </c>
      <c r="E165">
        <f ca="1"/>
        <v>102.35269083743557</v>
      </c>
      <c r="F165" s="10">
        <f ca="1"/>
        <v>0.23912825216211289</v>
      </c>
      <c r="G165" s="7">
        <f ca="1"/>
        <v>-2.3363162238881907E-3</v>
      </c>
      <c r="H165">
        <f ca="1"/>
        <v>42.018054406757869</v>
      </c>
      <c r="I165">
        <f ca="1"/>
        <v>-0.3838992898538473</v>
      </c>
      <c r="J165">
        <f ca="1"/>
        <v>2.7249290796359702</v>
      </c>
      <c r="K165">
        <f ca="1"/>
        <v>0</v>
      </c>
      <c r="L165">
        <f ca="1"/>
        <v>0</v>
      </c>
    </row>
    <row r="166" spans="2:12">
      <c r="B166">
        <v>3.1200000000000002E-2</v>
      </c>
      <c r="C166">
        <f ca="1"/>
        <v>0.11535139279719718</v>
      </c>
      <c r="D166">
        <f ca="1"/>
        <v>1</v>
      </c>
      <c r="E166">
        <f ca="1"/>
        <v>102.27000917664756</v>
      </c>
      <c r="F166" s="10">
        <f ca="1"/>
        <v>0.33422954999586979</v>
      </c>
      <c r="G166" s="7">
        <f ca="1"/>
        <v>-3.2681091229645465E-3</v>
      </c>
      <c r="H166">
        <f ca="1"/>
        <v>42.352283956753737</v>
      </c>
      <c r="I166">
        <f ca="1"/>
        <v>-0.38716739897681185</v>
      </c>
      <c r="J166">
        <f ca="1"/>
        <v>2.75667051049642</v>
      </c>
      <c r="K166">
        <f ca="1"/>
        <v>0</v>
      </c>
      <c r="L166">
        <f ca="1"/>
        <v>0</v>
      </c>
    </row>
    <row r="167" spans="2:12">
      <c r="B167">
        <v>3.1400000000000004E-2</v>
      </c>
      <c r="C167">
        <f ca="1"/>
        <v>0.11910616386200659</v>
      </c>
      <c r="D167">
        <f ca="1"/>
        <v>1</v>
      </c>
      <c r="E167">
        <f ca="1"/>
        <v>102.34642872826159</v>
      </c>
      <c r="F167" s="10">
        <f ca="1"/>
        <v>-0.31611224612118816</v>
      </c>
      <c r="G167" s="7">
        <f ca="1"/>
        <v>3.0886495019820659E-3</v>
      </c>
      <c r="H167">
        <f ca="1"/>
        <v>42.036171710632551</v>
      </c>
      <c r="I167">
        <f ca="1"/>
        <v>-0.38407874947482978</v>
      </c>
      <c r="J167">
        <f ca="1"/>
        <v>2.7270833514670514</v>
      </c>
      <c r="K167">
        <f ca="1"/>
        <v>0</v>
      </c>
      <c r="L167">
        <f ca="1"/>
        <v>0</v>
      </c>
    </row>
    <row r="168" spans="2:12">
      <c r="B168">
        <v>3.1600000000000003E-2</v>
      </c>
      <c r="C168">
        <f ca="1"/>
        <v>0.13307100353785156</v>
      </c>
      <c r="D168">
        <f ca="1"/>
        <v>1</v>
      </c>
      <c r="E168">
        <f ca="1"/>
        <v>102.63226804933467</v>
      </c>
      <c r="F168" s="10">
        <f ca="1"/>
        <v>-1.1680763813949082</v>
      </c>
      <c r="G168" s="7">
        <f ca="1"/>
        <v>1.1381180632522137E-2</v>
      </c>
      <c r="H168">
        <f ca="1"/>
        <v>40.86809532923764</v>
      </c>
      <c r="I168">
        <f ca="1"/>
        <v>-0.37269756884230765</v>
      </c>
      <c r="J168">
        <f ca="1"/>
        <v>2.617298542478558</v>
      </c>
      <c r="K168">
        <f ca="1"/>
        <v>0</v>
      </c>
      <c r="L168">
        <f ca="1"/>
        <v>0</v>
      </c>
    </row>
    <row r="169" spans="2:12">
      <c r="B169">
        <v>3.1800000000000002E-2</v>
      </c>
      <c r="C169">
        <f ca="1"/>
        <v>0.15650659916789886</v>
      </c>
      <c r="D169">
        <f ca="1"/>
        <v>1</v>
      </c>
      <c r="E169">
        <f ca="1"/>
        <v>103.11403439087432</v>
      </c>
      <c r="F169" s="10">
        <f ca="1"/>
        <v>-1.9436022659813648</v>
      </c>
      <c r="G169" s="7">
        <f ca="1"/>
        <v>1.8849056556295263E-2</v>
      </c>
      <c r="H169">
        <f ca="1"/>
        <v>38.924493063256278</v>
      </c>
      <c r="I169">
        <f ca="1"/>
        <v>-0.35384851228601238</v>
      </c>
      <c r="J169">
        <f ca="1"/>
        <v>2.4377453982366788</v>
      </c>
      <c r="K169">
        <f ca="1"/>
        <v>0</v>
      </c>
      <c r="L169">
        <f ca="1"/>
        <v>0</v>
      </c>
    </row>
    <row r="170" spans="2:12">
      <c r="B170">
        <v>3.2000000000000001E-2</v>
      </c>
      <c r="C170">
        <f ca="1"/>
        <v>0.15425622830976404</v>
      </c>
      <c r="D170">
        <f ca="1"/>
        <v>1</v>
      </c>
      <c r="E170">
        <f ca="1"/>
        <v>103.06722359971508</v>
      </c>
      <c r="F170" s="10">
        <f ca="1"/>
        <v>0.18157941337073766</v>
      </c>
      <c r="G170" s="7">
        <f ca="1"/>
        <v>-1.7617571040425273E-3</v>
      </c>
      <c r="H170">
        <f ca="1"/>
        <v>39.106072476627013</v>
      </c>
      <c r="I170">
        <f ca="1"/>
        <v>-0.35561026939005491</v>
      </c>
      <c r="J170">
        <f ca="1"/>
        <v>2.4543093270473122</v>
      </c>
      <c r="K170">
        <f ca="1"/>
        <v>0</v>
      </c>
      <c r="L170">
        <f ca="1"/>
        <v>0</v>
      </c>
    </row>
    <row r="171" spans="2:12">
      <c r="B171">
        <v>3.2199999999999999E-2</v>
      </c>
      <c r="C171">
        <f ca="1"/>
        <v>0.16470938769546617</v>
      </c>
      <c r="D171">
        <f ca="1"/>
        <v>1</v>
      </c>
      <c r="E171">
        <f ca="1"/>
        <v>103.28251148913881</v>
      </c>
      <c r="F171" s="10">
        <f ca="1"/>
        <v>-0.86135177941583518</v>
      </c>
      <c r="G171" s="7">
        <f ca="1"/>
        <v>8.3397640800632056E-3</v>
      </c>
      <c r="H171">
        <f ca="1"/>
        <v>38.244720697211179</v>
      </c>
      <c r="I171">
        <f ca="1"/>
        <v>-0.34727050530999171</v>
      </c>
      <c r="J171">
        <f ca="1"/>
        <v>2.3777507426929176</v>
      </c>
      <c r="K171">
        <f ca="1"/>
        <v>0</v>
      </c>
      <c r="L171">
        <f ca="1"/>
        <v>0</v>
      </c>
    </row>
    <row r="172" spans="2:12">
      <c r="B172">
        <v>3.2399999999999998E-2</v>
      </c>
      <c r="C172">
        <f ca="1"/>
        <v>0.17511650551907193</v>
      </c>
      <c r="D172">
        <f ca="1"/>
        <v>1</v>
      </c>
      <c r="E172">
        <f ca="1"/>
        <v>103.49729603432243</v>
      </c>
      <c r="F172" s="10">
        <f ca="1"/>
        <v>-0.8526029538488068</v>
      </c>
      <c r="G172" s="7">
        <f ca="1"/>
        <v>8.2379249170534963E-3</v>
      </c>
      <c r="H172">
        <f ca="1"/>
        <v>37.39211774336237</v>
      </c>
      <c r="I172">
        <f ca="1"/>
        <v>-0.33903258039293821</v>
      </c>
      <c r="J172">
        <f ca="1"/>
        <v>2.3031624051542252</v>
      </c>
      <c r="K172">
        <f ca="1"/>
        <v>0</v>
      </c>
      <c r="L172">
        <f ca="1"/>
        <v>0</v>
      </c>
    </row>
    <row r="173" spans="2:12">
      <c r="B173">
        <v>3.2600000000000004E-2</v>
      </c>
      <c r="C173">
        <f ca="1"/>
        <v>0.19839246402030658</v>
      </c>
      <c r="D173">
        <f ca="1"/>
        <v>1</v>
      </c>
      <c r="E173">
        <f ca="1"/>
        <v>103.97980304507443</v>
      </c>
      <c r="F173" s="10">
        <f ca="1"/>
        <v>-1.8834392806291342</v>
      </c>
      <c r="G173" s="7">
        <f ca="1"/>
        <v>1.8113510753743955E-2</v>
      </c>
      <c r="H173">
        <f ca="1"/>
        <v>35.508678462733236</v>
      </c>
      <c r="I173">
        <f ca="1"/>
        <v>-0.32091906963919425</v>
      </c>
      <c r="J173">
        <f ca="1"/>
        <v>2.1395768082412943</v>
      </c>
      <c r="K173">
        <f ca="1"/>
        <v>0</v>
      </c>
      <c r="L173">
        <f ca="1"/>
        <v>0</v>
      </c>
    </row>
    <row r="174" spans="2:12">
      <c r="B174">
        <v>3.2800000000000003E-2</v>
      </c>
      <c r="C174">
        <f ca="1"/>
        <v>0.17829604944553101</v>
      </c>
      <c r="D174">
        <f ca="1"/>
        <v>1</v>
      </c>
      <c r="E174">
        <f ca="1"/>
        <v>103.56230330293799</v>
      </c>
      <c r="F174" s="10">
        <f ca="1"/>
        <v>1.60969197511671</v>
      </c>
      <c r="G174" s="7">
        <f ca="1"/>
        <v>-1.5543223004688078E-2</v>
      </c>
      <c r="H174">
        <f ca="1"/>
        <v>37.118370437849947</v>
      </c>
      <c r="I174">
        <f ca="1"/>
        <v>-0.33646229264388233</v>
      </c>
      <c r="J174">
        <f ca="1"/>
        <v>2.2735604370623221</v>
      </c>
      <c r="K174">
        <f ca="1"/>
        <v>0</v>
      </c>
      <c r="L174">
        <f ca="1"/>
        <v>0</v>
      </c>
    </row>
    <row r="175" spans="2:12">
      <c r="B175">
        <v>3.3000000000000002E-2</v>
      </c>
      <c r="C175">
        <f ca="1"/>
        <v>0.16264899408699707</v>
      </c>
      <c r="D175">
        <f ca="1"/>
        <v>1</v>
      </c>
      <c r="E175">
        <f ca="1"/>
        <v>103.238307905629</v>
      </c>
      <c r="F175" s="10">
        <f ca="1"/>
        <v>1.2701136523096224</v>
      </c>
      <c r="G175" s="7">
        <f ca="1"/>
        <v>-1.2302736049012386E-2</v>
      </c>
      <c r="H175">
        <f ca="1"/>
        <v>38.388484090159572</v>
      </c>
      <c r="I175">
        <f ca="1"/>
        <v>-0.34876502869289472</v>
      </c>
      <c r="J175">
        <f ca="1"/>
        <v>2.3825726712469759</v>
      </c>
      <c r="K175">
        <f ca="1"/>
        <v>0</v>
      </c>
      <c r="L175">
        <f ca="1"/>
        <v>0</v>
      </c>
    </row>
    <row r="176" spans="2:12">
      <c r="B176">
        <v>3.32E-2</v>
      </c>
      <c r="C176">
        <f ca="1"/>
        <v>0.192006832907446</v>
      </c>
      <c r="D176">
        <f ca="1"/>
        <v>1</v>
      </c>
      <c r="E176">
        <f ca="1"/>
        <v>103.8458463164682</v>
      </c>
      <c r="F176" s="10">
        <f ca="1"/>
        <v>-2.3945834124892893</v>
      </c>
      <c r="G176" s="7">
        <f ca="1"/>
        <v>2.305901966643753E-2</v>
      </c>
      <c r="H176">
        <f ca="1"/>
        <v>35.993900677670283</v>
      </c>
      <c r="I176">
        <f ca="1"/>
        <v>-0.32570600902645719</v>
      </c>
      <c r="J176">
        <f ca="1"/>
        <v>2.1706845199586056</v>
      </c>
      <c r="K176">
        <f ca="1"/>
        <v>0</v>
      </c>
      <c r="L176">
        <f ca="1"/>
        <v>0</v>
      </c>
    </row>
    <row r="177" spans="2:12">
      <c r="B177">
        <v>3.3399999999999999E-2</v>
      </c>
      <c r="C177">
        <f ca="1"/>
        <v>0.18822867798380843</v>
      </c>
      <c r="D177">
        <f ca="1"/>
        <v>1</v>
      </c>
      <c r="E177">
        <f ca="1"/>
        <v>103.76699174794956</v>
      </c>
      <c r="F177" s="10">
        <f ca="1"/>
        <v>0.29941001510332987</v>
      </c>
      <c r="G177" s="7">
        <f ca="1"/>
        <v>-2.885407103547899E-3</v>
      </c>
      <c r="H177">
        <f ca="1"/>
        <v>36.293310692773609</v>
      </c>
      <c r="I177">
        <f ca="1"/>
        <v>-0.32859141613000509</v>
      </c>
      <c r="J177">
        <f ca="1"/>
        <v>2.1963679267643101</v>
      </c>
      <c r="K177">
        <f ca="1"/>
        <v>0</v>
      </c>
      <c r="L177">
        <f ca="1"/>
        <v>0</v>
      </c>
    </row>
    <row r="178" spans="2:12">
      <c r="B178">
        <v>3.3600000000000005E-2</v>
      </c>
      <c r="C178">
        <f ca="1"/>
        <v>0.17923206597667918</v>
      </c>
      <c r="D178">
        <f ca="1"/>
        <v>1</v>
      </c>
      <c r="E178">
        <f ca="1"/>
        <v>103.58003502948601</v>
      </c>
      <c r="F178" s="10">
        <f ca="1"/>
        <v>0.7227889071400786</v>
      </c>
      <c r="G178" s="7">
        <f ca="1"/>
        <v>-6.9780716615351901E-3</v>
      </c>
      <c r="H178">
        <f ca="1"/>
        <v>37.016099599913687</v>
      </c>
      <c r="I178">
        <f ca="1"/>
        <v>-0.33556948779154028</v>
      </c>
      <c r="J178">
        <f ca="1"/>
        <v>2.2578002996392641</v>
      </c>
      <c r="K178">
        <f ca="1"/>
        <v>0</v>
      </c>
      <c r="L178">
        <f ca="1"/>
        <v>0</v>
      </c>
    </row>
    <row r="179" spans="2:12">
      <c r="B179">
        <v>3.3800000000000004E-2</v>
      </c>
      <c r="C179">
        <f ca="1"/>
        <v>0.1831597068156795</v>
      </c>
      <c r="D179">
        <f ca="1"/>
        <v>1</v>
      </c>
      <c r="E179">
        <f ca="1"/>
        <v>103.66101738535747</v>
      </c>
      <c r="F179" s="10">
        <f ca="1"/>
        <v>-0.32279339775474458</v>
      </c>
      <c r="G179" s="7">
        <f ca="1"/>
        <v>3.1139323720388301E-3</v>
      </c>
      <c r="H179">
        <f ca="1"/>
        <v>36.693306202158944</v>
      </c>
      <c r="I179">
        <f ca="1"/>
        <v>-0.33245555541950145</v>
      </c>
      <c r="J179">
        <f ca="1"/>
        <v>2.2306250919593325</v>
      </c>
      <c r="K179">
        <f ca="1"/>
        <v>0</v>
      </c>
      <c r="L179">
        <f ca="1"/>
        <v>0</v>
      </c>
    </row>
    <row r="180" spans="2:12">
      <c r="B180">
        <v>3.4000000000000002E-2</v>
      </c>
      <c r="C180">
        <f ca="1"/>
        <v>0.16035635573682272</v>
      </c>
      <c r="D180">
        <f ca="1"/>
        <v>1</v>
      </c>
      <c r="E180">
        <f ca="1"/>
        <v>103.18891733700795</v>
      </c>
      <c r="F180" s="10">
        <f ca="1"/>
        <v>1.8535287256055051</v>
      </c>
      <c r="G180" s="7">
        <f ca="1"/>
        <v>-1.796247865991274E-2</v>
      </c>
      <c r="H180">
        <f ca="1"/>
        <v>38.546834927764451</v>
      </c>
      <c r="I180">
        <f ca="1"/>
        <v>-0.35041803407941419</v>
      </c>
      <c r="J180">
        <f ca="1"/>
        <v>2.3875773757469432</v>
      </c>
      <c r="K180">
        <f ca="1"/>
        <v>0</v>
      </c>
      <c r="L180">
        <f ca="1"/>
        <v>0</v>
      </c>
    </row>
    <row r="181" spans="2:12">
      <c r="B181">
        <v>3.4200000000000001E-2</v>
      </c>
      <c r="C181">
        <f ca="1"/>
        <v>0.13634756955278887</v>
      </c>
      <c r="D181">
        <f ca="1"/>
        <v>1</v>
      </c>
      <c r="E181">
        <f ca="1"/>
        <v>102.69420613385473</v>
      </c>
      <c r="F181" s="10">
        <f ca="1"/>
        <v>1.9819538577238911</v>
      </c>
      <c r="G181" s="7">
        <f ca="1"/>
        <v>-1.9299568421031976E-2</v>
      </c>
      <c r="H181">
        <f ca="1"/>
        <v>40.528788785488345</v>
      </c>
      <c r="I181">
        <f ca="1"/>
        <v>-0.36971760250044616</v>
      </c>
      <c r="J181">
        <f ca="1"/>
        <v>2.5609331029929621</v>
      </c>
      <c r="K181">
        <f ca="1"/>
        <v>0</v>
      </c>
      <c r="L181">
        <f ca="1"/>
        <v>0</v>
      </c>
    </row>
    <row r="182" spans="2:12">
      <c r="B182">
        <v>3.44E-2</v>
      </c>
      <c r="C182">
        <f ca="1"/>
        <v>0.13161439124594035</v>
      </c>
      <c r="D182">
        <f ca="1"/>
        <v>1</v>
      </c>
      <c r="E182">
        <f ca="1"/>
        <v>102.59662774738337</v>
      </c>
      <c r="F182" s="10">
        <f ca="1"/>
        <v>0.39279286638994948</v>
      </c>
      <c r="G182" s="7">
        <f ca="1"/>
        <v>-3.8285163461424521E-3</v>
      </c>
      <c r="H182">
        <f ca="1"/>
        <v>40.921581651878292</v>
      </c>
      <c r="I182">
        <f ca="1"/>
        <v>-0.37354611884658862</v>
      </c>
      <c r="J182">
        <f ca="1"/>
        <v>2.5970095500950166</v>
      </c>
      <c r="K182">
        <f ca="1"/>
        <v>0</v>
      </c>
      <c r="L182">
        <f ca="1"/>
        <v>0</v>
      </c>
    </row>
    <row r="183" spans="2:12">
      <c r="B183">
        <v>3.4599999999999999E-2</v>
      </c>
      <c r="C183">
        <f ca="1"/>
        <v>0.13561345235592648</v>
      </c>
      <c r="D183">
        <f ca="1"/>
        <v>1</v>
      </c>
      <c r="E183">
        <f ca="1"/>
        <v>102.6783078943993</v>
      </c>
      <c r="F183" s="10">
        <f ca="1"/>
        <v>-0.33706822753530696</v>
      </c>
      <c r="G183" s="7">
        <f ca="1"/>
        <v>3.2827598588980322E-3</v>
      </c>
      <c r="H183">
        <f ca="1"/>
        <v>40.584513424342987</v>
      </c>
      <c r="I183">
        <f ca="1"/>
        <v>-0.37026335898769058</v>
      </c>
      <c r="J183">
        <f ca="1"/>
        <v>2.5664982481903991</v>
      </c>
      <c r="K183">
        <f ca="1"/>
        <v>0</v>
      </c>
      <c r="L183">
        <f ca="1"/>
        <v>0</v>
      </c>
    </row>
    <row r="184" spans="2:12">
      <c r="B184">
        <v>3.4800000000000005E-2</v>
      </c>
      <c r="C184">
        <f ca="1"/>
        <v>0.14155220033243487</v>
      </c>
      <c r="D184">
        <f ca="1"/>
        <v>1</v>
      </c>
      <c r="E184">
        <f ca="1"/>
        <v>102.79992526787237</v>
      </c>
      <c r="F184" s="10">
        <f ca="1"/>
        <v>-0.49855629960100045</v>
      </c>
      <c r="G184" s="7">
        <f ca="1"/>
        <v>4.8497729769927389E-3</v>
      </c>
      <c r="H184">
        <f ca="1"/>
        <v>40.085957124741988</v>
      </c>
      <c r="I184">
        <f ca="1"/>
        <v>-0.36541358601069784</v>
      </c>
      <c r="J184">
        <f ca="1"/>
        <v>2.5214677909769989</v>
      </c>
      <c r="K184">
        <f ca="1"/>
        <v>0</v>
      </c>
      <c r="L184">
        <f ca="1"/>
        <v>0</v>
      </c>
    </row>
    <row r="185" spans="2:12">
      <c r="B185">
        <v>3.5000000000000003E-2</v>
      </c>
      <c r="C185">
        <f ca="1"/>
        <v>0.14485520823512263</v>
      </c>
      <c r="D185">
        <f ca="1"/>
        <v>1</v>
      </c>
      <c r="E185">
        <f ca="1"/>
        <v>102.86744602597481</v>
      </c>
      <c r="F185" s="10">
        <f ca="1"/>
        <v>-0.27804024354126261</v>
      </c>
      <c r="G185" s="7">
        <f ca="1"/>
        <v>2.7028982859266804E-3</v>
      </c>
      <c r="H185">
        <f ca="1"/>
        <v>39.807916881200725</v>
      </c>
      <c r="I185">
        <f ca="1"/>
        <v>-0.36271068772477116</v>
      </c>
      <c r="J185">
        <f ca="1"/>
        <v>2.4967947886286197</v>
      </c>
      <c r="K185">
        <f ca="1"/>
        <v>0</v>
      </c>
      <c r="L185">
        <f ca="1"/>
        <v>0</v>
      </c>
    </row>
    <row r="186" spans="2:12">
      <c r="B186">
        <v>3.5200000000000002E-2</v>
      </c>
      <c r="C186">
        <f ca="1"/>
        <v>0.14150634658138256</v>
      </c>
      <c r="D186">
        <f ca="1"/>
        <v>1</v>
      </c>
      <c r="E186">
        <f ca="1"/>
        <v>102.79816013118834</v>
      </c>
      <c r="F186" s="10">
        <f ca="1"/>
        <v>0.27597350491484396</v>
      </c>
      <c r="G186" s="7">
        <f ca="1"/>
        <v>-2.6846152164849424E-3</v>
      </c>
      <c r="H186">
        <f ca="1"/>
        <v>40.08389038611557</v>
      </c>
      <c r="I186">
        <f ca="1"/>
        <v>-0.36539530294125611</v>
      </c>
      <c r="J186">
        <f ca="1"/>
        <v>2.5219255231762503</v>
      </c>
      <c r="K186">
        <f ca="1"/>
        <v>0</v>
      </c>
      <c r="L186">
        <f ca="1"/>
        <v>0</v>
      </c>
    </row>
    <row r="187" spans="2:12">
      <c r="B187">
        <v>3.5400000000000001E-2</v>
      </c>
      <c r="C187">
        <f ca="1"/>
        <v>0.13798701173412845</v>
      </c>
      <c r="D187">
        <f ca="1"/>
        <v>1</v>
      </c>
      <c r="E187">
        <f ca="1"/>
        <v>102.72541845786249</v>
      </c>
      <c r="F187">
        <f ca="1"/>
        <v>0.29096205317086787</v>
      </c>
      <c r="G187" s="7">
        <f ca="1"/>
        <v>-2.8324250953547514E-3</v>
      </c>
      <c r="H187">
        <f ca="1"/>
        <v>40.374852439286435</v>
      </c>
      <c r="I187">
        <f ca="1"/>
        <v>-0.36822772803661086</v>
      </c>
      <c r="J187">
        <f ca="1"/>
        <v>2.5485049889376015</v>
      </c>
      <c r="K187">
        <f ca="1"/>
        <v>0</v>
      </c>
      <c r="L187">
        <f ca="1"/>
        <v>0</v>
      </c>
    </row>
    <row r="188" spans="2:12">
      <c r="B188">
        <v>3.56E-2</v>
      </c>
      <c r="C188">
        <f ca="1"/>
        <v>0.14466748968074464</v>
      </c>
      <c r="D188">
        <f ca="1"/>
        <v>1</v>
      </c>
      <c r="E188">
        <f ca="1"/>
        <v>102.86234971721646</v>
      </c>
      <c r="F188">
        <f ca="1"/>
        <v>-0.56080298657839511</v>
      </c>
      <c r="G188" s="7">
        <f ca="1"/>
        <v>5.451975267142195E-3</v>
      </c>
      <c r="H188">
        <f ca="1"/>
        <v>39.814049452708041</v>
      </c>
      <c r="I188">
        <f ca="1"/>
        <v>-0.36277575276946866</v>
      </c>
      <c r="J188">
        <f ca="1"/>
        <v>2.4980831024085006</v>
      </c>
      <c r="K188">
        <f ca="1"/>
        <v>0</v>
      </c>
      <c r="L188">
        <f ca="1"/>
        <v>0</v>
      </c>
    </row>
    <row r="189" spans="2:12">
      <c r="B189">
        <v>3.5799999999999998E-2</v>
      </c>
      <c r="C189">
        <f ca="1"/>
        <v>0.15621874255029033</v>
      </c>
      <c r="D189">
        <f ca="1"/>
        <v>1</v>
      </c>
      <c r="E189">
        <f ca="1"/>
        <v>103.09984983240612</v>
      </c>
      <c r="F189">
        <f ca="1"/>
        <v>-0.96387339186867915</v>
      </c>
      <c r="G189" s="7">
        <f ca="1"/>
        <v>9.3489310938425496E-3</v>
      </c>
      <c r="H189">
        <f ca="1"/>
        <v>38.85017606083936</v>
      </c>
      <c r="I189">
        <f ca="1"/>
        <v>-0.35342682167562611</v>
      </c>
      <c r="J189">
        <f ca="1"/>
        <v>2.4119238193377299</v>
      </c>
      <c r="K189">
        <f ca="1"/>
        <v>0</v>
      </c>
      <c r="L189">
        <f ca="1"/>
        <v>0</v>
      </c>
    </row>
    <row r="190" spans="2:12">
      <c r="B190">
        <v>3.6000000000000004E-2</v>
      </c>
      <c r="C190">
        <f ca="1"/>
        <v>0.14528789508151926</v>
      </c>
      <c r="D190">
        <f ca="1"/>
        <v>1</v>
      </c>
      <c r="E190">
        <f ca="1"/>
        <v>102.8742907829314</v>
      </c>
      <c r="F190">
        <f ca="1"/>
        <v>0.90404703865084601</v>
      </c>
      <c r="G190" s="7">
        <f ca="1"/>
        <v>-8.7878811291969838E-3</v>
      </c>
      <c r="H190">
        <f ca="1"/>
        <v>39.754223099490204</v>
      </c>
      <c r="I190">
        <f ca="1"/>
        <v>-0.3622147028048231</v>
      </c>
      <c r="J190">
        <f ca="1"/>
        <v>2.4916424372937556</v>
      </c>
      <c r="K190">
        <f ca="1"/>
        <v>0</v>
      </c>
      <c r="L190">
        <f ca="1"/>
        <v>0</v>
      </c>
    </row>
    <row r="191" spans="2:12">
      <c r="B191">
        <v>3.6200000000000003E-2</v>
      </c>
      <c r="C191">
        <f ca="1"/>
        <v>0.15230649157884849</v>
      </c>
      <c r="D191">
        <f ca="1"/>
        <v>1</v>
      </c>
      <c r="E191">
        <f ca="1"/>
        <v>103.01838673657653</v>
      </c>
      <c r="F191">
        <f ca="1"/>
        <v>-0.58767060309480912</v>
      </c>
      <c r="G191" s="7">
        <f ca="1"/>
        <v>5.7045215102961566E-3</v>
      </c>
      <c r="H191">
        <f ca="1"/>
        <v>39.166552496395397</v>
      </c>
      <c r="I191">
        <f ca="1"/>
        <v>-0.35651018129452694</v>
      </c>
      <c r="J191">
        <f ca="1"/>
        <v>2.4394487642688105</v>
      </c>
      <c r="K191">
        <f ca="1"/>
        <v>0</v>
      </c>
      <c r="L191">
        <f ca="1"/>
        <v>0</v>
      </c>
    </row>
    <row r="192" spans="2:12">
      <c r="B192">
        <v>3.6400000000000002E-2</v>
      </c>
      <c r="C192">
        <f ca="1"/>
        <v>0.15062126638093726</v>
      </c>
      <c r="D192">
        <f ca="1"/>
        <v>1</v>
      </c>
      <c r="E192">
        <f ca="1"/>
        <v>102.98325881723606</v>
      </c>
      <c r="F192">
        <f ca="1"/>
        <v>0.13681218219433719</v>
      </c>
      <c r="G192" s="7">
        <f ca="1"/>
        <v>-1.3284895405877295E-3</v>
      </c>
      <c r="H192">
        <f ca="1"/>
        <v>39.303364678589737</v>
      </c>
      <c r="I192">
        <f ca="1"/>
        <v>-0.35783867083511467</v>
      </c>
      <c r="J192">
        <f ca="1"/>
        <v>2.4519722251613842</v>
      </c>
      <c r="K192">
        <f ca="1"/>
        <v>0</v>
      </c>
      <c r="L192">
        <f ca="1"/>
        <v>0</v>
      </c>
    </row>
    <row r="193" spans="2:12">
      <c r="B193">
        <v>3.6600000000000001E-2</v>
      </c>
      <c r="C193">
        <f ca="1"/>
        <v>0.15745768656433073</v>
      </c>
      <c r="D193">
        <f ca="1"/>
        <v>1</v>
      </c>
      <c r="E193">
        <f ca="1"/>
        <v>103.12374999295626</v>
      </c>
      <c r="F193">
        <f ca="1"/>
        <v>-0.5714233916642788</v>
      </c>
      <c r="G193" s="7">
        <f ca="1"/>
        <v>5.5411424788500141E-3</v>
      </c>
      <c r="H193">
        <f ca="1"/>
        <v>38.731941286925462</v>
      </c>
      <c r="I193">
        <f ca="1"/>
        <v>-0.35229752835626466</v>
      </c>
      <c r="J193">
        <f ca="1"/>
        <v>2.4016990495776085</v>
      </c>
      <c r="K193">
        <f ca="1"/>
        <v>0</v>
      </c>
      <c r="L193">
        <f ca="1"/>
        <v>0</v>
      </c>
    </row>
    <row r="194" spans="2:12">
      <c r="B194">
        <v>3.6799999999999999E-2</v>
      </c>
      <c r="C194">
        <f ca="1"/>
        <v>0.12924076874596288</v>
      </c>
      <c r="D194">
        <f ca="1"/>
        <v>1</v>
      </c>
      <c r="E194">
        <f ca="1"/>
        <v>102.54301199079849</v>
      </c>
      <c r="F194">
        <f ca="1"/>
        <v>2.348735739331127</v>
      </c>
      <c r="G194" s="7">
        <f ca="1"/>
        <v>-2.2904883460434011E-2</v>
      </c>
      <c r="H194">
        <f ca="1"/>
        <v>41.080677026256588</v>
      </c>
      <c r="I194">
        <f ca="1"/>
        <v>-0.37520241181669867</v>
      </c>
      <c r="J194">
        <f ca="1"/>
        <v>2.6062916123603443</v>
      </c>
      <c r="K194">
        <f ca="1"/>
        <v>0</v>
      </c>
      <c r="L194">
        <f ca="1"/>
        <v>0</v>
      </c>
    </row>
    <row r="195" spans="2:12">
      <c r="B195">
        <v>3.7000000000000005E-2</v>
      </c>
      <c r="C195">
        <f ca="1"/>
        <v>0.12410564744868088</v>
      </c>
      <c r="D195">
        <f ca="1"/>
        <v>1</v>
      </c>
      <c r="E195">
        <f ca="1"/>
        <v>102.43734214124814</v>
      </c>
      <c r="F195">
        <f ca="1"/>
        <v>0.43058569927318963</v>
      </c>
      <c r="G195" s="7">
        <f ca="1"/>
        <v>-4.2034056162787437E-3</v>
      </c>
      <c r="H195">
        <f ca="1"/>
        <v>41.511262725529775</v>
      </c>
      <c r="I195">
        <f ca="1"/>
        <v>-0.37940581743297741</v>
      </c>
      <c r="J195">
        <f ca="1"/>
        <v>2.6459391947679407</v>
      </c>
      <c r="K195">
        <f ca="1"/>
        <v>0</v>
      </c>
      <c r="L195">
        <f ca="1"/>
        <v>0</v>
      </c>
    </row>
    <row r="196" spans="2:12">
      <c r="B196">
        <v>3.7200000000000004E-2</v>
      </c>
      <c r="C196">
        <f ca="1"/>
        <v>0.14779919329751504</v>
      </c>
      <c r="D196">
        <f ca="1"/>
        <v>1</v>
      </c>
      <c r="E196">
        <f ca="1"/>
        <v>102.92350317174733</v>
      </c>
      <c r="F196">
        <f ca="1"/>
        <v>-1.9974194239497003</v>
      </c>
      <c r="G196" s="7">
        <f ca="1"/>
        <v>1.9406834808339435E-2</v>
      </c>
      <c r="H196">
        <f ca="1"/>
        <v>39.513843301580074</v>
      </c>
      <c r="I196">
        <f ca="1"/>
        <v>-0.35999898262463798</v>
      </c>
      <c r="J196">
        <f ca="1"/>
        <v>2.4614868715873399</v>
      </c>
      <c r="K196">
        <f ca="1"/>
        <v>0</v>
      </c>
      <c r="L196">
        <f ca="1"/>
        <v>0</v>
      </c>
    </row>
    <row r="197" spans="2:12">
      <c r="B197">
        <v>3.7400000000000003E-2</v>
      </c>
      <c r="C197">
        <f ca="1"/>
        <v>0.12664857902736365</v>
      </c>
      <c r="D197">
        <f ca="1"/>
        <v>1</v>
      </c>
      <c r="E197">
        <f ca="1"/>
        <v>102.48863370980203</v>
      </c>
      <c r="F197">
        <f ca="1"/>
        <v>1.7695639970760038</v>
      </c>
      <c r="G197" s="7">
        <f ca="1"/>
        <v>-1.7265953628443798E-2</v>
      </c>
      <c r="H197">
        <f ca="1"/>
        <v>41.28340729865608</v>
      </c>
      <c r="I197">
        <f ca="1"/>
        <v>-0.37726493625308177</v>
      </c>
      <c r="J197">
        <f ca="1"/>
        <v>2.6180394354621725</v>
      </c>
      <c r="K197">
        <f ca="1"/>
        <v>0</v>
      </c>
      <c r="L197">
        <f ca="1"/>
        <v>0</v>
      </c>
    </row>
    <row r="198" spans="2:12">
      <c r="B198">
        <v>3.7600000000000001E-2</v>
      </c>
      <c r="C198">
        <f ca="1"/>
        <v>0.11656150835642495</v>
      </c>
      <c r="D198">
        <f ca="1"/>
        <v>1</v>
      </c>
      <c r="E198">
        <f ca="1"/>
        <v>102.28167098618763</v>
      </c>
      <c r="F198">
        <f ca="1"/>
        <v>0.85097150019708512</v>
      </c>
      <c r="G198" s="7">
        <f ca="1"/>
        <v>-8.3198826533837367E-3</v>
      </c>
      <c r="H198">
        <f ca="1"/>
        <v>42.134378798853163</v>
      </c>
      <c r="I198">
        <f ca="1"/>
        <v>-0.38558481890646551</v>
      </c>
      <c r="J198">
        <f ca="1"/>
        <v>2.6961192141933168</v>
      </c>
      <c r="K198">
        <f ca="1"/>
        <v>0</v>
      </c>
      <c r="L198">
        <f ca="1"/>
        <v>0</v>
      </c>
    </row>
    <row r="199" spans="2:12">
      <c r="B199">
        <v>3.78E-2</v>
      </c>
      <c r="C199">
        <f ca="1"/>
        <v>0.12479986641524443</v>
      </c>
      <c r="D199">
        <f ca="1"/>
        <v>1</v>
      </c>
      <c r="E199">
        <f ca="1"/>
        <v>102.44992670588564</v>
      </c>
      <c r="F199">
        <f ca="1"/>
        <v>-0.70078179685543351</v>
      </c>
      <c r="G199" s="7">
        <f ca="1"/>
        <v>6.840237171347574E-3</v>
      </c>
      <c r="H199">
        <f ca="1"/>
        <v>41.433597001997732</v>
      </c>
      <c r="I199">
        <f ca="1"/>
        <v>-0.37874458173511794</v>
      </c>
      <c r="J199">
        <f ca="1"/>
        <v>2.6312423629835848</v>
      </c>
      <c r="K199">
        <f ca="1"/>
        <v>0</v>
      </c>
      <c r="L199">
        <f ca="1"/>
        <v>0</v>
      </c>
    </row>
    <row r="200" spans="2:12">
      <c r="B200">
        <v>3.7999999999999999E-2</v>
      </c>
      <c r="C200">
        <f ca="1"/>
        <v>0.12148968061647432</v>
      </c>
      <c r="D200">
        <f ca="1"/>
        <v>1</v>
      </c>
      <c r="E200">
        <f ca="1"/>
        <v>102.38171396631672</v>
      </c>
      <c r="F200">
        <f ca="1"/>
        <v>0.2779869659624265</v>
      </c>
      <c r="G200" s="7">
        <f ca="1"/>
        <v>-2.7152013303262668E-3</v>
      </c>
      <c r="H200">
        <f ca="1"/>
        <v>41.711583967960159</v>
      </c>
      <c r="I200">
        <f ca="1"/>
        <v>-0.3814597830654442</v>
      </c>
      <c r="J200">
        <f ca="1"/>
        <v>2.6570775685006254</v>
      </c>
      <c r="K200">
        <f ca="1"/>
        <v>0</v>
      </c>
      <c r="L200">
        <f ca="1"/>
        <v>0</v>
      </c>
    </row>
    <row r="201" spans="2:12">
      <c r="B201">
        <v>3.8200000000000005E-2</v>
      </c>
      <c r="C201">
        <f ca="1"/>
        <v>0.13728792356035974</v>
      </c>
      <c r="D201">
        <f ca="1"/>
        <v>1</v>
      </c>
      <c r="E201">
        <f ca="1"/>
        <v>102.70530497874222</v>
      </c>
      <c r="F201">
        <f ca="1"/>
        <v>-1.3389233408491155</v>
      </c>
      <c r="G201" s="7">
        <f ca="1"/>
        <v>1.3036554841312664E-2</v>
      </c>
      <c r="H201">
        <f ca="1"/>
        <v>40.372660627111046</v>
      </c>
      <c r="I201">
        <f ca="1"/>
        <v>-0.36842322822413154</v>
      </c>
      <c r="J201">
        <f ca="1"/>
        <v>2.5336406110988676</v>
      </c>
      <c r="K201">
        <f ca="1"/>
        <v>0</v>
      </c>
      <c r="L201">
        <f ca="1"/>
        <v>0</v>
      </c>
    </row>
    <row r="202" spans="2:12">
      <c r="B202">
        <v>3.8400000000000004E-2</v>
      </c>
      <c r="C202">
        <f ca="1"/>
        <v>0.12001498912574256</v>
      </c>
      <c r="D202">
        <f ca="1"/>
        <v>1</v>
      </c>
      <c r="E202">
        <f ca="1"/>
        <v>102.3507033215196</v>
      </c>
      <c r="F202">
        <f ca="1"/>
        <v>1.455102766112589</v>
      </c>
      <c r="G202" s="7">
        <f ca="1"/>
        <v>-1.4216832116351941E-2</v>
      </c>
      <c r="H202">
        <f ca="1"/>
        <v>41.827763393223634</v>
      </c>
      <c r="I202">
        <f ca="1"/>
        <v>-0.38264006034048348</v>
      </c>
      <c r="J202">
        <f ca="1"/>
        <v>2.6642840983864531</v>
      </c>
      <c r="K202">
        <f ca="1"/>
        <v>0</v>
      </c>
      <c r="L202">
        <f ca="1"/>
        <v>0</v>
      </c>
    </row>
    <row r="203" spans="2:12">
      <c r="B203">
        <v>3.8600000000000002E-2</v>
      </c>
      <c r="C203">
        <f ca="1"/>
        <v>0.13144519868758364</v>
      </c>
      <c r="D203">
        <f ca="1"/>
        <v>1</v>
      </c>
      <c r="E203">
        <f ca="1"/>
        <v>102.58453862576316</v>
      </c>
      <c r="F203">
        <f ca="1"/>
        <v>-0.97146026575697153</v>
      </c>
      <c r="G203" s="7">
        <f ca="1"/>
        <v>9.4698507082138228E-3</v>
      </c>
      <c r="H203">
        <f ca="1"/>
        <v>40.85630312746666</v>
      </c>
      <c r="I203">
        <f ca="1"/>
        <v>-0.37317020963226966</v>
      </c>
      <c r="J203">
        <f ca="1"/>
        <v>2.5748093434609558</v>
      </c>
      <c r="K203">
        <f ca="1"/>
        <v>0</v>
      </c>
      <c r="L203">
        <f ca="1"/>
        <v>0</v>
      </c>
    </row>
    <row r="204" spans="2:12">
      <c r="B204">
        <v>3.8800000000000001E-2</v>
      </c>
      <c r="C204">
        <f ca="1"/>
        <v>0.12057752991734542</v>
      </c>
      <c r="D204">
        <f ca="1"/>
        <v>1</v>
      </c>
      <c r="E204">
        <f ca="1"/>
        <v>102.36140036398092</v>
      </c>
      <c r="F204">
        <f ca="1"/>
        <v>0.91731181362538106</v>
      </c>
      <c r="G204" s="7">
        <f ca="1"/>
        <v>-8.961501213968992E-3</v>
      </c>
      <c r="H204">
        <f ca="1"/>
        <v>41.773614941092042</v>
      </c>
      <c r="I204">
        <f ca="1"/>
        <v>-0.38213171084623865</v>
      </c>
      <c r="J204">
        <f ca="1"/>
        <v>2.6580778953872155</v>
      </c>
      <c r="K204">
        <f ca="1"/>
        <v>0</v>
      </c>
      <c r="L204">
        <f ca="1"/>
        <v>0</v>
      </c>
    </row>
    <row r="205" spans="2:12">
      <c r="B205">
        <v>3.9E-2</v>
      </c>
      <c r="C205">
        <f ca="1"/>
        <v>0.14704340279533717</v>
      </c>
      <c r="D205">
        <f ca="1"/>
        <v>1</v>
      </c>
      <c r="E205">
        <f ca="1"/>
        <v>102.90424200690127</v>
      </c>
      <c r="F205">
        <f ca="1"/>
        <v>-2.2427688963909738</v>
      </c>
      <c r="G205" s="7">
        <f ca="1"/>
        <v>2.1794717619518178E-2</v>
      </c>
      <c r="H205">
        <f ca="1"/>
        <v>39.530846044701065</v>
      </c>
      <c r="I205">
        <f ca="1"/>
        <v>-0.36033699322672047</v>
      </c>
      <c r="J205">
        <f ca="1"/>
        <v>2.4506408896594749</v>
      </c>
      <c r="K205">
        <f ca="1"/>
        <v>0</v>
      </c>
      <c r="L205">
        <f ca="1"/>
        <v>0</v>
      </c>
    </row>
    <row r="206" spans="2:12">
      <c r="B206">
        <v>3.9199999999999999E-2</v>
      </c>
      <c r="C206">
        <f ca="1"/>
        <v>0.13949934539314313</v>
      </c>
      <c r="D206">
        <f ca="1"/>
        <v>1</v>
      </c>
      <c r="E206">
        <f ca="1"/>
        <v>102.74868498210114</v>
      </c>
      <c r="F206">
        <f ca="1"/>
        <v>0.63046339771330384</v>
      </c>
      <c r="G206" s="7">
        <f ca="1"/>
        <v>-6.1359753443377962E-3</v>
      </c>
      <c r="H206">
        <f ca="1"/>
        <v>40.161309442414371</v>
      </c>
      <c r="I206">
        <f ca="1"/>
        <v>-0.36647296857105827</v>
      </c>
      <c r="J206">
        <f ca="1"/>
        <v>2.506693840251252</v>
      </c>
      <c r="K206">
        <f ca="1"/>
        <v>0</v>
      </c>
      <c r="L206">
        <f ca="1"/>
        <v>0</v>
      </c>
    </row>
    <row r="207" spans="2:12">
      <c r="B207">
        <v>3.9400000000000004E-2</v>
      </c>
      <c r="C207">
        <f ca="1"/>
        <v>0.14101447972618916</v>
      </c>
      <c r="D207">
        <f ca="1"/>
        <v>1</v>
      </c>
      <c r="E207">
        <f ca="1"/>
        <v>102.77941419362051</v>
      </c>
      <c r="F207">
        <f ca="1"/>
        <v>-0.13053822316351535</v>
      </c>
      <c r="G207" s="7">
        <f ca="1"/>
        <v>1.270081408691448E-3</v>
      </c>
      <c r="H207">
        <f ca="1"/>
        <v>40.030771219250859</v>
      </c>
      <c r="I207">
        <f ca="1"/>
        <v>-0.36520288716236682</v>
      </c>
      <c r="J207">
        <f ca="1"/>
        <v>2.4954324148839078</v>
      </c>
      <c r="K207">
        <f ca="1"/>
        <v>0</v>
      </c>
      <c r="L207">
        <f ca="1"/>
        <v>0</v>
      </c>
    </row>
    <row r="208" spans="2:12">
      <c r="B208">
        <v>3.9600000000000003E-2</v>
      </c>
      <c r="C208">
        <f ca="1"/>
        <v>0.14069167334040336</v>
      </c>
      <c r="D208">
        <f ca="1"/>
        <v>1</v>
      </c>
      <c r="E208">
        <f ca="1"/>
        <v>102.77236774727739</v>
      </c>
      <c r="F208">
        <f ca="1"/>
        <v>2.4236384642588454E-2</v>
      </c>
      <c r="G208" s="7">
        <f ca="1"/>
        <v>-2.3582588563286766E-4</v>
      </c>
      <c r="H208">
        <f ca="1"/>
        <v>40.055007603893451</v>
      </c>
      <c r="I208">
        <f ca="1"/>
        <v>-0.36543871304799969</v>
      </c>
      <c r="J208">
        <f ca="1"/>
        <v>2.4980057974326542</v>
      </c>
      <c r="K208">
        <f ca="1"/>
        <v>0</v>
      </c>
      <c r="L208">
        <f ca="1"/>
        <v>0</v>
      </c>
    </row>
    <row r="209" spans="2:12">
      <c r="B209">
        <v>3.9800000000000002E-2</v>
      </c>
      <c r="C209">
        <f ca="1"/>
        <v>0.12534063376839125</v>
      </c>
      <c r="D209">
        <f ca="1"/>
        <v>1</v>
      </c>
      <c r="E209">
        <f ca="1"/>
        <v>102.45690926189637</v>
      </c>
      <c r="F209">
        <f ca="1"/>
        <v>1.2942186863341643</v>
      </c>
      <c r="G209">
        <f ca="1"/>
        <v>-1.2631834159919197E-2</v>
      </c>
      <c r="H209">
        <f ca="1"/>
        <v>41.349226290227612</v>
      </c>
      <c r="I209">
        <f ca="1"/>
        <v>-0.37807054720791888</v>
      </c>
      <c r="J209">
        <f ca="1"/>
        <v>2.6132865403503587</v>
      </c>
      <c r="K209">
        <f ca="1"/>
        <v>0</v>
      </c>
      <c r="L209">
        <f ca="1"/>
        <v>0</v>
      </c>
    </row>
    <row r="210" spans="2:12">
      <c r="B210">
        <v>0.04</v>
      </c>
      <c r="C210">
        <f ca="1"/>
        <v>8.9236782172032347E-2</v>
      </c>
      <c r="D210">
        <f ca="1"/>
        <v>1</v>
      </c>
      <c r="E210">
        <f ca="1"/>
        <v>101.71934918415386</v>
      </c>
      <c r="F210">
        <f ca="1"/>
        <v>3.0785754979288718</v>
      </c>
      <c r="G210">
        <f ca="1"/>
        <v>-3.0265387289839851E-2</v>
      </c>
      <c r="H210">
        <f ca="1"/>
        <v>44.427801788156486</v>
      </c>
      <c r="I210">
        <f ca="1"/>
        <v>-0.40833593449775873</v>
      </c>
      <c r="J210">
        <f ca="1"/>
        <v>2.8921362825411876</v>
      </c>
      <c r="K210">
        <f ca="1"/>
        <v>0</v>
      </c>
      <c r="L210">
        <f ca="1"/>
        <v>0</v>
      </c>
    </row>
    <row r="211" spans="2:12">
      <c r="B211">
        <v>4.02E-2</v>
      </c>
      <c r="C211">
        <f ca="1"/>
        <v>8.3387610643657864E-2</v>
      </c>
      <c r="D211">
        <f ca="1"/>
        <v>1</v>
      </c>
      <c r="E211">
        <f ca="1"/>
        <v>101.60001757400157</v>
      </c>
      <c r="F211">
        <f ca="1"/>
        <v>0.50369465016728776</v>
      </c>
      <c r="G211">
        <f ca="1"/>
        <v>-4.9576236519882078E-3</v>
      </c>
      <c r="H211">
        <f ca="1"/>
        <v>44.931496438323776</v>
      </c>
      <c r="I211">
        <f ca="1"/>
        <v>-0.41329355814974694</v>
      </c>
      <c r="J211">
        <f ca="1"/>
        <v>2.9408636670878465</v>
      </c>
      <c r="K211">
        <f ca="1"/>
        <v>0</v>
      </c>
      <c r="L211">
        <f ca="1"/>
        <v>0</v>
      </c>
    </row>
    <row r="212" spans="2:12">
      <c r="B212">
        <v>4.0400000000000005E-2</v>
      </c>
      <c r="C212">
        <f ca="1"/>
        <v>7.4964681045334991E-2</v>
      </c>
      <c r="D212">
        <f ca="1"/>
        <v>1</v>
      </c>
      <c r="E212">
        <f ca="1"/>
        <v>101.42860198059725</v>
      </c>
      <c r="F212">
        <f ca="1"/>
        <v>0.72754772229019449</v>
      </c>
      <c r="G212">
        <f ca="1"/>
        <v>-7.1730035520884972E-3</v>
      </c>
      <c r="H212">
        <f ca="1"/>
        <v>45.659044160613973</v>
      </c>
      <c r="I212">
        <f ca="1"/>
        <v>-0.42046656170183544</v>
      </c>
      <c r="J212">
        <f ca="1"/>
        <v>3.0117086276082716</v>
      </c>
      <c r="K212">
        <f ca="1"/>
        <v>0</v>
      </c>
      <c r="L212">
        <f ca="1"/>
        <v>0</v>
      </c>
    </row>
    <row r="213" spans="2:12">
      <c r="B213">
        <v>4.0600000000000004E-2</v>
      </c>
      <c r="C213">
        <f ca="1"/>
        <v>4.1474580459139897E-2</v>
      </c>
      <c r="D213">
        <f ca="1"/>
        <v>1</v>
      </c>
      <c r="E213">
        <f ca="1"/>
        <v>100.751098307239</v>
      </c>
      <c r="F213">
        <f ca="1"/>
        <v>2.9013188274982395</v>
      </c>
      <c r="G213">
        <f ca="1"/>
        <v>-2.8796895281982038E-2</v>
      </c>
      <c r="H213">
        <f ca="1"/>
        <v>48.56036298811221</v>
      </c>
      <c r="I213">
        <f ca="1"/>
        <v>-0.44926345698381748</v>
      </c>
      <c r="J213">
        <f ca="1"/>
        <v>3.2965762676855732</v>
      </c>
      <c r="K213">
        <f ca="1"/>
        <v>0</v>
      </c>
      <c r="L213">
        <f ca="1"/>
        <v>0</v>
      </c>
    </row>
    <row r="214" spans="2:12">
      <c r="B214">
        <v>4.0800000000000003E-2</v>
      </c>
      <c r="C214">
        <f ca="1"/>
        <v>2.9292675085524557E-2</v>
      </c>
      <c r="D214">
        <f ca="1"/>
        <v>1</v>
      </c>
      <c r="E214">
        <f ca="1"/>
        <v>100.50552699933274</v>
      </c>
      <c r="F214">
        <f ca="1"/>
        <v>1.0619943521100077</v>
      </c>
      <c r="G214">
        <f ca="1"/>
        <v>-1.056652687485593E-2</v>
      </c>
      <c r="H214">
        <f ca="1"/>
        <v>49.622357340222216</v>
      </c>
      <c r="I214">
        <f ca="1"/>
        <v>-0.45982998385867341</v>
      </c>
      <c r="J214">
        <f ca="1"/>
        <v>3.4069024824115743</v>
      </c>
      <c r="K214">
        <f ca="1"/>
        <v>0</v>
      </c>
      <c r="L214">
        <f ca="1"/>
        <v>0</v>
      </c>
    </row>
    <row r="215" spans="2:12">
      <c r="B215">
        <v>4.1000000000000002E-2</v>
      </c>
      <c r="C215">
        <f ca="1"/>
        <v>4.1849537235817844E-2</v>
      </c>
      <c r="D215">
        <f ca="1"/>
        <v>1</v>
      </c>
      <c r="E215">
        <f ca="1"/>
        <v>100.75784798594869</v>
      </c>
      <c r="F215">
        <f ca="1"/>
        <v>-1.0952464529268833</v>
      </c>
      <c r="G215">
        <f ca="1"/>
        <v>1.0870085802940355E-2</v>
      </c>
      <c r="H215">
        <f ca="1"/>
        <v>48.527110887295329</v>
      </c>
      <c r="I215">
        <f ca="1"/>
        <v>-0.44895989805573305</v>
      </c>
      <c r="J215">
        <f ca="1"/>
        <v>3.290877727208759</v>
      </c>
      <c r="K215">
        <f ca="1"/>
        <v>0</v>
      </c>
      <c r="L215">
        <f ca="1"/>
        <v>0</v>
      </c>
    </row>
    <row r="216" spans="2:12">
      <c r="B216">
        <v>4.1200000000000001E-2</v>
      </c>
      <c r="C216">
        <f ca="1"/>
        <v>5.3549007387599705E-2</v>
      </c>
      <c r="D216">
        <f ca="1"/>
        <v>1</v>
      </c>
      <c r="E216">
        <f ca="1"/>
        <v>100.99348274333906</v>
      </c>
      <c r="F216">
        <f ca="1"/>
        <v>-1.0202996312864765</v>
      </c>
      <c r="G216">
        <f ca="1"/>
        <v>1.0102628442663242E-2</v>
      </c>
      <c r="H216">
        <f ca="1"/>
        <v>47.506811256008852</v>
      </c>
      <c r="I216">
        <f ca="1"/>
        <v>-0.43885726961306981</v>
      </c>
      <c r="J216">
        <f ca="1"/>
        <v>3.1850871705523929</v>
      </c>
      <c r="K216">
        <f ca="1"/>
        <v>0</v>
      </c>
      <c r="L216">
        <f ca="1"/>
        <v>0</v>
      </c>
    </row>
    <row r="217" spans="2:12">
      <c r="B217">
        <v>4.1399999999999999E-2</v>
      </c>
      <c r="C217">
        <f ca="1"/>
        <v>4.9175937157321437E-2</v>
      </c>
      <c r="D217">
        <f ca="1"/>
        <v>1</v>
      </c>
      <c r="E217">
        <f ca="1"/>
        <v>100.90478742102447</v>
      </c>
      <c r="F217">
        <f ca="1"/>
        <v>0.38172535925561901</v>
      </c>
      <c r="G217">
        <f ca="1"/>
        <v>-3.7830252559065691E-3</v>
      </c>
      <c r="H217">
        <f ca="1"/>
        <v>47.888536615264471</v>
      </c>
      <c r="I217">
        <f ca="1"/>
        <v>-0.44264029486897638</v>
      </c>
      <c r="J217">
        <f ca="1"/>
        <v>3.2240117575308247</v>
      </c>
      <c r="K217">
        <f ca="1"/>
        <v>0</v>
      </c>
      <c r="L217">
        <f ca="1"/>
        <v>0</v>
      </c>
    </row>
    <row r="218" spans="2:12">
      <c r="B218">
        <v>4.1600000000000005E-2</v>
      </c>
      <c r="C218">
        <f ca="1"/>
        <v>4.061927063995166E-2</v>
      </c>
      <c r="D218">
        <f ca="1"/>
        <v>1</v>
      </c>
      <c r="E218">
        <f ca="1"/>
        <v>100.7318504433635</v>
      </c>
      <c r="F218">
        <f ca="1"/>
        <v>0.74713856525477229</v>
      </c>
      <c r="G218">
        <f ca="1"/>
        <v>-7.4171035473517E-3</v>
      </c>
      <c r="H218">
        <f ca="1"/>
        <v>48.635675180519243</v>
      </c>
      <c r="I218">
        <f ca="1"/>
        <v>-0.45005739841632808</v>
      </c>
      <c r="J218">
        <f ca="1"/>
        <v>3.3005606323164258</v>
      </c>
      <c r="K218">
        <f ca="1"/>
        <v>0</v>
      </c>
      <c r="L218">
        <f ca="1"/>
        <v>0</v>
      </c>
    </row>
    <row r="219" spans="2:12">
      <c r="B219">
        <v>4.1800000000000004E-2</v>
      </c>
      <c r="C219">
        <f ca="1"/>
        <v>3.3268160893845704E-2</v>
      </c>
      <c r="D219">
        <f ca="1"/>
        <v>1</v>
      </c>
      <c r="E219">
        <f ca="1"/>
        <v>100.58345874647789</v>
      </c>
      <c r="F219">
        <f ca="1"/>
        <v>0.64311256952183904</v>
      </c>
      <c r="G219">
        <f ca="1"/>
        <v>-6.3938203909135183E-3</v>
      </c>
      <c r="H219">
        <f ca="1"/>
        <v>49.278787750041083</v>
      </c>
      <c r="I219">
        <f ca="1"/>
        <v>-0.4564512188072416</v>
      </c>
      <c r="J219">
        <f ca="1"/>
        <v>3.3673454133633456</v>
      </c>
      <c r="K219">
        <f ca="1"/>
        <v>0</v>
      </c>
      <c r="L219">
        <f ca="1"/>
        <v>0</v>
      </c>
    </row>
    <row r="220" spans="2:12">
      <c r="B220">
        <v>4.2000000000000003E-2</v>
      </c>
      <c r="C220">
        <f ca="1"/>
        <v>2.5885141921237202E-2</v>
      </c>
      <c r="D220">
        <f ca="1"/>
        <v>1</v>
      </c>
      <c r="E220">
        <f ca="1"/>
        <v>100.43464469030556</v>
      </c>
      <c r="F220">
        <f ca="1"/>
        <v>0.6467045172109076</v>
      </c>
      <c r="G220">
        <f ca="1"/>
        <v>-6.4390581477641318E-3</v>
      </c>
      <c r="H220">
        <f ca="1"/>
        <v>49.92549226725199</v>
      </c>
      <c r="I220">
        <f ca="1"/>
        <v>-0.46289027695500573</v>
      </c>
      <c r="J220">
        <f ca="1"/>
        <v>3.4352717706788525</v>
      </c>
      <c r="K220">
        <f ca="1"/>
        <v>0</v>
      </c>
      <c r="L220">
        <f ca="1"/>
        <v>0</v>
      </c>
    </row>
    <row r="221" spans="2:12">
      <c r="B221">
        <v>4.2200000000000001E-2</v>
      </c>
      <c r="C221">
        <f ca="1"/>
        <v>2.3737752201075737E-2</v>
      </c>
      <c r="D221">
        <f ca="1"/>
        <v>1</v>
      </c>
      <c r="E221">
        <f ca="1"/>
        <v>100.39111792164425</v>
      </c>
      <c r="F221">
        <f ca="1"/>
        <v>0.18960225211057319</v>
      </c>
      <c r="G221">
        <f ca="1"/>
        <v>-1.8886357282977828E-3</v>
      </c>
      <c r="H221">
        <f ca="1"/>
        <v>50.115094519362565</v>
      </c>
      <c r="I221">
        <f ca="1"/>
        <v>-0.46477891268330351</v>
      </c>
      <c r="J221">
        <f ca="1"/>
        <v>3.4554198886794438</v>
      </c>
      <c r="K221">
        <f ca="1"/>
        <v>0</v>
      </c>
      <c r="L221">
        <f ca="1"/>
        <v>0</v>
      </c>
    </row>
    <row r="222" spans="2:12">
      <c r="B222">
        <v>4.24E-2</v>
      </c>
      <c r="C222">
        <f ca="1"/>
        <v>8.3582257323054823E-3</v>
      </c>
      <c r="D222">
        <f ca="1"/>
        <v>1</v>
      </c>
      <c r="E222">
        <f ca="1"/>
        <v>100.08239844352696</v>
      </c>
      <c r="F222">
        <f ca="1"/>
        <v>1.3460083058911336</v>
      </c>
      <c r="G222">
        <f ca="1"/>
        <v>-1.3449001291177487E-2</v>
      </c>
      <c r="H222">
        <f ca="1"/>
        <v>51.461102825253697</v>
      </c>
      <c r="I222">
        <f ca="1"/>
        <v>-0.478227913974481</v>
      </c>
      <c r="J222">
        <f ca="1"/>
        <v>3.5989061920429535</v>
      </c>
      <c r="K222">
        <f ca="1"/>
        <v>0</v>
      </c>
      <c r="L222">
        <f ca="1"/>
        <v>0</v>
      </c>
    </row>
    <row r="223" spans="2:12">
      <c r="B223">
        <v>4.2599999999999999E-2</v>
      </c>
      <c r="C223">
        <f ca="1"/>
        <v>-5.236422751156513E-3</v>
      </c>
      <c r="D223">
        <f ca="1"/>
        <v>1</v>
      </c>
      <c r="E223">
        <f ca="1"/>
        <v>99.81025179493362</v>
      </c>
      <c r="F223">
        <f ca="1"/>
        <v>1.1901051982945186</v>
      </c>
      <c r="G223">
        <f ca="1"/>
        <v>-1.1923676945927997E-2</v>
      </c>
      <c r="H223">
        <f ca="1"/>
        <v>52.651208023548214</v>
      </c>
      <c r="I223">
        <f ca="1"/>
        <v>-0.490151590920409</v>
      </c>
      <c r="J223">
        <f ca="1"/>
        <v>3.7290543160948957</v>
      </c>
      <c r="K223">
        <f ca="1"/>
        <v>0</v>
      </c>
      <c r="L223">
        <f ca="1"/>
        <v>0.18974820506637968</v>
      </c>
    </row>
    <row r="224" spans="2:12">
      <c r="B224">
        <v>4.2800000000000005E-2</v>
      </c>
      <c r="C224">
        <f ca="1"/>
        <v>6.6190117623684055E-3</v>
      </c>
      <c r="D224">
        <f ca="1"/>
        <v>1</v>
      </c>
      <c r="E224">
        <f ca="1"/>
        <v>100.04679117890585</v>
      </c>
      <c r="F224">
        <f ca="1"/>
        <v>-1.0357309187414179</v>
      </c>
      <c r="G224">
        <f ca="1"/>
        <v>1.0352465146926115E-2</v>
      </c>
      <c r="H224">
        <f ca="1"/>
        <v>51.6154771048068</v>
      </c>
      <c r="I224">
        <f ca="1"/>
        <v>-0.47979912577348288</v>
      </c>
      <c r="J224">
        <f ca="1"/>
        <v>3.6131141607255728</v>
      </c>
      <c r="K224">
        <f ca="1"/>
        <v>0</v>
      </c>
      <c r="L224">
        <f ca="1"/>
        <v>0</v>
      </c>
    </row>
    <row r="225" spans="2:12">
      <c r="B225">
        <v>4.3000000000000003E-2</v>
      </c>
      <c r="C225">
        <f ca="1"/>
        <v>-2.0513816977423289E-3</v>
      </c>
      <c r="D225">
        <f ca="1"/>
        <v>1</v>
      </c>
      <c r="E225">
        <f ca="1"/>
        <v>99.873053011992923</v>
      </c>
      <c r="F225">
        <f ca="1"/>
        <v>0.76117104209301523</v>
      </c>
      <c r="G225">
        <f ca="1"/>
        <v>-7.6213855403179931E-3</v>
      </c>
      <c r="H225">
        <f ca="1"/>
        <v>52.376648146899818</v>
      </c>
      <c r="I225">
        <f ca="1"/>
        <v>-0.48742051131380087</v>
      </c>
      <c r="J225">
        <f ca="1"/>
        <v>3.696473581323886</v>
      </c>
      <c r="K225">
        <f ca="1"/>
        <v>0</v>
      </c>
      <c r="L225">
        <f ca="1"/>
        <v>0.12694698800707727</v>
      </c>
    </row>
    <row r="226" spans="2:12">
      <c r="B226">
        <v>4.3200000000000002E-2</v>
      </c>
      <c r="C226">
        <f ca="1"/>
        <v>4.7802452201482571E-3</v>
      </c>
      <c r="D226">
        <f ca="1"/>
        <v>1</v>
      </c>
      <c r="E226">
        <f ca="1"/>
        <v>100.0092053280673</v>
      </c>
      <c r="F226">
        <f ca="1"/>
        <v>-0.59601501425085734</v>
      </c>
      <c r="G226">
        <f ca="1"/>
        <v>5.9596015416351622E-3</v>
      </c>
      <c r="H226">
        <f ca="1"/>
        <v>51.780633132648958</v>
      </c>
      <c r="I226">
        <f ca="1"/>
        <v>-0.48146090977216571</v>
      </c>
      <c r="J226">
        <f ca="1"/>
        <v>3.6301101498063559</v>
      </c>
      <c r="K226">
        <f ca="1"/>
        <v>0</v>
      </c>
      <c r="L226">
        <f ca="1"/>
        <v>0</v>
      </c>
    </row>
    <row r="227" spans="2:12">
      <c r="B227">
        <v>4.3400000000000001E-2</v>
      </c>
      <c r="C227">
        <f ca="1"/>
        <v>1.7061408023556511E-2</v>
      </c>
      <c r="D227">
        <f ca="1"/>
        <v>1</v>
      </c>
      <c r="E227">
        <f ca="1"/>
        <v>100.25475210359124</v>
      </c>
      <c r="F227">
        <f ca="1"/>
        <v>-1.0760718363743196</v>
      </c>
      <c r="G227">
        <f ca="1"/>
        <v>1.0733374865487033E-2</v>
      </c>
      <c r="H227">
        <f ca="1"/>
        <v>50.70456129627464</v>
      </c>
      <c r="I227">
        <f ca="1"/>
        <v>-0.47072753490667868</v>
      </c>
      <c r="J227">
        <f ca="1"/>
        <v>3.5118889758709741</v>
      </c>
      <c r="K227">
        <f ca="1"/>
        <v>0</v>
      </c>
      <c r="L227">
        <f ca="1"/>
        <v>0</v>
      </c>
    </row>
    <row r="228" spans="2:12">
      <c r="B228">
        <v>4.36E-2</v>
      </c>
      <c r="C228">
        <f ca="1"/>
        <v>-6.8521266626923871E-6</v>
      </c>
      <c r="D228">
        <f ca="1"/>
        <v>1</v>
      </c>
      <c r="E228">
        <f ca="1"/>
        <v>99.912701085161061</v>
      </c>
      <c r="F228">
        <f ca="1"/>
        <v>1.4972616789951125</v>
      </c>
      <c r="G228">
        <f ca="1"/>
        <v>-1.4985699142683717E-2</v>
      </c>
      <c r="H228">
        <f ca="1"/>
        <v>52.201822975269749</v>
      </c>
      <c r="I228">
        <f ca="1"/>
        <v>-0.4857132340493624</v>
      </c>
      <c r="J228">
        <f ca="1"/>
        <v>3.6729018085889322</v>
      </c>
      <c r="K228">
        <f ca="1"/>
        <v>0</v>
      </c>
      <c r="L228">
        <f ca="1"/>
        <v>8.7298914838939368E-2</v>
      </c>
    </row>
    <row r="229" spans="2:12">
      <c r="B229">
        <v>4.3799999999999999E-2</v>
      </c>
      <c r="C229">
        <f ca="1"/>
        <v>2.3420125554634384E-2</v>
      </c>
      <c r="D229">
        <f ca="1"/>
        <v>1</v>
      </c>
      <c r="E229">
        <f ca="1"/>
        <v>100.38152848507151</v>
      </c>
      <c r="F229">
        <f ca="1"/>
        <v>-2.0590589982403227</v>
      </c>
      <c r="G229">
        <f ca="1"/>
        <v>2.0512329602019763E-2</v>
      </c>
      <c r="H229">
        <f ca="1"/>
        <v>50.142763977029425</v>
      </c>
      <c r="I229">
        <f ca="1"/>
        <v>-0.46520090444734263</v>
      </c>
      <c r="J229">
        <f ca="1"/>
        <v>3.445186135967468</v>
      </c>
      <c r="K229">
        <f ca="1"/>
        <v>0</v>
      </c>
      <c r="L229">
        <f ca="1"/>
        <v>0</v>
      </c>
    </row>
    <row r="230" spans="2:12">
      <c r="B230">
        <v>4.4000000000000004E-2</v>
      </c>
      <c r="C230">
        <f ca="1"/>
        <v>1.3646261920982476E-2</v>
      </c>
      <c r="D230">
        <f ca="1"/>
        <v>1</v>
      </c>
      <c r="E230">
        <f ca="1"/>
        <v>100.1850963305866</v>
      </c>
      <c r="F230">
        <f ca="1"/>
        <v>0.85997649559387279</v>
      </c>
      <c r="G230">
        <f ca="1"/>
        <v>-8.5838765154864771E-3</v>
      </c>
      <c r="H230">
        <f ca="1"/>
        <v>51.002740472623294</v>
      </c>
      <c r="I230">
        <f ca="1"/>
        <v>-0.47378478096282911</v>
      </c>
      <c r="J230">
        <f ca="1"/>
        <v>3.5365665518963851</v>
      </c>
      <c r="K230">
        <f ca="1"/>
        <v>0</v>
      </c>
      <c r="L230">
        <f ca="1"/>
        <v>0</v>
      </c>
    </row>
    <row r="231" spans="2:12">
      <c r="B231">
        <v>4.4200000000000003E-2</v>
      </c>
      <c r="C231">
        <f ca="1"/>
        <v>3.1761718161022866E-3</v>
      </c>
      <c r="D231">
        <f ca="1"/>
        <v>1</v>
      </c>
      <c r="E231">
        <f ca="1"/>
        <v>99.975126530282594</v>
      </c>
      <c r="F231">
        <f ca="1"/>
        <v>0.9213808535528295</v>
      </c>
      <c r="G231">
        <f ca="1"/>
        <v>-9.2161008995946814E-3</v>
      </c>
      <c r="H231">
        <f ca="1"/>
        <v>51.924121326176127</v>
      </c>
      <c r="I231">
        <f ca="1"/>
        <v>-0.48300088186242379</v>
      </c>
      <c r="J231">
        <f ca="1"/>
        <v>3.6360470477422311</v>
      </c>
      <c r="K231">
        <f ca="1"/>
        <v>0</v>
      </c>
      <c r="L231">
        <f ca="1"/>
        <v>2.4873469717405783E-2</v>
      </c>
    </row>
    <row r="232" spans="2:12">
      <c r="B232">
        <v>4.4400000000000002E-2</v>
      </c>
      <c r="C232">
        <f ca="1"/>
        <v>6.6310659865576171E-3</v>
      </c>
      <c r="D232">
        <f ca="1"/>
        <v>1</v>
      </c>
      <c r="E232">
        <f ca="1"/>
        <v>100.04383092267413</v>
      </c>
      <c r="F232">
        <f ca="1"/>
        <v>-0.30108637158614637</v>
      </c>
      <c r="G232">
        <f ca="1"/>
        <v>3.0095446046929375E-3</v>
      </c>
      <c r="H232">
        <f ca="1"/>
        <v>51.623034954589983</v>
      </c>
      <c r="I232">
        <f ca="1"/>
        <v>-0.47999133725773085</v>
      </c>
      <c r="J232">
        <f ca="1"/>
        <v>3.6028627656292969</v>
      </c>
      <c r="K232">
        <f ca="1"/>
        <v>0</v>
      </c>
      <c r="L232">
        <f ca="1"/>
        <v>0</v>
      </c>
    </row>
    <row r="233" spans="2:12">
      <c r="B233">
        <v>4.4600000000000001E-2</v>
      </c>
      <c r="C233">
        <f ca="1"/>
        <v>-8.3606813205677321E-3</v>
      </c>
      <c r="D233">
        <f ca="1"/>
        <v>1</v>
      </c>
      <c r="E233">
        <f ca="1"/>
        <v>99.743914832529896</v>
      </c>
      <c r="F233">
        <f ca="1"/>
        <v>1.3180162258592705</v>
      </c>
      <c r="G233">
        <f ca="1"/>
        <v>-1.3214001356094962E-2</v>
      </c>
      <c r="H233">
        <f ca="1"/>
        <v>52.94105118044925</v>
      </c>
      <c r="I233">
        <f ca="1"/>
        <v>-0.49320533861382582</v>
      </c>
      <c r="J233">
        <f ca="1"/>
        <v>3.7468198908027404</v>
      </c>
      <c r="K233">
        <f ca="1"/>
        <v>0</v>
      </c>
      <c r="L233">
        <f ca="1"/>
        <v>0.25608516747010412</v>
      </c>
    </row>
    <row r="234" spans="2:12">
      <c r="B234">
        <v>4.48E-2</v>
      </c>
      <c r="C234">
        <f ca="1"/>
        <v>-1.2966302514586109E-3</v>
      </c>
      <c r="D234">
        <f ca="1"/>
        <v>1</v>
      </c>
      <c r="E234">
        <f ca="1"/>
        <v>99.884534108190635</v>
      </c>
      <c r="F234">
        <f ca="1"/>
        <v>-0.61801905071746266</v>
      </c>
      <c r="G234">
        <f ca="1"/>
        <v>6.1873347684442415E-3</v>
      </c>
      <c r="H234">
        <f ca="1"/>
        <v>52.323032129731786</v>
      </c>
      <c r="I234">
        <f ca="1"/>
        <v>-0.48701800384538158</v>
      </c>
      <c r="J234">
        <f ca="1"/>
        <v>3.6774657133348541</v>
      </c>
      <c r="K234">
        <f ca="1"/>
        <v>0</v>
      </c>
      <c r="L234">
        <f ca="1"/>
        <v>0.11546589180936451</v>
      </c>
    </row>
    <row r="235" spans="2:12">
      <c r="B235">
        <v>4.5000000000000005E-2</v>
      </c>
      <c r="C235">
        <f ca="1"/>
        <v>-1.1162137525710498E-3</v>
      </c>
      <c r="D235">
        <f ca="1"/>
        <v>1</v>
      </c>
      <c r="E235">
        <f ca="1"/>
        <v>99.887738785049592</v>
      </c>
      <c r="F235">
        <f ca="1"/>
        <v>-1.2984001155668052E-2</v>
      </c>
      <c r="G235">
        <f ca="1"/>
        <v>1.2998593534696568E-4</v>
      </c>
      <c r="H235">
        <f ca="1"/>
        <v>52.310048128576121</v>
      </c>
      <c r="I235">
        <f ca="1"/>
        <v>-0.48688801791003461</v>
      </c>
      <c r="J235">
        <f ca="1"/>
        <v>3.6759049780080346</v>
      </c>
      <c r="K235">
        <f ca="1"/>
        <v>0</v>
      </c>
      <c r="L235">
        <f ca="1"/>
        <v>0.11226121495040786</v>
      </c>
    </row>
    <row r="236" spans="2:12">
      <c r="B236">
        <v>4.5200000000000004E-2</v>
      </c>
      <c r="C236">
        <f ca="1"/>
        <v>3.5689249648441425E-2</v>
      </c>
      <c r="D236">
        <f ca="1"/>
        <v>1</v>
      </c>
      <c r="E236">
        <f ca="1"/>
        <v>100.6253320810651</v>
      </c>
      <c r="F236">
        <f ca="1"/>
        <v>-3.2522677344918756</v>
      </c>
      <c r="G236">
        <f ca="1"/>
        <v>3.2320566473975021E-2</v>
      </c>
      <c r="H236">
        <f ca="1"/>
        <v>49.057780394084247</v>
      </c>
      <c r="I236">
        <f ca="1"/>
        <v>-0.45456745143605959</v>
      </c>
      <c r="J236">
        <f ca="1"/>
        <v>3.3167796400873186</v>
      </c>
      <c r="K236">
        <f ca="1"/>
        <v>0</v>
      </c>
      <c r="L236">
        <f ca="1"/>
        <v>0</v>
      </c>
    </row>
    <row r="237" spans="2:12">
      <c r="B237">
        <v>4.5400000000000003E-2</v>
      </c>
      <c r="C237">
        <f ca="1"/>
        <v>2.9169582779841739E-2</v>
      </c>
      <c r="D237">
        <f ca="1"/>
        <v>1</v>
      </c>
      <c r="E237">
        <f ca="1"/>
        <v>100.49380688284263</v>
      </c>
      <c r="F237">
        <f ca="1"/>
        <v>0.57586342660398415</v>
      </c>
      <c r="G237">
        <f ca="1"/>
        <v>-5.7303374652264427E-3</v>
      </c>
      <c r="H237">
        <f ca="1"/>
        <v>49.633643820688235</v>
      </c>
      <c r="I237">
        <f ca="1"/>
        <v>-0.46029778890128603</v>
      </c>
      <c r="J237">
        <f ca="1"/>
        <v>3.3765667142429336</v>
      </c>
      <c r="K237">
        <f ca="1"/>
        <v>0</v>
      </c>
      <c r="L237">
        <f ca="1"/>
        <v>0</v>
      </c>
    </row>
    <row r="238" spans="2:12">
      <c r="B238">
        <v>4.5600000000000002E-2</v>
      </c>
      <c r="C238">
        <f ca="1"/>
        <v>1.281240528185305E-2</v>
      </c>
      <c r="D238">
        <f ca="1"/>
        <v>1</v>
      </c>
      <c r="E238">
        <f ca="1"/>
        <v>100.16518438498811</v>
      </c>
      <c r="F238">
        <f ca="1"/>
        <v>1.442456569945018</v>
      </c>
      <c r="G238">
        <f ca="1"/>
        <v>-1.4400777863103509E-2</v>
      </c>
      <c r="H238">
        <f ca="1"/>
        <v>51.07610039063325</v>
      </c>
      <c r="I238">
        <f ca="1"/>
        <v>-0.47469856676438954</v>
      </c>
      <c r="J238">
        <f ca="1"/>
        <v>3.5278309233885849</v>
      </c>
      <c r="K238">
        <f ca="1"/>
        <v>0</v>
      </c>
      <c r="L238">
        <f ca="1"/>
        <v>0</v>
      </c>
    </row>
    <row r="239" spans="2:12">
      <c r="B239">
        <v>4.58E-2</v>
      </c>
      <c r="C239">
        <f ca="1"/>
        <v>3.0520093013306139E-2</v>
      </c>
      <c r="D239">
        <f ca="1"/>
        <v>1</v>
      </c>
      <c r="E239">
        <f ca="1"/>
        <v>100.52014996744398</v>
      </c>
      <c r="F239">
        <f ca="1"/>
        <v>-1.5636357200911291</v>
      </c>
      <c r="G239">
        <f ca="1"/>
        <v>1.5555445555916425E-2</v>
      </c>
      <c r="H239">
        <f ca="1"/>
        <v>49.512464670542123</v>
      </c>
      <c r="I239">
        <f ca="1"/>
        <v>-0.45914312120847312</v>
      </c>
      <c r="J239">
        <f ca="1"/>
        <v>3.3593292701460911</v>
      </c>
      <c r="K239">
        <f ca="1"/>
        <v>0</v>
      </c>
      <c r="L239">
        <f ca="1"/>
        <v>0</v>
      </c>
    </row>
    <row r="240" spans="2:12">
      <c r="B240">
        <v>4.5999999999999999E-2</v>
      </c>
      <c r="C240">
        <f ca="1"/>
        <v>3.0204154801507753E-2</v>
      </c>
      <c r="D240">
        <f ca="1"/>
        <v>1</v>
      </c>
      <c r="E240">
        <f ca="1"/>
        <v>100.51339648243594</v>
      </c>
      <c r="F240">
        <f ca="1"/>
        <v>2.9430190366835272E-2</v>
      </c>
      <c r="G240">
        <f ca="1"/>
        <v>-2.927986855162934E-4</v>
      </c>
      <c r="H240">
        <f ca="1"/>
        <v>49.541894860908961</v>
      </c>
      <c r="I240">
        <f ca="1"/>
        <v>-0.45943591989398941</v>
      </c>
      <c r="J240">
        <f ca="1"/>
        <v>3.3624300863317274</v>
      </c>
      <c r="K240">
        <f ca="1"/>
        <v>0</v>
      </c>
      <c r="L240">
        <f ca="1"/>
        <v>0</v>
      </c>
    </row>
    <row r="241" spans="2:12">
      <c r="B241">
        <v>4.6200000000000005E-2</v>
      </c>
      <c r="C241">
        <f ca="1"/>
        <v>3.7544489814109308E-2</v>
      </c>
      <c r="D241">
        <f ca="1"/>
        <v>1</v>
      </c>
      <c r="E241">
        <f ca="1"/>
        <v>100.66066260696856</v>
      </c>
      <c r="F241">
        <f ca="1"/>
        <v>-0.64747026799554386</v>
      </c>
      <c r="G241">
        <f ca="1"/>
        <v>6.4322074902646298E-3</v>
      </c>
      <c r="H241">
        <f ca="1"/>
        <v>48.894424592913417</v>
      </c>
      <c r="I241">
        <f ca="1"/>
        <v>-0.45300371240372478</v>
      </c>
      <c r="J241">
        <f ca="1"/>
        <v>3.2947707389378564</v>
      </c>
      <c r="K241">
        <f ca="1"/>
        <v>0</v>
      </c>
      <c r="L241">
        <f ca="1"/>
        <v>0</v>
      </c>
    </row>
    <row r="242" spans="2:12">
      <c r="B242">
        <v>4.6400000000000004E-2</v>
      </c>
      <c r="C242">
        <f ca="1"/>
        <v>9.9198763593275688E-3</v>
      </c>
      <c r="D242">
        <f ca="1"/>
        <v>1</v>
      </c>
      <c r="E242">
        <f ca="1"/>
        <v>100.10565330100549</v>
      </c>
      <c r="F242">
        <f ca="1"/>
        <v>2.4364948755626012</v>
      </c>
      <c r="G242">
        <f ca="1"/>
        <v>-2.4339233551938955E-2</v>
      </c>
      <c r="H242">
        <f ca="1"/>
        <v>51.330919468476019</v>
      </c>
      <c r="I242">
        <f ca="1"/>
        <v>-0.47734294595566373</v>
      </c>
      <c r="J242">
        <f ca="1"/>
        <v>3.5461920149577466</v>
      </c>
      <c r="K242">
        <f ca="1"/>
        <v>0</v>
      </c>
      <c r="L242">
        <f ca="1"/>
        <v>0</v>
      </c>
    </row>
    <row r="243" spans="2:12">
      <c r="B243">
        <v>4.6600000000000003E-2</v>
      </c>
      <c r="C243">
        <f ca="1"/>
        <v>-6.2328700753259483E-3</v>
      </c>
      <c r="D243">
        <f ca="1"/>
        <v>1</v>
      </c>
      <c r="E243">
        <f ca="1"/>
        <v>99.782379735492341</v>
      </c>
      <c r="F243">
        <f ca="1"/>
        <v>1.4269849705623714</v>
      </c>
      <c r="G243">
        <f ca="1"/>
        <v>-1.4300971517667627E-2</v>
      </c>
      <c r="H243">
        <f ca="1"/>
        <v>52.757904439038391</v>
      </c>
      <c r="I243">
        <f ca="1"/>
        <v>-0.49164391747333136</v>
      </c>
      <c r="J243">
        <f ca="1"/>
        <v>3.7005043710693855</v>
      </c>
      <c r="K243">
        <f ca="1"/>
        <v>0</v>
      </c>
      <c r="L243">
        <f ca="1"/>
        <v>0.21762026450765859</v>
      </c>
    </row>
    <row r="244" spans="2:12">
      <c r="B244">
        <v>4.6800000000000001E-2</v>
      </c>
      <c r="C244">
        <f ca="1"/>
        <v>-1.2356830299908379E-2</v>
      </c>
      <c r="D244">
        <f ca="1"/>
        <v>1</v>
      </c>
      <c r="E244">
        <f ca="1"/>
        <v>99.659843242402957</v>
      </c>
      <c r="F244">
        <f ca="1"/>
        <v>0.54319298163839114</v>
      </c>
      <c r="G244">
        <f ca="1"/>
        <v>-5.4504699582677563E-3</v>
      </c>
      <c r="H244">
        <f ca="1"/>
        <v>53.301097420676783</v>
      </c>
      <c r="I244">
        <f ca="1"/>
        <v>-0.49709438743159912</v>
      </c>
      <c r="J244">
        <f ca="1"/>
        <v>3.7607486925652935</v>
      </c>
      <c r="K244">
        <f ca="1"/>
        <v>0</v>
      </c>
      <c r="L244">
        <f ca="1"/>
        <v>0.34015675759704322</v>
      </c>
    </row>
    <row r="245" spans="2:12">
      <c r="B245">
        <v>4.7E-2</v>
      </c>
      <c r="C245">
        <f ca="1"/>
        <v>-1.2917031637683953E-2</v>
      </c>
      <c r="D245">
        <f ca="1"/>
        <v>1</v>
      </c>
      <c r="E245">
        <f ca="1"/>
        <v>99.64827935847967</v>
      </c>
      <c r="F245">
        <f ca="1"/>
        <v>5.2813905620239299E-2</v>
      </c>
      <c r="G245">
        <f ca="1"/>
        <v>-5.3000318681112324E-4</v>
      </c>
      <c r="H245">
        <f ca="1"/>
        <v>53.353911326297023</v>
      </c>
      <c r="I245">
        <f ca="1"/>
        <v>-0.49762439061841024</v>
      </c>
      <c r="J245">
        <f ca="1"/>
        <v>3.7664970343604693</v>
      </c>
      <c r="K245">
        <f ca="1"/>
        <v>0</v>
      </c>
      <c r="L245">
        <f ca="1"/>
        <v>0.35172064152033045</v>
      </c>
    </row>
    <row r="246" spans="2:12">
      <c r="B246">
        <v>4.7199999999999999E-2</v>
      </c>
      <c r="C246">
        <f ca="1"/>
        <v>-3.8080957738665398E-2</v>
      </c>
      <c r="D246">
        <f ca="1"/>
        <v>1</v>
      </c>
      <c r="E246">
        <f ca="1"/>
        <v>99.147634257126001</v>
      </c>
      <c r="F246">
        <f ca="1"/>
        <v>2.2127984474341398</v>
      </c>
      <c r="G246">
        <f ca="1"/>
        <v>-2.2318217313138766E-2</v>
      </c>
      <c r="H246">
        <f ca="1"/>
        <v>55.566709773731162</v>
      </c>
      <c r="I246">
        <f ca="1"/>
        <v>-0.51994260793154901</v>
      </c>
      <c r="J246">
        <f ca="1"/>
        <v>4.0156302478376844</v>
      </c>
      <c r="K246">
        <f ca="1"/>
        <v>0</v>
      </c>
      <c r="L246">
        <f ca="1"/>
        <v>0.85236574287399947</v>
      </c>
    </row>
    <row r="247" spans="2:12">
      <c r="B247">
        <v>4.7400000000000005E-2</v>
      </c>
      <c r="C247">
        <f ca="1"/>
        <v>-7.5199306058453985E-2</v>
      </c>
      <c r="D247">
        <f ca="1"/>
        <v>1</v>
      </c>
      <c r="E247">
        <f ca="1"/>
        <v>98.413926624099858</v>
      </c>
      <c r="F247">
        <f ca="1"/>
        <v>3.2277562728242208</v>
      </c>
      <c r="G247">
        <f ca="1"/>
        <v>-3.2797759255688508E-2</v>
      </c>
      <c r="H247">
        <f ca="1"/>
        <v>58.794466046555385</v>
      </c>
      <c r="I247">
        <f ca="1"/>
        <v>-0.55274036718723751</v>
      </c>
      <c r="J247">
        <f ca="1"/>
        <v>4.3971161080125825</v>
      </c>
      <c r="K247">
        <f ca="1"/>
        <v>0</v>
      </c>
      <c r="L247">
        <f ca="1"/>
        <v>1.586073375900142</v>
      </c>
    </row>
    <row r="248" spans="2:12">
      <c r="B248">
        <v>4.7600000000000003E-2</v>
      </c>
      <c r="C248">
        <f ca="1"/>
        <v>-7.7949737610583505E-2</v>
      </c>
      <c r="D248">
        <f ca="1"/>
        <v>1</v>
      </c>
      <c r="E248">
        <f ca="1"/>
        <v>98.359411918922817</v>
      </c>
      <c r="F248">
        <f ca="1"/>
        <v>0.24369864223442808</v>
      </c>
      <c r="G248">
        <f ca="1"/>
        <v>-2.4776341936174617E-3</v>
      </c>
      <c r="H248">
        <f ca="1"/>
        <v>59.038164688789813</v>
      </c>
      <c r="I248">
        <f ca="1"/>
        <v>-0.55521800138085498</v>
      </c>
      <c r="J248">
        <f ca="1"/>
        <v>4.4272485861692417</v>
      </c>
      <c r="K248">
        <f ca="1"/>
        <v>0</v>
      </c>
      <c r="L248">
        <f ca="1"/>
        <v>1.6405880810771833</v>
      </c>
    </row>
    <row r="249" spans="2:12">
      <c r="B249">
        <v>4.7800000000000002E-2</v>
      </c>
      <c r="C249">
        <f ca="1"/>
        <v>-8.4907657607079398E-2</v>
      </c>
      <c r="D249">
        <f ca="1"/>
        <v>1</v>
      </c>
      <c r="E249">
        <f ca="1"/>
        <v>98.22223883801054</v>
      </c>
      <c r="F249">
        <f ca="1"/>
        <v>0.60594653507773788</v>
      </c>
      <c r="G249">
        <f ca="1"/>
        <v>-6.1691378881830738E-3</v>
      </c>
      <c r="H249">
        <f ca="1"/>
        <v>59.644111223867547</v>
      </c>
      <c r="I249">
        <f ca="1"/>
        <v>-0.56138713926903805</v>
      </c>
      <c r="J249">
        <f ca="1"/>
        <v>4.5034095499966043</v>
      </c>
      <c r="K249">
        <f ca="1"/>
        <v>0</v>
      </c>
      <c r="L249">
        <f ca="1"/>
        <v>1.77776116198946</v>
      </c>
    </row>
    <row r="250" spans="2:12">
      <c r="B250">
        <v>4.8000000000000001E-2</v>
      </c>
      <c r="C250">
        <f ca="1"/>
        <v>-7.71065048047304E-2</v>
      </c>
      <c r="D250">
        <f ca="1"/>
        <v>1</v>
      </c>
      <c r="E250">
        <f ca="1"/>
        <v>98.37521428947062</v>
      </c>
      <c r="F250">
        <f ca="1"/>
        <v>-0.66756267723207341</v>
      </c>
      <c r="G250">
        <f ca="1"/>
        <v>6.785882826824241E-3</v>
      </c>
      <c r="H250">
        <f ca="1"/>
        <v>58.97654854663547</v>
      </c>
      <c r="I250">
        <f ca="1"/>
        <v>-0.55460125644221381</v>
      </c>
      <c r="J250">
        <f ca="1"/>
        <v>4.4175310989230425</v>
      </c>
      <c r="K250">
        <f ca="1"/>
        <v>0</v>
      </c>
      <c r="L250">
        <f ca="1"/>
        <v>1.6247857105293804</v>
      </c>
    </row>
    <row r="251" spans="2:12">
      <c r="B251">
        <v>4.82E-2</v>
      </c>
      <c r="C251">
        <f ca="1"/>
        <v>-8.3081609335103543E-2</v>
      </c>
      <c r="D251">
        <f ca="1"/>
        <v>1</v>
      </c>
      <c r="E251">
        <f ca="1"/>
        <v>98.25733103726283</v>
      </c>
      <c r="F251">
        <f ca="1"/>
        <v>0.52209636459542175</v>
      </c>
      <c r="G251">
        <f ca="1"/>
        <v>-5.313561431842917E-3</v>
      </c>
      <c r="H251">
        <f ca="1"/>
        <v>59.49864491123089</v>
      </c>
      <c r="I251">
        <f ca="1"/>
        <v>-0.55991481787405672</v>
      </c>
      <c r="J251">
        <f ca="1"/>
        <v>4.4829092987109718</v>
      </c>
      <c r="K251">
        <f ca="1"/>
        <v>0</v>
      </c>
      <c r="L251">
        <f ca="1"/>
        <v>1.7426689627371701</v>
      </c>
    </row>
    <row r="252" spans="2:12">
      <c r="B252">
        <v>4.8400000000000006E-2</v>
      </c>
      <c r="C252">
        <f ca="1"/>
        <v>-9.2323794125117362E-2</v>
      </c>
      <c r="D252">
        <f ca="1"/>
        <v>1</v>
      </c>
      <c r="E252">
        <f ca="1"/>
        <v>98.07548400793462</v>
      </c>
      <c r="F252">
        <f ca="1"/>
        <v>0.80130530669450062</v>
      </c>
      <c r="G252">
        <f ca="1"/>
        <v>-8.1702916360797406E-3</v>
      </c>
      <c r="H252">
        <f ca="1"/>
        <v>60.299950217925392</v>
      </c>
      <c r="I252">
        <f ca="1"/>
        <v>-0.56808510951013647</v>
      </c>
      <c r="J252">
        <f ca="1"/>
        <v>4.584728145018218</v>
      </c>
      <c r="K252">
        <f ca="1"/>
        <v>0</v>
      </c>
      <c r="L252">
        <f ca="1"/>
        <v>1.9245159920653805</v>
      </c>
    </row>
    <row r="253" spans="2:12">
      <c r="B253">
        <v>4.8600000000000004E-2</v>
      </c>
      <c r="C253">
        <f ca="1"/>
        <v>-9.390131297525707E-2</v>
      </c>
      <c r="D253">
        <f ca="1"/>
        <v>1</v>
      </c>
      <c r="E253">
        <f ca="1"/>
        <v>98.044153526416778</v>
      </c>
      <c r="F253">
        <f ca="1"/>
        <v>0.14215590508192136</v>
      </c>
      <c r="G253">
        <f ca="1"/>
        <v>-1.4499172053499265E-3</v>
      </c>
      <c r="H253">
        <f ca="1"/>
        <v>60.442106123007314</v>
      </c>
      <c r="I253">
        <f ca="1"/>
        <v>-0.56953502671548639</v>
      </c>
      <c r="J253">
        <f ca="1"/>
        <v>4.6025265250422862</v>
      </c>
      <c r="K253">
        <f ca="1"/>
        <v>0</v>
      </c>
      <c r="L253">
        <f ca="1"/>
        <v>1.9558464735832217</v>
      </c>
    </row>
    <row r="254" spans="2:12">
      <c r="B254">
        <v>4.8800000000000003E-2</v>
      </c>
      <c r="C254">
        <f ca="1"/>
        <v>-6.1773432295220428E-2</v>
      </c>
      <c r="D254">
        <f ca="1"/>
        <v>1</v>
      </c>
      <c r="E254">
        <f ca="1"/>
        <v>98.675777362751987</v>
      </c>
      <c r="F254">
        <f ca="1"/>
        <v>-2.7848680235034675</v>
      </c>
      <c r="G254">
        <f ca="1"/>
        <v>2.8222407747199529E-2</v>
      </c>
      <c r="H254">
        <f ca="1"/>
        <v>57.657238099503843</v>
      </c>
      <c r="I254">
        <f ca="1"/>
        <v>-0.54131261896828686</v>
      </c>
      <c r="J254">
        <f ca="1"/>
        <v>4.2427946265409702</v>
      </c>
      <c r="K254">
        <f ca="1"/>
        <v>0</v>
      </c>
      <c r="L254">
        <f ca="1"/>
        <v>1.3242226372480133</v>
      </c>
    </row>
    <row r="255" spans="2:12">
      <c r="B255">
        <v>4.9000000000000002E-2</v>
      </c>
      <c r="C255">
        <f ca="1"/>
        <v>-6.5863839937571902E-2</v>
      </c>
      <c r="D255">
        <f ca="1"/>
        <v>1</v>
      </c>
      <c r="E255">
        <f ca="1"/>
        <v>98.594691163174687</v>
      </c>
      <c r="F255">
        <f ca="1"/>
        <v>0.36226987506925762</v>
      </c>
      <c r="G255">
        <f ca="1"/>
        <v>-3.6743344980887382E-3</v>
      </c>
      <c r="H255">
        <f ca="1"/>
        <v>58.019507974573102</v>
      </c>
      <c r="I255">
        <f ca="1"/>
        <v>-0.5449869534663756</v>
      </c>
      <c r="J255">
        <f ca="1"/>
        <v>4.286687609596342</v>
      </c>
      <c r="K255">
        <f ca="1"/>
        <v>0</v>
      </c>
      <c r="L255">
        <f ca="1"/>
        <v>1.4053088368253128</v>
      </c>
    </row>
    <row r="256" spans="2:12">
      <c r="B256">
        <v>4.9200000000000001E-2</v>
      </c>
      <c r="C256">
        <f ca="1"/>
        <v>-5.817008450118466E-2</v>
      </c>
      <c r="D256">
        <f ca="1"/>
        <v>1</v>
      </c>
      <c r="E256">
        <f ca="1"/>
        <v>98.746125650034003</v>
      </c>
      <c r="F256">
        <f ca="1"/>
        <v>-0.66698134757524619</v>
      </c>
      <c r="G256">
        <f ca="1"/>
        <v>6.7545065002255766E-3</v>
      </c>
      <c r="H256">
        <f ca="1"/>
        <v>57.352526626997857</v>
      </c>
      <c r="I256">
        <f ca="1"/>
        <v>-0.53823244696615002</v>
      </c>
      <c r="J256">
        <f ca="1"/>
        <v>4.2041577899531433</v>
      </c>
      <c r="K256">
        <f ca="1"/>
        <v>0</v>
      </c>
      <c r="L256">
        <f ca="1"/>
        <v>1.2538743499659972</v>
      </c>
    </row>
    <row r="257" spans="2:12">
      <c r="B257">
        <v>4.9399999999999999E-2</v>
      </c>
      <c r="C257">
        <f ca="1"/>
        <v>-5.6221078936404392E-2</v>
      </c>
      <c r="D257">
        <f ca="1"/>
        <v>1</v>
      </c>
      <c r="E257">
        <f ca="1"/>
        <v>98.784229364965086</v>
      </c>
      <c r="F257">
        <f ca="1"/>
        <v>-0.16535749048578077</v>
      </c>
      <c r="G257">
        <f ca="1"/>
        <v>1.6739260056871652E-3</v>
      </c>
      <c r="H257">
        <f ca="1"/>
        <v>57.187169136512075</v>
      </c>
      <c r="I257">
        <f ca="1"/>
        <v>-0.53655852096046286</v>
      </c>
      <c r="J257">
        <f ca="1"/>
        <v>4.1836491342272879</v>
      </c>
      <c r="K257">
        <f ca="1"/>
        <v>0</v>
      </c>
      <c r="L257">
        <f ca="1"/>
        <v>1.2157706350349144</v>
      </c>
    </row>
    <row r="258" spans="2:12">
      <c r="B258">
        <v>4.9600000000000005E-2</v>
      </c>
      <c r="C258">
        <f ca="1"/>
        <v>-6.0677030028708757E-2</v>
      </c>
      <c r="D258">
        <f ca="1"/>
        <v>1</v>
      </c>
      <c r="E258">
        <f ca="1"/>
        <v>98.695838258429148</v>
      </c>
      <c r="F258">
        <f ca="1"/>
        <v>0.39538460821466104</v>
      </c>
      <c r="G258">
        <f ca="1"/>
        <v>-4.0060920013604839E-3</v>
      </c>
      <c r="H258">
        <f ca="1"/>
        <v>57.582553744726738</v>
      </c>
      <c r="I258">
        <f ca="1"/>
        <v>-0.54056461296182334</v>
      </c>
      <c r="J258">
        <f ca="1"/>
        <v>4.2310761356162701</v>
      </c>
      <c r="K258">
        <f ca="1"/>
        <v>0</v>
      </c>
      <c r="L258">
        <f ca="1"/>
        <v>1.3041617415708515</v>
      </c>
    </row>
    <row r="259" spans="2:12">
      <c r="B259">
        <v>4.9800000000000004E-2</v>
      </c>
      <c r="C259">
        <f ca="1"/>
        <v>-7.8038751328241784E-2</v>
      </c>
      <c r="D259">
        <f ca="1"/>
        <v>1</v>
      </c>
      <c r="E259">
        <f ca="1"/>
        <v>98.353333225255994</v>
      </c>
      <c r="F259">
        <f ca="1"/>
        <v>1.5167129831398976</v>
      </c>
      <c r="G259">
        <f ca="1"/>
        <v>-1.5421063358027842E-2</v>
      </c>
      <c r="H259">
        <f ca="1"/>
        <v>59.099266727866635</v>
      </c>
      <c r="I259">
        <f ca="1"/>
        <v>-0.55598567631985119</v>
      </c>
      <c r="J259">
        <f ca="1"/>
        <v>4.4162222363109933</v>
      </c>
      <c r="K259">
        <f ca="1"/>
        <v>0</v>
      </c>
      <c r="L259">
        <f ca="1"/>
        <v>1.6466667747440056</v>
      </c>
    </row>
    <row r="260" spans="2:12">
      <c r="B260">
        <v>0.05</v>
      </c>
      <c r="C260">
        <f ca="1"/>
        <v>-5.8977425355582591E-2</v>
      </c>
      <c r="D260">
        <f ca="1"/>
        <v>1</v>
      </c>
      <c r="E260">
        <f ca="1"/>
        <v>98.728602910643687</v>
      </c>
      <c r="F260">
        <f ca="1"/>
        <v>-1.6604392886434858</v>
      </c>
      <c r="G260">
        <f ca="1"/>
        <v>1.6818219236286569E-2</v>
      </c>
      <c r="H260">
        <f ca="1"/>
        <v>57.438827439223147</v>
      </c>
      <c r="I260">
        <f ca="1"/>
        <v>-0.53916745708356462</v>
      </c>
      <c r="J260">
        <f ca="1"/>
        <v>4.2075776664783717</v>
      </c>
      <c r="K260">
        <f ca="1"/>
        <v>0</v>
      </c>
      <c r="L260">
        <f ca="1"/>
        <v>1.2713970893563129</v>
      </c>
    </row>
    <row r="261" spans="2:12">
      <c r="B261">
        <v>5.0200000000000002E-2</v>
      </c>
      <c r="C261">
        <f ca="1"/>
        <v>-8.057113778459106E-2</v>
      </c>
      <c r="D261">
        <f ca="1"/>
        <v>1</v>
      </c>
      <c r="E261">
        <f ca="1"/>
        <v>98.302745682977573</v>
      </c>
      <c r="F261">
        <f ca="1"/>
        <v>1.885587607331672</v>
      </c>
      <c r="G261">
        <f ca="1"/>
        <v>-1.9181433786321866E-2</v>
      </c>
      <c r="H261">
        <f ca="1"/>
        <v>59.324415046554819</v>
      </c>
      <c r="I261">
        <f ca="1"/>
        <v>-0.55834889086988648</v>
      </c>
      <c r="J261">
        <f ca="1"/>
        <v>4.4371860249997681</v>
      </c>
      <c r="K261">
        <f ca="1"/>
        <v>0</v>
      </c>
      <c r="L261">
        <f ca="1"/>
        <v>1.697254317022427</v>
      </c>
    </row>
    <row r="262" spans="2:12">
      <c r="B262">
        <v>5.04E-2</v>
      </c>
      <c r="C262">
        <f ca="1"/>
        <v>-7.68124739036736E-2</v>
      </c>
      <c r="D262">
        <f ca="1"/>
        <v>1</v>
      </c>
      <c r="E262">
        <f ca="1"/>
        <v>98.376277355508407</v>
      </c>
      <c r="F262">
        <f ca="1"/>
        <v>-0.32050400332729506</v>
      </c>
      <c r="G262">
        <f ca="1"/>
        <v>3.2579399418527499E-3</v>
      </c>
      <c r="H262">
        <f ca="1"/>
        <v>59.003911043227525</v>
      </c>
      <c r="I262">
        <f ca="1"/>
        <v>-0.55509095092803373</v>
      </c>
      <c r="J262">
        <f ca="1"/>
        <v>4.3961296971983685</v>
      </c>
      <c r="K262">
        <f ca="1"/>
        <v>0</v>
      </c>
      <c r="L262">
        <f ca="1"/>
        <v>1.6237226444915933</v>
      </c>
    </row>
    <row r="263" spans="2:12">
      <c r="B263">
        <v>5.0599999999999999E-2</v>
      </c>
      <c r="C263">
        <f ca="1"/>
        <v>-7.6578669757368933E-2</v>
      </c>
      <c r="D263">
        <f ca="1"/>
        <v>1</v>
      </c>
      <c r="E263">
        <f ca="1"/>
        <v>98.380484096648956</v>
      </c>
      <c r="F263">
        <f ca="1"/>
        <v>-1.4171723531243855E-2</v>
      </c>
      <c r="G263">
        <f ca="1"/>
        <v>1.4405015040708236E-4</v>
      </c>
      <c r="H263">
        <f ca="1"/>
        <v>58.989739319696284</v>
      </c>
      <c r="I263">
        <f ca="1"/>
        <v>-0.55494690077762665</v>
      </c>
      <c r="J263">
        <f ca="1"/>
        <v>4.3937945732583614</v>
      </c>
      <c r="K263">
        <f ca="1"/>
        <v>0</v>
      </c>
      <c r="L263">
        <f ca="1"/>
        <v>1.6195159033510436</v>
      </c>
    </row>
    <row r="264" spans="2:12">
      <c r="B264">
        <v>5.0800000000000005E-2</v>
      </c>
      <c r="C264">
        <f ca="1"/>
        <v>-8.0415196373696901E-2</v>
      </c>
      <c r="D264">
        <f ca="1"/>
        <v>1</v>
      </c>
      <c r="E264">
        <f ca="1"/>
        <v>98.304631961897869</v>
      </c>
      <c r="F264">
        <f ca="1"/>
        <v>0.33987719694516094</v>
      </c>
      <c r="G264">
        <f ca="1"/>
        <v>-3.4573874105636726E-3</v>
      </c>
      <c r="H264">
        <f ca="1"/>
        <v>59.329616516641444</v>
      </c>
      <c r="I264">
        <f ca="1"/>
        <v>-0.55840428818819032</v>
      </c>
      <c r="J264">
        <f ca="1"/>
        <v>4.4358884803558425</v>
      </c>
      <c r="K264">
        <f ca="1"/>
        <v>0</v>
      </c>
      <c r="L264">
        <f ca="1"/>
        <v>1.6953680381021314</v>
      </c>
    </row>
    <row r="265" spans="2:12">
      <c r="B265">
        <v>5.1000000000000004E-2</v>
      </c>
      <c r="C265">
        <f ca="1"/>
        <v>-7.5287281329689398E-2</v>
      </c>
      <c r="D265">
        <f ca="1"/>
        <v>1</v>
      </c>
      <c r="E265">
        <f ca="1"/>
        <v>98.405109617991272</v>
      </c>
      <c r="F265">
        <f ca="1"/>
        <v>-0.4404392481742011</v>
      </c>
      <c r="G265">
        <f ca="1"/>
        <v>4.4757762059712825E-3</v>
      </c>
      <c r="H265">
        <f ca="1"/>
        <v>58.889177268467243</v>
      </c>
      <c r="I265">
        <f ca="1"/>
        <v>-0.55392851198221904</v>
      </c>
      <c r="J265">
        <f ca="1"/>
        <v>4.3797813263261887</v>
      </c>
      <c r="K265">
        <f ca="1"/>
        <v>0</v>
      </c>
      <c r="L265">
        <f ca="1"/>
        <v>1.5948903820087281</v>
      </c>
    </row>
    <row r="266" spans="2:12">
      <c r="B266">
        <v>5.1200000000000002E-2</v>
      </c>
      <c r="C266">
        <f ca="1"/>
        <v>-7.1870250925625642E-2</v>
      </c>
      <c r="D266">
        <f ca="1"/>
        <v>1</v>
      </c>
      <c r="E266">
        <f ca="1"/>
        <v>98.471989364529406</v>
      </c>
      <c r="F266">
        <f ca="1"/>
        <v>-0.29231190217763819</v>
      </c>
      <c r="G266">
        <f ca="1"/>
        <v>2.9684776763830856E-3</v>
      </c>
      <c r="H266">
        <f ca="1"/>
        <v>58.596865366289606</v>
      </c>
      <c r="I266">
        <f ca="1"/>
        <v>-0.55096003430583596</v>
      </c>
      <c r="J266">
        <f ca="1"/>
        <v>4.3427347278445723</v>
      </c>
      <c r="K266">
        <f ca="1"/>
        <v>0</v>
      </c>
      <c r="L266">
        <f ca="1"/>
        <v>1.5280106354705936</v>
      </c>
    </row>
    <row r="267" spans="2:12">
      <c r="B267">
        <v>5.1400000000000001E-2</v>
      </c>
      <c r="C267">
        <f ca="1"/>
        <v>-6.3371565455887083E-2</v>
      </c>
      <c r="D267">
        <f ca="1"/>
        <v>1</v>
      </c>
      <c r="E267">
        <f ca="1"/>
        <v>98.63911362896944</v>
      </c>
      <c r="F267">
        <f ca="1"/>
        <v>-0.73914964779405135</v>
      </c>
      <c r="G267">
        <f ca="1"/>
        <v>7.493474146314405E-3</v>
      </c>
      <c r="H267">
        <f ca="1"/>
        <v>57.857715718495555</v>
      </c>
      <c r="I267">
        <f ca="1"/>
        <v>-0.54346656015952155</v>
      </c>
      <c r="J267">
        <f ca="1"/>
        <v>4.2506559373753561</v>
      </c>
      <c r="K267">
        <f ca="1"/>
        <v>0</v>
      </c>
      <c r="L267">
        <f ca="1"/>
        <v>1.3608863710305599</v>
      </c>
    </row>
    <row r="268" spans="2:12">
      <c r="B268">
        <v>5.16E-2</v>
      </c>
      <c r="C268">
        <f ca="1"/>
        <v>-4.7684173636994315E-2</v>
      </c>
      <c r="D268">
        <f ca="1"/>
        <v>1</v>
      </c>
      <c r="E268">
        <f ca="1"/>
        <v>98.948681916818032</v>
      </c>
      <c r="F268">
        <f ca="1"/>
        <v>-1.3786853815927285</v>
      </c>
      <c r="G268">
        <f ca="1"/>
        <v>1.3933337512790023E-2</v>
      </c>
      <c r="H268">
        <f ca="1"/>
        <v>56.479030336902824</v>
      </c>
      <c r="I268">
        <f ca="1"/>
        <v>-0.52953322264673153</v>
      </c>
      <c r="J268">
        <f ca="1"/>
        <v>4.0824159248438008</v>
      </c>
      <c r="K268">
        <f ca="1"/>
        <v>0</v>
      </c>
      <c r="L268">
        <f ca="1"/>
        <v>1.0513180831819682</v>
      </c>
    </row>
    <row r="269" spans="2:12">
      <c r="B269">
        <v>5.1800000000000006E-2</v>
      </c>
      <c r="C269">
        <f ca="1"/>
        <v>-5.0815313782134795E-2</v>
      </c>
      <c r="D269">
        <f ca="1"/>
        <v>1</v>
      </c>
      <c r="E269">
        <f ca="1"/>
        <v>98.886341330494503</v>
      </c>
      <c r="F269">
        <f ca="1"/>
        <v>0.28162532471077972</v>
      </c>
      <c r="G269">
        <f ca="1"/>
        <v>-2.8479699109257295E-3</v>
      </c>
      <c r="H269">
        <f ca="1"/>
        <v>56.760655661613605</v>
      </c>
      <c r="I269">
        <f ca="1"/>
        <v>-0.53238119255765726</v>
      </c>
      <c r="J269">
        <f ca="1"/>
        <v>4.1154273364213907</v>
      </c>
      <c r="K269">
        <f ca="1"/>
        <v>0</v>
      </c>
      <c r="L269">
        <f ca="1"/>
        <v>1.1136586695054973</v>
      </c>
    </row>
    <row r="270" spans="2:12">
      <c r="B270">
        <v>5.2000000000000005E-2</v>
      </c>
      <c r="C270">
        <f ca="1"/>
        <v>-5.0385677593874245E-2</v>
      </c>
      <c r="D270">
        <f ca="1"/>
        <v>1</v>
      </c>
      <c r="E270">
        <f ca="1"/>
        <v>98.894443147156423</v>
      </c>
      <c r="F270">
        <f ca="1"/>
        <v>-3.2820741704967821E-2</v>
      </c>
      <c r="G270">
        <f ca="1"/>
        <v>3.3187650044330663E-4</v>
      </c>
      <c r="H270">
        <f ca="1"/>
        <v>56.727834919908638</v>
      </c>
      <c r="I270">
        <f ca="1"/>
        <v>-0.53204931605721395</v>
      </c>
      <c r="J270">
        <f ca="1"/>
        <v>4.1111140816050309</v>
      </c>
      <c r="K270">
        <f ca="1"/>
        <v>0</v>
      </c>
      <c r="L270">
        <f ca="1"/>
        <v>1.1055568528435771</v>
      </c>
    </row>
    <row r="271" spans="2:12">
      <c r="B271">
        <v>5.2200000000000003E-2</v>
      </c>
      <c r="C271">
        <f ca="1"/>
        <v>-3.255375704959769E-2</v>
      </c>
      <c r="D271">
        <f ca="1"/>
        <v>1</v>
      </c>
      <c r="E271">
        <f ca="1"/>
        <v>99.247371399638425</v>
      </c>
      <c r="F271">
        <f ca="1"/>
        <v>-1.5793384871926524</v>
      </c>
      <c r="G271">
        <f ca="1"/>
        <v>1.5913151803619519E-2</v>
      </c>
      <c r="H271">
        <f ca="1"/>
        <v>55.148496432715987</v>
      </c>
      <c r="I271">
        <f ca="1"/>
        <v>-0.51613616425359443</v>
      </c>
      <c r="J271">
        <f ca="1"/>
        <v>3.9233388462547154</v>
      </c>
      <c r="K271">
        <f ca="1"/>
        <v>0</v>
      </c>
      <c r="L271">
        <f ca="1"/>
        <v>0.7526286003615752</v>
      </c>
    </row>
    <row r="272" spans="2:12">
      <c r="B272">
        <v>5.2400000000000002E-2</v>
      </c>
      <c r="C272">
        <f ca="1"/>
        <v>-1.8089884000001007E-2</v>
      </c>
      <c r="D272">
        <f ca="1"/>
        <v>1</v>
      </c>
      <c r="E272">
        <f ca="1"/>
        <v>99.534489195871927</v>
      </c>
      <c r="F272">
        <f ca="1"/>
        <v>-1.2872158039858048</v>
      </c>
      <c r="G272">
        <f ca="1"/>
        <v>1.2932359570889229E-2</v>
      </c>
      <c r="H272">
        <f ca="1"/>
        <v>53.861280628730185</v>
      </c>
      <c r="I272">
        <f ca="1"/>
        <v>-0.5032038046827052</v>
      </c>
      <c r="J272">
        <f ca="1"/>
        <v>3.7751469682178183</v>
      </c>
      <c r="K272">
        <f ca="1"/>
        <v>0</v>
      </c>
      <c r="L272">
        <f ca="1"/>
        <v>0.46551080412807266</v>
      </c>
    </row>
    <row r="273" spans="2:12">
      <c r="B273">
        <v>5.2600000000000001E-2</v>
      </c>
      <c r="C273">
        <f ca="1"/>
        <v>5.6103164143860365E-3</v>
      </c>
      <c r="D273">
        <f ca="1"/>
        <v>1</v>
      </c>
      <c r="E273">
        <f ca="1"/>
        <v>100.00700657373662</v>
      </c>
      <c r="F273">
        <f ca="1"/>
        <v>-2.1238596070236864</v>
      </c>
      <c r="G273">
        <f ca="1"/>
        <v>2.1237108076599953E-2</v>
      </c>
      <c r="H273">
        <f ca="1"/>
        <v>51.737421021706496</v>
      </c>
      <c r="I273">
        <f ca="1"/>
        <v>-0.48196669660610525</v>
      </c>
      <c r="J273">
        <f ca="1"/>
        <v>3.5373744258976032</v>
      </c>
      <c r="K273">
        <f ca="1"/>
        <v>0</v>
      </c>
      <c r="L273">
        <f ca="1"/>
        <v>0</v>
      </c>
    </row>
    <row r="274" spans="2:12">
      <c r="B274">
        <v>5.28E-2</v>
      </c>
      <c r="C274">
        <f ca="1"/>
        <v>1.1742065584997857E-2</v>
      </c>
      <c r="D274">
        <f ca="1"/>
        <v>1</v>
      </c>
      <c r="E274">
        <f ca="1"/>
        <v>100.12932486427415</v>
      </c>
      <c r="F274">
        <f ca="1"/>
        <v>-0.54814125171591921</v>
      </c>
      <c r="G274">
        <f ca="1"/>
        <v>5.4743328436392402E-3</v>
      </c>
      <c r="H274">
        <f ca="1"/>
        <v>51.189279769990577</v>
      </c>
      <c r="I274">
        <f ca="1"/>
        <v>-0.47649236376246601</v>
      </c>
      <c r="J274">
        <f ca="1"/>
        <v>3.4784210834727247</v>
      </c>
      <c r="K274">
        <f ca="1"/>
        <v>0</v>
      </c>
      <c r="L274">
        <f ca="1"/>
        <v>0</v>
      </c>
    </row>
    <row r="275" spans="2:12">
      <c r="B275">
        <v>5.3000000000000005E-2</v>
      </c>
      <c r="C275">
        <f ca="1"/>
        <v>4.9170782611424491E-2</v>
      </c>
      <c r="D275">
        <f ca="1"/>
        <v>1</v>
      </c>
      <c r="E275">
        <f ca="1"/>
        <v>100.88127622619514</v>
      </c>
      <c r="F275">
        <f ca="1"/>
        <v>-3.3731522759294652</v>
      </c>
      <c r="G275">
        <f ca="1"/>
        <v>3.3436851734173267E-2</v>
      </c>
      <c r="H275">
        <f ca="1"/>
        <v>47.816127494061114</v>
      </c>
      <c r="I275">
        <f ca="1"/>
        <v>-0.44305551202829274</v>
      </c>
      <c r="J275">
        <f ca="1"/>
        <v>3.1201220015965916</v>
      </c>
      <c r="K275">
        <f ca="1"/>
        <v>0</v>
      </c>
      <c r="L275">
        <f ca="1"/>
        <v>0</v>
      </c>
    </row>
    <row r="276" spans="2:12">
      <c r="B276">
        <v>5.3200000000000004E-2</v>
      </c>
      <c r="C276">
        <f ca="1"/>
        <v>6.3182163811915812E-2</v>
      </c>
      <c r="D276">
        <f ca="1"/>
        <v>1</v>
      </c>
      <c r="E276">
        <f ca="1"/>
        <v>101.16396524104367</v>
      </c>
      <c r="F276">
        <f ca="1"/>
        <v>-1.2579312475768019</v>
      </c>
      <c r="G276">
        <f ca="1"/>
        <v>1.2434578306411037E-2</v>
      </c>
      <c r="H276">
        <f ca="1"/>
        <v>46.558196246484314</v>
      </c>
      <c r="I276">
        <f ca="1"/>
        <v>-0.4306209337218817</v>
      </c>
      <c r="J276">
        <f ca="1"/>
        <v>2.9948750753781042</v>
      </c>
      <c r="K276">
        <f ca="1"/>
        <v>0</v>
      </c>
      <c r="L276">
        <f ca="1"/>
        <v>0</v>
      </c>
    </row>
    <row r="277" spans="2:12">
      <c r="B277">
        <v>5.3400000000000003E-2</v>
      </c>
      <c r="C277">
        <f ca="1"/>
        <v>6.0991577880493385E-2</v>
      </c>
      <c r="D277">
        <f ca="1"/>
        <v>1</v>
      </c>
      <c r="E277">
        <f ca="1"/>
        <v>101.11924879906007</v>
      </c>
      <c r="F277">
        <f ca="1"/>
        <v>0.1964176248502188</v>
      </c>
      <c r="G277">
        <f ca="1"/>
        <v>-1.9424355618041789E-3</v>
      </c>
      <c r="H277">
        <f ca="1"/>
        <v>46.754613871334534</v>
      </c>
      <c r="I277">
        <f ca="1"/>
        <v>-0.43256336928368588</v>
      </c>
      <c r="J277">
        <f ca="1"/>
        <v>3.0141309113777979</v>
      </c>
      <c r="K277">
        <f ca="1"/>
        <v>0</v>
      </c>
      <c r="L277">
        <f ca="1"/>
        <v>0</v>
      </c>
    </row>
    <row r="278" spans="2:12">
      <c r="B278">
        <v>5.3600000000000002E-2</v>
      </c>
      <c r="C278">
        <f ca="1"/>
        <v>7.5099822703211222E-2</v>
      </c>
      <c r="D278">
        <f ca="1"/>
        <v>1</v>
      </c>
      <c r="E278">
        <f ca="1"/>
        <v>101.40456912322553</v>
      </c>
      <c r="F278">
        <f ca="1"/>
        <v>-1.2656297640961685</v>
      </c>
      <c r="G278">
        <f ca="1"/>
        <v>1.2480993460543099E-2</v>
      </c>
      <c r="H278">
        <f ca="1"/>
        <v>45.488984107238366</v>
      </c>
      <c r="I278">
        <f ca="1"/>
        <v>-0.42008237582314278</v>
      </c>
      <c r="J278">
        <f ca="1"/>
        <v>2.890711790631677</v>
      </c>
      <c r="K278">
        <f ca="1"/>
        <v>0</v>
      </c>
      <c r="L278">
        <f ca="1"/>
        <v>0</v>
      </c>
    </row>
    <row r="279" spans="2:12">
      <c r="B279">
        <v>5.3800000000000001E-2</v>
      </c>
      <c r="C279">
        <f ca="1"/>
        <v>8.7785700367878264E-2</v>
      </c>
      <c r="D279">
        <f ca="1"/>
        <v>1</v>
      </c>
      <c r="E279">
        <f ca="1"/>
        <v>101.66177032701651</v>
      </c>
      <c r="F279">
        <f ca="1"/>
        <v>-1.1352237997204579</v>
      </c>
      <c r="G279">
        <f ca="1"/>
        <v>1.1166673529968751E-2</v>
      </c>
      <c r="H279">
        <f ca="1"/>
        <v>44.353760307517909</v>
      </c>
      <c r="I279">
        <f ca="1"/>
        <v>-0.40891570229317403</v>
      </c>
      <c r="J279">
        <f ca="1"/>
        <v>2.7826660978785895</v>
      </c>
      <c r="K279">
        <f ca="1"/>
        <v>0</v>
      </c>
      <c r="L279">
        <f ca="1"/>
        <v>0</v>
      </c>
    </row>
    <row r="280" spans="2:12">
      <c r="B280">
        <v>5.3999999999999999E-2</v>
      </c>
      <c r="C280">
        <f ca="1"/>
        <v>8.9507674798511808E-2</v>
      </c>
      <c r="D280">
        <f ca="1"/>
        <v>1</v>
      </c>
      <c r="E280">
        <f ca="1"/>
        <v>101.69638136412624</v>
      </c>
      <c r="F280">
        <f ca="1"/>
        <v>-0.15467359460678301</v>
      </c>
      <c r="G280">
        <f ca="1"/>
        <v>1.5209350866966509E-3</v>
      </c>
      <c r="H280">
        <f ca="1"/>
        <v>44.199086712911125</v>
      </c>
      <c r="I280">
        <f ca="1"/>
        <v>-0.40739476720647738</v>
      </c>
      <c r="J280">
        <f ca="1"/>
        <v>2.7685131013317701</v>
      </c>
      <c r="K280">
        <f ca="1"/>
        <v>0</v>
      </c>
      <c r="L280">
        <f ca="1"/>
        <v>0</v>
      </c>
    </row>
    <row r="281" spans="2:12">
      <c r="B281">
        <v>5.4200000000000005E-2</v>
      </c>
      <c r="C281">
        <f ca="1"/>
        <v>5.4750680954644894E-2</v>
      </c>
      <c r="D281">
        <f ca="1"/>
        <v>1</v>
      </c>
      <c r="E281">
        <f ca="1"/>
        <v>100.99149669708522</v>
      </c>
      <c r="F281">
        <f ca="1"/>
        <v>3.1031696394255226</v>
      </c>
      <c r="G281">
        <f ca="1"/>
        <v>-3.0727038819250263E-2</v>
      </c>
      <c r="H281">
        <f ca="1"/>
        <v>47.302256352336649</v>
      </c>
      <c r="I281">
        <f ca="1"/>
        <v>-0.43812180602572764</v>
      </c>
      <c r="J281">
        <f ca="1"/>
        <v>3.0556794261683606</v>
      </c>
      <c r="K281">
        <f ca="1"/>
        <v>0</v>
      </c>
      <c r="L281">
        <f ca="1"/>
        <v>0</v>
      </c>
    </row>
    <row r="282" spans="2:12">
      <c r="B282">
        <v>5.4400000000000004E-2</v>
      </c>
      <c r="C282">
        <f ca="1"/>
        <v>4.0473814510978437E-2</v>
      </c>
      <c r="D282">
        <f ca="1"/>
        <v>1</v>
      </c>
      <c r="E282">
        <f ca="1"/>
        <v>100.70313676984671</v>
      </c>
      <c r="F282">
        <f ca="1"/>
        <v>1.2846887343448232</v>
      </c>
      <c r="G282">
        <f ca="1"/>
        <v>-1.2757186871754866E-2</v>
      </c>
      <c r="H282">
        <f ca="1"/>
        <v>48.586945086681474</v>
      </c>
      <c r="I282">
        <f ca="1"/>
        <v>-0.45087899289748251</v>
      </c>
      <c r="J282">
        <f ca="1"/>
        <v>3.1820161982755479</v>
      </c>
      <c r="K282">
        <f ca="1"/>
        <v>0</v>
      </c>
      <c r="L282">
        <f ca="1"/>
        <v>0</v>
      </c>
    </row>
    <row r="283" spans="2:12">
      <c r="B283">
        <v>5.4600000000000003E-2</v>
      </c>
      <c r="C283">
        <f ca="1"/>
        <v>4.21379920541783E-2</v>
      </c>
      <c r="D283">
        <f ca="1"/>
        <v>1</v>
      </c>
      <c r="E283">
        <f ca="1"/>
        <v>100.73625698230057</v>
      </c>
      <c r="F283">
        <f ca="1"/>
        <v>-0.14902487841370826</v>
      </c>
      <c r="G283">
        <f ca="1"/>
        <v>1.4793569155531761E-3</v>
      </c>
      <c r="H283">
        <f ca="1"/>
        <v>48.437920208267769</v>
      </c>
      <c r="I283">
        <f ca="1"/>
        <v>-0.44939963598192934</v>
      </c>
      <c r="J283">
        <f ca="1"/>
        <v>3.1670829902398054</v>
      </c>
      <c r="K283">
        <f ca="1"/>
        <v>0</v>
      </c>
      <c r="L283">
        <f ca="1"/>
        <v>0</v>
      </c>
    </row>
    <row r="284" spans="2:12">
      <c r="B284">
        <v>5.4800000000000001E-2</v>
      </c>
      <c r="C284">
        <f ca="1"/>
        <v>6.8142019382278249E-2</v>
      </c>
      <c r="D284">
        <f ca="1"/>
        <v>1</v>
      </c>
      <c r="E284">
        <f ca="1"/>
        <v>101.26112635392947</v>
      </c>
      <c r="F284">
        <f ca="1"/>
        <v>-2.3473623834499628</v>
      </c>
      <c r="G284">
        <f ca="1"/>
        <v>2.3181278620636958E-2</v>
      </c>
      <c r="H284">
        <f ca="1"/>
        <v>46.090557824817807</v>
      </c>
      <c r="I284">
        <f ca="1"/>
        <v>-0.42621835736129238</v>
      </c>
      <c r="J284">
        <f ca="1"/>
        <v>2.9312068856917151</v>
      </c>
      <c r="K284">
        <f ca="1"/>
        <v>0</v>
      </c>
      <c r="L284">
        <f ca="1"/>
        <v>0</v>
      </c>
    </row>
    <row r="285" spans="2:12">
      <c r="B285">
        <v>5.5E-2</v>
      </c>
      <c r="C285">
        <f ca="1"/>
        <v>6.7959023937668672E-2</v>
      </c>
      <c r="D285">
        <f ca="1"/>
        <v>1</v>
      </c>
      <c r="E285">
        <f ca="1"/>
        <v>101.25701532790883</v>
      </c>
      <c r="F285">
        <f ca="1"/>
        <v>1.6263702376377462E-2</v>
      </c>
      <c r="G285">
        <f ca="1"/>
        <v>-1.6061803050099188E-4</v>
      </c>
      <c r="H285">
        <f ca="1"/>
        <v>46.106821527194185</v>
      </c>
      <c r="I285">
        <f ca="1"/>
        <v>-0.42637897539179337</v>
      </c>
      <c r="J285">
        <f ca="1"/>
        <v>2.9329590804493009</v>
      </c>
      <c r="K285">
        <f ca="1"/>
        <v>0</v>
      </c>
      <c r="L285">
        <f ca="1"/>
        <v>0</v>
      </c>
    </row>
    <row r="286" spans="2:12">
      <c r="B286">
        <v>5.5200000000000006E-2</v>
      </c>
      <c r="C286">
        <f ca="1"/>
        <v>6.1487355570050563E-2</v>
      </c>
      <c r="D286">
        <f ca="1"/>
        <v>1</v>
      </c>
      <c r="E286">
        <f ca="1"/>
        <v>101.12563524127864</v>
      </c>
      <c r="F286">
        <f ca="1"/>
        <v>0.58203788836817716</v>
      </c>
      <c r="G286">
        <f ca="1"/>
        <v>-5.7555919127674771E-3</v>
      </c>
      <c r="H286">
        <f ca="1"/>
        <v>46.688859415562362</v>
      </c>
      <c r="I286">
        <f ca="1"/>
        <v>-0.43213456730456085</v>
      </c>
      <c r="J286">
        <f ca="1"/>
        <v>2.9889767871735629</v>
      </c>
      <c r="K286">
        <f ca="1"/>
        <v>0</v>
      </c>
      <c r="L286">
        <f ca="1"/>
        <v>0</v>
      </c>
    </row>
    <row r="287" spans="2:12">
      <c r="B287">
        <v>5.5400000000000005E-2</v>
      </c>
      <c r="C287">
        <f ca="1"/>
        <v>4.7095121568059471E-2</v>
      </c>
      <c r="D287">
        <f ca="1"/>
        <v>1</v>
      </c>
      <c r="E287">
        <f ca="1"/>
        <v>100.83456567533797</v>
      </c>
      <c r="F287">
        <f ca="1"/>
        <v>1.2968911544036388</v>
      </c>
      <c r="G287">
        <f ca="1"/>
        <v>-1.2861573268231286E-2</v>
      </c>
      <c r="H287">
        <f ca="1"/>
        <v>47.985750569966001</v>
      </c>
      <c r="I287">
        <f ca="1"/>
        <v>-0.44499614057279213</v>
      </c>
      <c r="J287">
        <f ca="1"/>
        <v>3.1147580081068682</v>
      </c>
      <c r="K287">
        <f ca="1"/>
        <v>0</v>
      </c>
      <c r="L287">
        <f ca="1"/>
        <v>0</v>
      </c>
    </row>
    <row r="288" spans="2:12">
      <c r="B288">
        <v>5.5600000000000004E-2</v>
      </c>
      <c r="C288">
        <f ca="1"/>
        <v>4.3681669518086143E-2</v>
      </c>
      <c r="D288">
        <f ca="1"/>
        <v>1</v>
      </c>
      <c r="E288">
        <f ca="1"/>
        <v>100.76534731460494</v>
      </c>
      <c r="F288">
        <f ca="1"/>
        <v>0.30919974856391624</v>
      </c>
      <c r="G288">
        <f ca="1"/>
        <v>-3.0685127060451345E-3</v>
      </c>
      <c r="H288">
        <f ca="1"/>
        <v>48.294950318529921</v>
      </c>
      <c r="I288">
        <f ca="1"/>
        <v>-0.44806465327883727</v>
      </c>
      <c r="J288">
        <f ca="1"/>
        <v>3.1455599114898405</v>
      </c>
      <c r="K288">
        <f ca="1"/>
        <v>0</v>
      </c>
      <c r="L288">
        <f ca="1"/>
        <v>0</v>
      </c>
    </row>
    <row r="289" spans="2:12">
      <c r="B289">
        <v>5.5800000000000002E-2</v>
      </c>
      <c r="C289">
        <f ca="1"/>
        <v>4.6632901774760656E-2</v>
      </c>
      <c r="D289">
        <f ca="1"/>
        <v>1</v>
      </c>
      <c r="E289">
        <f ca="1"/>
        <v>100.82443796103418</v>
      </c>
      <c r="F289">
        <f ca="1"/>
        <v>-0.26603002897426042</v>
      </c>
      <c r="G289">
        <f ca="1"/>
        <v>2.6385471057827625E-3</v>
      </c>
      <c r="H289">
        <f ca="1"/>
        <v>48.028920289555657</v>
      </c>
      <c r="I289">
        <f ca="1"/>
        <v>-0.4454261061730545</v>
      </c>
      <c r="J289">
        <f ca="1"/>
        <v>3.1190834814855037</v>
      </c>
      <c r="K289">
        <f ca="1"/>
        <v>0</v>
      </c>
      <c r="L289">
        <f ca="1"/>
        <v>0</v>
      </c>
    </row>
    <row r="290" spans="2:12">
      <c r="B290">
        <v>5.6000000000000001E-2</v>
      </c>
      <c r="C290">
        <f ca="1"/>
        <v>4.5943565489716766E-2</v>
      </c>
      <c r="D290">
        <f ca="1"/>
        <v>1</v>
      </c>
      <c r="E290">
        <f ca="1"/>
        <v>100.81013528914558</v>
      </c>
      <c r="F290">
        <f ca="1"/>
        <v>6.3160305112915552E-2</v>
      </c>
      <c r="G290">
        <f ca="1"/>
        <v>-6.2652733211554512E-4</v>
      </c>
      <c r="H290">
        <f ca="1"/>
        <v>48.092080594668573</v>
      </c>
      <c r="I290">
        <f ca="1"/>
        <v>-0.44605263350517005</v>
      </c>
      <c r="J290">
        <f ca="1"/>
        <v>3.1254542649327135</v>
      </c>
      <c r="K290">
        <f ca="1"/>
        <v>0</v>
      </c>
      <c r="L290">
        <f ca="1"/>
        <v>0</v>
      </c>
    </row>
    <row r="291" spans="2:12">
      <c r="B291">
        <v>5.62E-2</v>
      </c>
      <c r="C291">
        <f ca="1"/>
        <v>6.446732781735473E-2</v>
      </c>
      <c r="D291">
        <f ca="1"/>
        <v>1</v>
      </c>
      <c r="E291">
        <f ca="1"/>
        <v>101.18389982430318</v>
      </c>
      <c r="F291">
        <f ca="1"/>
        <v>-1.676860661686093</v>
      </c>
      <c r="G291">
        <f ca="1"/>
        <v>1.6572405932147427E-2</v>
      </c>
      <c r="H291">
        <f ca="1"/>
        <v>46.415219932982481</v>
      </c>
      <c r="I291">
        <f ca="1"/>
        <v>-0.42948022757302262</v>
      </c>
      <c r="J291">
        <f ca="1"/>
        <v>2.9587356097148287</v>
      </c>
      <c r="K291">
        <f ca="1"/>
        <v>0</v>
      </c>
      <c r="L291">
        <f ca="1"/>
        <v>0</v>
      </c>
    </row>
    <row r="292" spans="2:12">
      <c r="B292">
        <v>5.6400000000000006E-2</v>
      </c>
      <c r="C292">
        <f ca="1"/>
        <v>7.3296711234459577E-2</v>
      </c>
      <c r="D292">
        <f ca="1"/>
        <v>1</v>
      </c>
      <c r="E292">
        <f ca="1"/>
        <v>101.36233051842383</v>
      </c>
      <c r="F292">
        <f ca="1"/>
        <v>-0.79730198799435859</v>
      </c>
      <c r="G292">
        <f ca="1"/>
        <v>7.8658608569525668E-3</v>
      </c>
      <c r="H292">
        <f ca="1"/>
        <v>45.617917944988122</v>
      </c>
      <c r="I292">
        <f ca="1"/>
        <v>-0.42161436671607005</v>
      </c>
      <c r="J292">
        <f ca="1"/>
        <v>2.8821031545978784</v>
      </c>
      <c r="K292">
        <f ca="1"/>
        <v>0</v>
      </c>
      <c r="L292">
        <f ca="1"/>
        <v>0</v>
      </c>
    </row>
    <row r="293" spans="2:12">
      <c r="B293">
        <v>5.6600000000000004E-2</v>
      </c>
      <c r="C293">
        <f ca="1"/>
        <v>9.7160748390468843E-2</v>
      </c>
      <c r="D293">
        <f ca="1"/>
        <v>1</v>
      </c>
      <c r="E293">
        <f ca="1"/>
        <v>101.84686235470575</v>
      </c>
      <c r="F293">
        <f ca="1"/>
        <v>-2.1499551593856436</v>
      </c>
      <c r="G293">
        <f ca="1"/>
        <v>2.1109684772594339E-2</v>
      </c>
      <c r="H293">
        <f ca="1"/>
        <v>43.467962785602481</v>
      </c>
      <c r="I293">
        <f ca="1"/>
        <v>-0.40050468194347572</v>
      </c>
      <c r="J293">
        <f ca="1"/>
        <v>2.677817571290106</v>
      </c>
      <c r="K293">
        <f ca="1"/>
        <v>0</v>
      </c>
      <c r="L293">
        <f ca="1"/>
        <v>0</v>
      </c>
    </row>
    <row r="294" spans="2:12">
      <c r="B294">
        <v>5.6800000000000003E-2</v>
      </c>
      <c r="C294">
        <f ca="1"/>
        <v>9.8852494114712142E-2</v>
      </c>
      <c r="D294">
        <f ca="1"/>
        <v>1</v>
      </c>
      <c r="E294">
        <f ca="1"/>
        <v>101.88092045937137</v>
      </c>
      <c r="F294">
        <f ca="1"/>
        <v>-0.15302122965256024</v>
      </c>
      <c r="G294">
        <f ca="1"/>
        <v>1.5019615936193165E-3</v>
      </c>
      <c r="H294">
        <f ca="1"/>
        <v>43.314941555949922</v>
      </c>
      <c r="I294">
        <f ca="1"/>
        <v>-0.3990027203498564</v>
      </c>
      <c r="J294">
        <f ca="1"/>
        <v>2.6641771409134023</v>
      </c>
      <c r="K294">
        <f ca="1"/>
        <v>0</v>
      </c>
      <c r="L294">
        <f ca="1"/>
        <v>0</v>
      </c>
    </row>
    <row r="295" spans="2:12">
      <c r="B295">
        <v>5.7000000000000002E-2</v>
      </c>
      <c r="C295">
        <f ca="1"/>
        <v>9.7003477380516762E-2</v>
      </c>
      <c r="D295">
        <f ca="1"/>
        <v>1</v>
      </c>
      <c r="E295">
        <f ca="1"/>
        <v>101.84284414729441</v>
      </c>
      <c r="F295">
        <f ca="1"/>
        <v>0.16394732507095092</v>
      </c>
      <c r="G295">
        <f ca="1"/>
        <v>-1.6098070163264033E-3</v>
      </c>
      <c r="H295">
        <f ca="1"/>
        <v>43.478888881020872</v>
      </c>
      <c r="I295">
        <f ca="1"/>
        <v>-0.4006125273661828</v>
      </c>
      <c r="J295">
        <f ca="1"/>
        <v>2.6793696930130011</v>
      </c>
      <c r="K295">
        <f ca="1"/>
        <v>0</v>
      </c>
      <c r="L295">
        <f ca="1"/>
        <v>0</v>
      </c>
    </row>
    <row r="296" spans="2:12">
      <c r="B296">
        <v>5.7200000000000001E-2</v>
      </c>
      <c r="C296">
        <f ca="1"/>
        <v>7.8192830302371355E-2</v>
      </c>
      <c r="D296">
        <f ca="1"/>
        <v>1</v>
      </c>
      <c r="E296">
        <f ca="1"/>
        <v>101.46001216607152</v>
      </c>
      <c r="F296">
        <f ca="1"/>
        <v>1.6869431502334837</v>
      </c>
      <c r="G296">
        <f ca="1"/>
        <v>-1.662667995221867E-2</v>
      </c>
      <c r="H296">
        <f ca="1"/>
        <v>45.165832031254354</v>
      </c>
      <c r="I296">
        <f ca="1"/>
        <v>-0.41723920731840147</v>
      </c>
      <c r="J296">
        <f ca="1"/>
        <v>2.8327369805673044</v>
      </c>
      <c r="K296">
        <f ca="1"/>
        <v>0</v>
      </c>
      <c r="L296">
        <f ca="1"/>
        <v>0</v>
      </c>
    </row>
    <row r="297" spans="2:12">
      <c r="B297">
        <v>5.74E-2</v>
      </c>
      <c r="C297">
        <f ca="1"/>
        <v>8.5770425045367513E-2</v>
      </c>
      <c r="D297">
        <f ca="1"/>
        <v>1</v>
      </c>
      <c r="E297">
        <f ca="1"/>
        <v>101.61348685771776</v>
      </c>
      <c r="F297">
        <f ca="1"/>
        <v>-0.68424684414408432</v>
      </c>
      <c r="G297">
        <f ca="1"/>
        <v>6.7338191543627191E-3</v>
      </c>
      <c r="H297">
        <f ca="1"/>
        <v>44.481585187110269</v>
      </c>
      <c r="I297">
        <f ca="1"/>
        <v>-0.41050538816403875</v>
      </c>
      <c r="J297">
        <f ca="1"/>
        <v>2.7687013218813874</v>
      </c>
      <c r="K297">
        <f ca="1"/>
        <v>0</v>
      </c>
      <c r="L297">
        <f ca="1"/>
        <v>0</v>
      </c>
    </row>
    <row r="298" spans="2:12">
      <c r="B298">
        <v>5.7600000000000005E-2</v>
      </c>
      <c r="C298">
        <f ca="1"/>
        <v>0.10493260519586792</v>
      </c>
      <c r="D298">
        <f ca="1"/>
        <v>1</v>
      </c>
      <c r="E298">
        <f ca="1"/>
        <v>102.00325321366368</v>
      </c>
      <c r="F298">
        <f ca="1"/>
        <v>-1.7247642590121584</v>
      </c>
      <c r="G298">
        <f ca="1"/>
        <v>1.6908914222562466E-2</v>
      </c>
      <c r="H298">
        <f ca="1"/>
        <v>42.756820928098108</v>
      </c>
      <c r="I298">
        <f ca="1"/>
        <v>-0.39359647394147629</v>
      </c>
      <c r="J298">
        <f ca="1"/>
        <v>2.6087001326405215</v>
      </c>
      <c r="K298">
        <f ca="1"/>
        <v>0</v>
      </c>
      <c r="L298">
        <f ca="1"/>
        <v>0</v>
      </c>
    </row>
    <row r="299" spans="2:12">
      <c r="B299">
        <v>5.7800000000000004E-2</v>
      </c>
      <c r="C299">
        <f ca="1"/>
        <v>9.8711442231353363E-2</v>
      </c>
      <c r="D299">
        <f ca="1"/>
        <v>1</v>
      </c>
      <c r="E299">
        <f ca="1"/>
        <v>101.87600886021633</v>
      </c>
      <c r="F299">
        <f ca="1"/>
        <v>0.55521193518782519</v>
      </c>
      <c r="G299">
        <f ca="1"/>
        <v>-5.4498791364081534E-3</v>
      </c>
      <c r="H299">
        <f ca="1"/>
        <v>43.312032863285935</v>
      </c>
      <c r="I299">
        <f ca="1"/>
        <v>-0.39904635307788444</v>
      </c>
      <c r="J299">
        <f ca="1"/>
        <v>2.6587830614863677</v>
      </c>
      <c r="K299">
        <f ca="1"/>
        <v>0</v>
      </c>
      <c r="L299">
        <f ca="1"/>
        <v>0</v>
      </c>
    </row>
    <row r="300" spans="2:12">
      <c r="B300">
        <v>5.8000000000000003E-2</v>
      </c>
      <c r="C300">
        <f ca="1"/>
        <v>0.10019457324039514</v>
      </c>
      <c r="D300">
        <f ca="1"/>
        <v>1</v>
      </c>
      <c r="E300">
        <f ca="1"/>
        <v>101.90582481199608</v>
      </c>
      <c r="F300">
        <f ca="1"/>
        <v>-0.13476632301317332</v>
      </c>
      <c r="G300">
        <f ca="1"/>
        <v>1.3224594694346559E-3</v>
      </c>
      <c r="H300">
        <f ca="1"/>
        <v>43.177266540272761</v>
      </c>
      <c r="I300">
        <f ca="1"/>
        <v>-0.39772389360844979</v>
      </c>
      <c r="J300">
        <f ca="1"/>
        <v>2.6468851146651105</v>
      </c>
      <c r="K300">
        <f ca="1"/>
        <v>0</v>
      </c>
      <c r="L300">
        <f ca="1"/>
        <v>0</v>
      </c>
    </row>
    <row r="301" spans="2:12">
      <c r="B301">
        <v>5.8200000000000002E-2</v>
      </c>
      <c r="C301">
        <f ca="1"/>
        <v>0.10232437626373965</v>
      </c>
      <c r="D301">
        <f ca="1"/>
        <v>1</v>
      </c>
      <c r="E301">
        <f ca="1"/>
        <v>101.94883412893358</v>
      </c>
      <c r="F301">
        <f ca="1"/>
        <v>-0.19285421021110935</v>
      </c>
      <c r="G301">
        <f ca="1"/>
        <v>1.8916764655416141E-3</v>
      </c>
      <c r="H301">
        <f ca="1"/>
        <v>42.984412330061652</v>
      </c>
      <c r="I301">
        <f ca="1"/>
        <v>-0.39583221714290817</v>
      </c>
      <c r="J301">
        <f ca="1"/>
        <v>2.6297792816712828</v>
      </c>
      <c r="K301">
        <f ca="1"/>
        <v>0</v>
      </c>
      <c r="L301">
        <f ca="1"/>
        <v>0</v>
      </c>
    </row>
    <row r="302" spans="2:12">
      <c r="B302">
        <v>5.8400000000000001E-2</v>
      </c>
      <c r="C302">
        <f ca="1"/>
        <v>9.4676800364736968E-2</v>
      </c>
      <c r="D302">
        <f ca="1"/>
        <v>1</v>
      </c>
      <c r="E302">
        <f ca="1"/>
        <v>101.79261385792724</v>
      </c>
      <c r="F302">
        <f ca="1"/>
        <v>0.68489289381628427</v>
      </c>
      <c r="G302">
        <f ca="1"/>
        <v>-6.7283162093881854E-3</v>
      </c>
      <c r="H302">
        <f ca="1"/>
        <v>43.669305223877934</v>
      </c>
      <c r="I302">
        <f ca="1"/>
        <v>-0.40256053335229636</v>
      </c>
      <c r="J302">
        <f ca="1"/>
        <v>2.6916162979063927</v>
      </c>
      <c r="K302">
        <f ca="1"/>
        <v>0</v>
      </c>
      <c r="L302">
        <f ca="1"/>
        <v>0</v>
      </c>
    </row>
    <row r="303" spans="2:12">
      <c r="B303">
        <v>5.8600000000000006E-2</v>
      </c>
      <c r="C303">
        <f ca="1"/>
        <v>8.7136792279509268E-2</v>
      </c>
      <c r="D303">
        <f ca="1"/>
        <v>1</v>
      </c>
      <c r="E303">
        <f ca="1"/>
        <v>101.63881955908477</v>
      </c>
      <c r="F303">
        <f ca="1"/>
        <v>0.67780972605917267</v>
      </c>
      <c r="G303">
        <f ca="1"/>
        <v>-6.6688075382964063E-3</v>
      </c>
      <c r="H303">
        <f ca="1"/>
        <v>44.347114949937108</v>
      </c>
      <c r="I303">
        <f ca="1"/>
        <v>-0.40922934089059276</v>
      </c>
      <c r="J303">
        <f ca="1"/>
        <v>2.7535278128749638</v>
      </c>
      <c r="K303">
        <f ca="1"/>
        <v>0</v>
      </c>
      <c r="L303">
        <f ca="1"/>
        <v>0</v>
      </c>
    </row>
    <row r="304" spans="2:12">
      <c r="B304">
        <v>5.8800000000000005E-2</v>
      </c>
      <c r="C304">
        <f ca="1"/>
        <v>6.9946038907696156E-2</v>
      </c>
      <c r="D304">
        <f ca="1"/>
        <v>1</v>
      </c>
      <c r="E304">
        <f ca="1"/>
        <v>101.28956486627862</v>
      </c>
      <c r="F304">
        <f ca="1"/>
        <v>1.5528088067303023</v>
      </c>
      <c r="G304">
        <f ca="1"/>
        <v>-1.5330392709064389E-2</v>
      </c>
      <c r="H304">
        <f ca="1"/>
        <v>45.899923756667413</v>
      </c>
      <c r="I304">
        <f ca="1"/>
        <v>-0.42455973359965715</v>
      </c>
      <c r="J304">
        <f ca="1"/>
        <v>2.8964530806149682</v>
      </c>
      <c r="K304">
        <f ca="1"/>
        <v>0</v>
      </c>
      <c r="L304">
        <f ca="1"/>
        <v>0</v>
      </c>
    </row>
    <row r="305" spans="2:12">
      <c r="B305">
        <v>5.9000000000000004E-2</v>
      </c>
      <c r="C305">
        <f ca="1"/>
        <v>7.2401858867162924E-2</v>
      </c>
      <c r="D305">
        <f ca="1"/>
        <v>1</v>
      </c>
      <c r="E305">
        <f ca="1"/>
        <v>101.33892151645124</v>
      </c>
      <c r="F305">
        <f ca="1"/>
        <v>-0.22330284829220501</v>
      </c>
      <c r="G305">
        <f ca="1"/>
        <v>2.203525012410501E-3</v>
      </c>
      <c r="H305">
        <f ca="1"/>
        <v>45.676620908375206</v>
      </c>
      <c r="I305">
        <f ca="1"/>
        <v>-0.42235620858724665</v>
      </c>
      <c r="J305">
        <f ca="1"/>
        <v>2.8754982343663116</v>
      </c>
      <c r="K305">
        <f ca="1"/>
        <v>0</v>
      </c>
      <c r="L305">
        <f ca="1"/>
        <v>0</v>
      </c>
    </row>
    <row r="306" spans="2:12">
      <c r="B306">
        <v>5.9200000000000003E-2</v>
      </c>
      <c r="C306">
        <f ca="1"/>
        <v>6.6849115714294832E-2</v>
      </c>
      <c r="D306">
        <f ca="1"/>
        <v>1</v>
      </c>
      <c r="E306">
        <f ca="1"/>
        <v>101.22603727942274</v>
      </c>
      <c r="F306">
        <f ca="1"/>
        <v>0.5037796691195866</v>
      </c>
      <c r="G306">
        <f ca="1"/>
        <v>-4.9767795189785136E-3</v>
      </c>
      <c r="H306">
        <f ca="1"/>
        <v>46.180400577494794</v>
      </c>
      <c r="I306">
        <f ca="1"/>
        <v>-0.42733298810622516</v>
      </c>
      <c r="J306">
        <f ca="1"/>
        <v>2.9231755927269276</v>
      </c>
      <c r="K306">
        <f ca="1"/>
        <v>0</v>
      </c>
      <c r="L306">
        <f ca="1"/>
        <v>0</v>
      </c>
    </row>
    <row r="307" spans="2:12">
      <c r="B307">
        <v>5.9400000000000001E-2</v>
      </c>
      <c r="C307">
        <f ca="1"/>
        <v>7.3597174500922041E-2</v>
      </c>
      <c r="D307">
        <f ca="1"/>
        <v>1</v>
      </c>
      <c r="E307">
        <f ca="1"/>
        <v>101.36233990997792</v>
      </c>
      <c r="F307">
        <f ca="1"/>
        <v>-0.61391988223523841</v>
      </c>
      <c r="G307">
        <f ca="1"/>
        <v>6.0566861694439367E-3</v>
      </c>
      <c r="H307">
        <f ca="1"/>
        <v>45.566480695259557</v>
      </c>
      <c r="I307">
        <f ca="1"/>
        <v>-0.42127630193678123</v>
      </c>
      <c r="J307">
        <f ca="1"/>
        <v>2.864928982325047</v>
      </c>
      <c r="K307">
        <f ca="1"/>
        <v>0</v>
      </c>
      <c r="L307">
        <f ca="1"/>
        <v>0</v>
      </c>
    </row>
    <row r="308" spans="2:12">
      <c r="B308">
        <v>5.96E-2</v>
      </c>
      <c r="C308">
        <f ca="1"/>
        <v>8.3491901868783372E-2</v>
      </c>
      <c r="D308">
        <f ca="1"/>
        <v>1</v>
      </c>
      <c r="E308">
        <f ca="1"/>
        <v>101.56272281189509</v>
      </c>
      <c r="F308">
        <f ca="1"/>
        <v>-0.89923617987720972</v>
      </c>
      <c r="G308">
        <f ca="1"/>
        <v>8.8539983468411965E-3</v>
      </c>
      <c r="H308">
        <f ca="1"/>
        <v>44.66724451538235</v>
      </c>
      <c r="I308">
        <f ca="1"/>
        <v>-0.41242230358994003</v>
      </c>
      <c r="J308">
        <f ca="1"/>
        <v>2.7805124144340283</v>
      </c>
      <c r="K308">
        <f ca="1"/>
        <v>0</v>
      </c>
      <c r="L308">
        <f ca="1"/>
        <v>0</v>
      </c>
    </row>
    <row r="309" spans="2:12">
      <c r="B309">
        <v>5.9800000000000006E-2</v>
      </c>
      <c r="C309">
        <f ca="1"/>
        <v>9.8992727070817063E-2</v>
      </c>
      <c r="D309">
        <f ca="1"/>
        <v>1</v>
      </c>
      <c r="E309">
        <f ca="1"/>
        <v>101.87766506868383</v>
      </c>
      <c r="F309">
        <f ca="1"/>
        <v>-1.4047641415129903</v>
      </c>
      <c r="G309">
        <f ca="1"/>
        <v>1.3788735151771758E-2</v>
      </c>
      <c r="H309">
        <f ca="1"/>
        <v>43.262480373869359</v>
      </c>
      <c r="I309">
        <f ca="1"/>
        <v>-0.39863356843816827</v>
      </c>
      <c r="J309">
        <f ca="1"/>
        <v>2.6506232033913975</v>
      </c>
      <c r="K309">
        <f ca="1"/>
        <v>0</v>
      </c>
      <c r="L309">
        <f ca="1"/>
        <v>0</v>
      </c>
    </row>
    <row r="310" spans="2:12">
      <c r="B310">
        <v>6.0000000000000005E-2</v>
      </c>
      <c r="C310">
        <f ca="1"/>
        <v>8.6632925898944779E-2</v>
      </c>
      <c r="D310">
        <f ca="1"/>
        <v>1</v>
      </c>
      <c r="E310">
        <f ca="1"/>
        <v>101.62573203798945</v>
      </c>
      <c r="F310">
        <f ca="1"/>
        <v>1.114488871389016</v>
      </c>
      <c r="G310">
        <f ca="1"/>
        <v>-1.0966601165267875E-2</v>
      </c>
      <c r="H310">
        <f ca="1"/>
        <v>44.376969245258373</v>
      </c>
      <c r="I310">
        <f ca="1"/>
        <v>-0.40960016960343615</v>
      </c>
      <c r="J310">
        <f ca="1"/>
        <v>2.751052166424536</v>
      </c>
      <c r="K310">
        <f ca="1"/>
        <v>0</v>
      </c>
      <c r="L310">
        <f ca="1"/>
        <v>0</v>
      </c>
    </row>
    <row r="311" spans="2:12">
      <c r="B311">
        <v>6.0200000000000004E-2</v>
      </c>
      <c r="C311">
        <f ca="1"/>
        <v>0.11730169724026891</v>
      </c>
      <c r="D311">
        <f ca="1"/>
        <v>1</v>
      </c>
      <c r="E311">
        <f ca="1"/>
        <v>102.25058594665705</v>
      </c>
      <c r="F311">
        <f ca="1"/>
        <v>-2.7740046608450384</v>
      </c>
      <c r="G311">
        <f ca="1"/>
        <v>2.7129474468656878E-2</v>
      </c>
      <c r="H311">
        <f ca="1"/>
        <v>41.602964584413336</v>
      </c>
      <c r="I311">
        <f ca="1"/>
        <v>-0.38247069513477927</v>
      </c>
      <c r="J311">
        <f ca="1"/>
        <v>2.4951118994569228</v>
      </c>
      <c r="K311">
        <f ca="1"/>
        <v>0</v>
      </c>
      <c r="L311">
        <f ca="1"/>
        <v>0</v>
      </c>
    </row>
    <row r="312" spans="2:12">
      <c r="B312">
        <v>6.0400000000000002E-2</v>
      </c>
      <c r="C312">
        <f ca="1"/>
        <v>0.12089818743347103</v>
      </c>
      <c r="D312">
        <f ca="1"/>
        <v>1</v>
      </c>
      <c r="E312">
        <f ca="1"/>
        <v>102.32375175479444</v>
      </c>
      <c r="F312">
        <f ca="1"/>
        <v>-0.32458889817371994</v>
      </c>
      <c r="G312">
        <f ca="1"/>
        <v>3.1721754979386896E-3</v>
      </c>
      <c r="H312">
        <f ca="1"/>
        <v>41.278375686239613</v>
      </c>
      <c r="I312">
        <f ca="1"/>
        <v>-0.37929851963684058</v>
      </c>
      <c r="J312">
        <f ca="1"/>
        <v>2.4671281219585097</v>
      </c>
      <c r="K312">
        <f ca="1"/>
        <v>0</v>
      </c>
      <c r="L312">
        <f ca="1"/>
        <v>0</v>
      </c>
    </row>
    <row r="313" spans="2:12">
      <c r="B313">
        <v>6.0600000000000001E-2</v>
      </c>
      <c r="C313">
        <f ca="1"/>
        <v>0.12387561875270195</v>
      </c>
      <c r="D313">
        <f ca="1"/>
        <v>1</v>
      </c>
      <c r="E313">
        <f ca="1"/>
        <v>102.38429275124147</v>
      </c>
      <c r="F313">
        <f ca="1"/>
        <v>-0.26900585911980313</v>
      </c>
      <c r="G313">
        <f ca="1"/>
        <v>2.6274133647960496E-3</v>
      </c>
      <c r="H313">
        <f ca="1"/>
        <v>41.009369827119812</v>
      </c>
      <c r="I313">
        <f ca="1"/>
        <v>-0.37667110627204453</v>
      </c>
      <c r="J313">
        <f ca="1"/>
        <v>2.4441650116288187</v>
      </c>
      <c r="K313">
        <f ca="1"/>
        <v>0</v>
      </c>
      <c r="L313">
        <f ca="1"/>
        <v>0</v>
      </c>
    </row>
    <row r="314" spans="2:12">
      <c r="B314">
        <v>6.08E-2</v>
      </c>
      <c r="C314">
        <f ca="1"/>
        <v>0.15170402723652227</v>
      </c>
      <c r="D314">
        <f ca="1"/>
        <v>1</v>
      </c>
      <c r="E314">
        <f ca="1"/>
        <v>102.95530802898085</v>
      </c>
      <c r="F314">
        <f ca="1"/>
        <v>-2.4773570150600062</v>
      </c>
      <c r="G314">
        <f ca="1"/>
        <v>2.4062450615588038E-2</v>
      </c>
      <c r="H314">
        <f ca="1"/>
        <v>38.532012812059804</v>
      </c>
      <c r="I314">
        <f ca="1"/>
        <v>-0.35260865565645649</v>
      </c>
      <c r="J314">
        <f ca="1"/>
        <v>2.2290800552644825</v>
      </c>
      <c r="K314">
        <f ca="1"/>
        <v>0</v>
      </c>
      <c r="L314">
        <f ca="1"/>
        <v>0</v>
      </c>
    </row>
    <row r="315" spans="2:12">
      <c r="B315">
        <v>6.1000000000000006E-2</v>
      </c>
      <c r="C315">
        <f ca="1"/>
        <v>0.15332790889268605</v>
      </c>
      <c r="D315">
        <f ca="1"/>
        <v>1</v>
      </c>
      <c r="E315">
        <f ca="1"/>
        <v>102.98833895245731</v>
      </c>
      <c r="F315">
        <f ca="1"/>
        <v>-0.14689935428788642</v>
      </c>
      <c r="G315">
        <f ca="1"/>
        <v>1.4263688081783688E-3</v>
      </c>
      <c r="H315">
        <f ca="1"/>
        <v>38.385113457771915</v>
      </c>
      <c r="I315">
        <f ca="1"/>
        <v>-0.35118228684827812</v>
      </c>
      <c r="J315">
        <f ca="1"/>
        <v>2.2174330657423553</v>
      </c>
      <c r="K315">
        <f ca="1"/>
        <v>0</v>
      </c>
      <c r="L315">
        <f ca="1"/>
        <v>0</v>
      </c>
    </row>
    <row r="316" spans="2:12">
      <c r="B316">
        <v>6.1200000000000004E-2</v>
      </c>
      <c r="C316">
        <f ca="1"/>
        <v>0.16871740759121032</v>
      </c>
      <c r="D316">
        <f ca="1"/>
        <v>1</v>
      </c>
      <c r="E316">
        <f ca="1"/>
        <v>103.30540184086412</v>
      </c>
      <c r="F316">
        <f ca="1"/>
        <v>-1.3516442127592159</v>
      </c>
      <c r="G316">
        <f ca="1"/>
        <v>1.30839645233784E-2</v>
      </c>
      <c r="H316">
        <f ca="1"/>
        <v>37.033469245012697</v>
      </c>
      <c r="I316">
        <f ca="1"/>
        <v>-0.33809832232489972</v>
      </c>
      <c r="J316">
        <f ca="1"/>
        <v>2.1060861955169301</v>
      </c>
      <c r="K316">
        <f ca="1"/>
        <v>0</v>
      </c>
      <c r="L316">
        <f ca="1"/>
        <v>0</v>
      </c>
    </row>
    <row r="317" spans="2:12">
      <c r="B317">
        <v>6.1400000000000003E-2</v>
      </c>
      <c r="C317">
        <f ca="1"/>
        <v>0.17888764249959374</v>
      </c>
      <c r="D317">
        <f ca="1"/>
        <v>1</v>
      </c>
      <c r="E317">
        <f ca="1"/>
        <v>103.51532966964537</v>
      </c>
      <c r="F317">
        <f ca="1"/>
        <v>-0.88677423910569897</v>
      </c>
      <c r="G317">
        <f ca="1"/>
        <v>8.5665982220770043E-3</v>
      </c>
      <c r="H317">
        <f ca="1"/>
        <v>36.146695005906999</v>
      </c>
      <c r="I317">
        <f ca="1"/>
        <v>-0.32953172410282272</v>
      </c>
      <c r="J317">
        <f ca="1"/>
        <v>2.0351099487966806</v>
      </c>
      <c r="K317">
        <f ca="1"/>
        <v>0</v>
      </c>
      <c r="L317">
        <f ca="1"/>
        <v>0</v>
      </c>
    </row>
    <row r="318" spans="2:12">
      <c r="B318">
        <v>6.1600000000000002E-2</v>
      </c>
      <c r="C318">
        <f ca="1"/>
        <v>0.17309107564440079</v>
      </c>
      <c r="D318">
        <f ca="1"/>
        <v>1</v>
      </c>
      <c r="E318">
        <f ca="1"/>
        <v>103.39497891892451</v>
      </c>
      <c r="F318">
        <f ca="1"/>
        <v>0.49588568180296083</v>
      </c>
      <c r="G318">
        <f ca="1"/>
        <v>-4.7960325248656566E-3</v>
      </c>
      <c r="H318">
        <f ca="1"/>
        <v>36.642580687709959</v>
      </c>
      <c r="I318">
        <f ca="1"/>
        <v>-0.33432775662768838</v>
      </c>
      <c r="J318">
        <f ca="1"/>
        <v>2.0747693391787934</v>
      </c>
      <c r="K318">
        <f ca="1"/>
        <v>0</v>
      </c>
      <c r="L318">
        <f ca="1"/>
        <v>0</v>
      </c>
    </row>
    <row r="319" spans="2:12">
      <c r="B319">
        <v>6.1800000000000001E-2</v>
      </c>
      <c r="C319">
        <f ca="1"/>
        <v>0.18820262891582634</v>
      </c>
      <c r="D319">
        <f ca="1"/>
        <v>1</v>
      </c>
      <c r="E319">
        <f ca="1"/>
        <v>103.70752853402931</v>
      </c>
      <c r="F319">
        <f ca="1"/>
        <v>-1.3100581426801232</v>
      </c>
      <c r="G319">
        <f ca="1"/>
        <v>1.2632237612819563E-2</v>
      </c>
      <c r="H319">
        <f ca="1"/>
        <v>35.332522545029839</v>
      </c>
      <c r="I319">
        <f ca="1"/>
        <v>-0.32169551901486881</v>
      </c>
      <c r="J319">
        <f ca="1"/>
        <v>1.970275327525961</v>
      </c>
      <c r="K319">
        <f ca="1"/>
        <v>0</v>
      </c>
      <c r="L319">
        <f ca="1"/>
        <v>0</v>
      </c>
    </row>
    <row r="320" spans="2:12">
      <c r="B320">
        <v>6.2E-2</v>
      </c>
      <c r="C320">
        <f ca="1"/>
        <v>0.21600267352849573</v>
      </c>
      <c r="D320">
        <f ca="1"/>
        <v>1</v>
      </c>
      <c r="E320">
        <f ca="1"/>
        <v>104.28533214253829</v>
      </c>
      <c r="F320">
        <f ca="1"/>
        <v>-2.3651428670662513</v>
      </c>
      <c r="G320">
        <f ca="1"/>
        <v>2.2679535256535877E-2</v>
      </c>
      <c r="H320">
        <f ca="1"/>
        <v>32.967379677963585</v>
      </c>
      <c r="I320">
        <f ca="1"/>
        <v>-0.29901598375833294</v>
      </c>
      <c r="J320">
        <f ca="1"/>
        <v>1.7843984957979977</v>
      </c>
      <c r="K320">
        <f ca="1"/>
        <v>0</v>
      </c>
      <c r="L320">
        <f ca="1"/>
        <v>0</v>
      </c>
    </row>
    <row r="321" spans="2:12">
      <c r="B321">
        <v>6.2200000000000005E-2</v>
      </c>
      <c r="C321">
        <f ca="1"/>
        <v>0.21538693553262581</v>
      </c>
      <c r="D321">
        <f ca="1"/>
        <v>1</v>
      </c>
      <c r="E321">
        <f ca="1"/>
        <v>104.27207335585662</v>
      </c>
      <c r="F321">
        <f ca="1"/>
        <v>4.4631283967221658E-2</v>
      </c>
      <c r="G321">
        <f ca="1"/>
        <v>-4.2802720355339385E-4</v>
      </c>
      <c r="H321">
        <f ca="1"/>
        <v>33.012010961930805</v>
      </c>
      <c r="I321">
        <f ca="1"/>
        <v>-0.29944401096188633</v>
      </c>
      <c r="J321">
        <f ca="1"/>
        <v>1.7883630849410608</v>
      </c>
      <c r="K321">
        <f ca="1"/>
        <v>0</v>
      </c>
      <c r="L321">
        <f ca="1"/>
        <v>0</v>
      </c>
    </row>
    <row r="322" spans="2:12">
      <c r="B322">
        <v>6.2400000000000004E-2</v>
      </c>
      <c r="C322">
        <f ca="1"/>
        <v>0.20596767322194445</v>
      </c>
      <c r="D322">
        <f ca="1"/>
        <v>1</v>
      </c>
      <c r="E322">
        <f ca="1"/>
        <v>104.07540876071894</v>
      </c>
      <c r="F322">
        <f ca="1"/>
        <v>0.78386333559840382</v>
      </c>
      <c r="G322">
        <f ca="1"/>
        <v>-7.5316863506209586E-3</v>
      </c>
      <c r="H322">
        <f ca="1"/>
        <v>33.79587429752921</v>
      </c>
      <c r="I322">
        <f ca="1"/>
        <v>-0.30697569731250729</v>
      </c>
      <c r="J322">
        <f ca="1"/>
        <v>1.8472531201232805</v>
      </c>
      <c r="K322">
        <f ca="1"/>
        <v>0</v>
      </c>
      <c r="L322">
        <f ca="1"/>
        <v>0</v>
      </c>
    </row>
    <row r="323" spans="2:12">
      <c r="B323">
        <v>6.2600000000000003E-2</v>
      </c>
      <c r="C323">
        <f ca="1"/>
        <v>0.20763043193057035</v>
      </c>
      <c r="D323">
        <f ca="1"/>
        <v>1</v>
      </c>
      <c r="E323">
        <f ca="1"/>
        <v>104.10960853542817</v>
      </c>
      <c r="F323">
        <f ca="1"/>
        <v>-0.1467852894448938</v>
      </c>
      <c r="G323">
        <f ca="1"/>
        <v>1.4099110688226557E-3</v>
      </c>
      <c r="H323">
        <f ca="1"/>
        <v>33.649089008084317</v>
      </c>
      <c r="I323">
        <f ca="1"/>
        <v>-0.30556578624368463</v>
      </c>
      <c r="J323">
        <f ca="1"/>
        <v>1.8367546204339895</v>
      </c>
      <c r="K323">
        <f ca="1"/>
        <v>0</v>
      </c>
      <c r="L323">
        <f ca="1"/>
        <v>0</v>
      </c>
    </row>
    <row r="324" spans="2:12">
      <c r="B324">
        <v>6.2800000000000009E-2</v>
      </c>
      <c r="C324">
        <f ca="1"/>
        <v>0.2338571371056779</v>
      </c>
      <c r="D324">
        <f ca="1"/>
        <v>1</v>
      </c>
      <c r="E324">
        <f ca="1"/>
        <v>104.65671503215799</v>
      </c>
      <c r="F324">
        <f ca="1"/>
        <v>-2.1950754444616192</v>
      </c>
      <c r="G324">
        <f ca="1"/>
        <v>2.0974052585036096E-2</v>
      </c>
      <c r="H324">
        <f ca="1"/>
        <v>31.454013563622699</v>
      </c>
      <c r="I324">
        <f ca="1"/>
        <v>-0.28459173365864854</v>
      </c>
      <c r="J324">
        <f ca="1"/>
        <v>1.6695775936017121</v>
      </c>
      <c r="K324">
        <f ca="1"/>
        <v>0</v>
      </c>
      <c r="L324">
        <f ca="1"/>
        <v>0</v>
      </c>
    </row>
    <row r="325" spans="2:12">
      <c r="B325">
        <v>6.3E-2</v>
      </c>
      <c r="C325">
        <f ca="1"/>
        <v>0.22359432691115316</v>
      </c>
      <c r="D325">
        <f ca="1"/>
        <v>1</v>
      </c>
      <c r="E325">
        <f ca="1"/>
        <v>104.44170317330155</v>
      </c>
      <c r="F325">
        <f ca="1"/>
        <v>0.83895656464026025</v>
      </c>
      <c r="G325">
        <f ca="1"/>
        <v>-8.032773682828287E-3</v>
      </c>
      <c r="H325">
        <f ca="1"/>
        <v>32.292970128262958</v>
      </c>
      <c r="I325">
        <f ca="1"/>
        <v>-0.29262450734147682</v>
      </c>
      <c r="J325">
        <f ca="1"/>
        <v>1.7307681912708368</v>
      </c>
      <c r="K325">
        <f ca="1"/>
        <v>0</v>
      </c>
      <c r="L325">
        <f ca="1"/>
        <v>0</v>
      </c>
    </row>
    <row r="326" spans="2:12">
      <c r="B326">
        <v>6.3200000000000006E-2</v>
      </c>
      <c r="C326">
        <f ca="1"/>
        <v>0.23288965442429468</v>
      </c>
      <c r="D326">
        <f ca="1"/>
        <v>1</v>
      </c>
      <c r="E326">
        <f ca="1"/>
        <v>104.63562919101423</v>
      </c>
      <c r="F326">
        <f ca="1"/>
        <v>-0.77606956457832288</v>
      </c>
      <c r="G326">
        <f ca="1"/>
        <v>7.4168767424487303E-3</v>
      </c>
      <c r="H326">
        <f ca="1"/>
        <v>31.516900563684636</v>
      </c>
      <c r="I326">
        <f ca="1"/>
        <v>-0.28520763059902809</v>
      </c>
      <c r="J326">
        <f ca="1"/>
        <v>1.6740206858769682</v>
      </c>
      <c r="K326">
        <f ca="1"/>
        <v>0</v>
      </c>
      <c r="L326">
        <f ca="1"/>
        <v>0</v>
      </c>
    </row>
    <row r="327" spans="2:12">
      <c r="B327">
        <v>6.3399999999999998E-2</v>
      </c>
      <c r="C327">
        <f ca="1"/>
        <v>0.22461337183335253</v>
      </c>
      <c r="D327">
        <f ca="1"/>
        <v>1</v>
      </c>
      <c r="E327">
        <f ca="1"/>
        <v>104.46215579947172</v>
      </c>
      <c r="F327">
        <f ca="1"/>
        <v>0.67580525941566039</v>
      </c>
      <c r="G327">
        <f ca="1"/>
        <v>-6.4693788314397205E-3</v>
      </c>
      <c r="H327">
        <f ca="1"/>
        <v>32.192705823100297</v>
      </c>
      <c r="I327">
        <f ca="1"/>
        <v>-0.29167700943046782</v>
      </c>
      <c r="J327">
        <f ca="1"/>
        <v>1.7234966208507885</v>
      </c>
      <c r="K327">
        <f ca="1"/>
        <v>0</v>
      </c>
      <c r="L327">
        <f ca="1"/>
        <v>0</v>
      </c>
    </row>
    <row r="328" spans="2:12">
      <c r="B328">
        <v>6.3600000000000004E-2</v>
      </c>
      <c r="C328">
        <f ca="1"/>
        <v>0.21678461996711598</v>
      </c>
      <c r="D328">
        <f ca="1"/>
        <v>1</v>
      </c>
      <c r="E328">
        <f ca="1"/>
        <v>104.29830492754459</v>
      </c>
      <c r="F328">
        <f ca="1"/>
        <v>0.64504485816915436</v>
      </c>
      <c r="G328">
        <f ca="1"/>
        <v>-6.1846149716168752E-3</v>
      </c>
      <c r="H328">
        <f ca="1"/>
        <v>32.837750681269455</v>
      </c>
      <c r="I328">
        <f ca="1"/>
        <v>-0.29786162440208469</v>
      </c>
      <c r="J328">
        <f ca="1"/>
        <v>1.7712881531670703</v>
      </c>
      <c r="K328">
        <f ca="1"/>
        <v>0</v>
      </c>
      <c r="L328">
        <f ca="1"/>
        <v>0</v>
      </c>
    </row>
    <row r="329" spans="2:12">
      <c r="B329">
        <v>6.3800000000000009E-2</v>
      </c>
      <c r="C329">
        <f ca="1"/>
        <v>0.21163548929820733</v>
      </c>
      <c r="D329">
        <f ca="1"/>
        <v>1</v>
      </c>
      <c r="E329">
        <f ca="1"/>
        <v>104.19053433182923</v>
      </c>
      <c r="F329">
        <f ca="1"/>
        <v>0.42525473403512704</v>
      </c>
      <c r="G329">
        <f ca="1"/>
        <v>-4.0815102519847213E-3</v>
      </c>
      <c r="H329">
        <f ca="1"/>
        <v>33.263005415304583</v>
      </c>
      <c r="I329">
        <f ca="1"/>
        <v>-0.30194313465406941</v>
      </c>
      <c r="J329">
        <f ca="1"/>
        <v>1.8033888778696294</v>
      </c>
      <c r="K329">
        <f ca="1"/>
        <v>0</v>
      </c>
      <c r="L329">
        <f ca="1"/>
        <v>0</v>
      </c>
    </row>
    <row r="330" spans="2:12">
      <c r="B330">
        <v>6.4000000000000001E-2</v>
      </c>
      <c r="C330">
        <f ca="1"/>
        <v>0.21606159027513108</v>
      </c>
      <c r="D330">
        <f ca="1"/>
        <v>1</v>
      </c>
      <c r="E330">
        <f ca="1"/>
        <v>104.28238960126544</v>
      </c>
      <c r="F330">
        <f ca="1"/>
        <v>-0.37892754225697917</v>
      </c>
      <c r="G330">
        <f ca="1"/>
        <v>3.6336676183375549E-3</v>
      </c>
      <c r="H330">
        <f ca="1"/>
        <v>32.884077873047602</v>
      </c>
      <c r="I330">
        <f ca="1"/>
        <v>-0.29830946703573186</v>
      </c>
      <c r="J330">
        <f ca="1"/>
        <v>1.7756538098815646</v>
      </c>
      <c r="K330">
        <f ca="1"/>
        <v>0</v>
      </c>
      <c r="L330">
        <f ca="1"/>
        <v>0</v>
      </c>
    </row>
    <row r="331" spans="2:12">
      <c r="B331">
        <v>6.4200000000000007E-2</v>
      </c>
      <c r="C331">
        <f ca="1"/>
        <v>0.22215139272942855</v>
      </c>
      <c r="D331">
        <f ca="1"/>
        <v>1</v>
      </c>
      <c r="E331">
        <f ca="1"/>
        <v>104.40906117371959</v>
      </c>
      <c r="F331">
        <f ca="1"/>
        <v>-0.51653819635835774</v>
      </c>
      <c r="G331">
        <f ca="1"/>
        <v>4.9472544868392476E-3</v>
      </c>
      <c r="H331">
        <f ca="1"/>
        <v>32.367539676689248</v>
      </c>
      <c r="I331">
        <f ca="1"/>
        <v>-0.29336221254889261</v>
      </c>
      <c r="J331">
        <f ca="1"/>
        <v>1.7378664806141906</v>
      </c>
      <c r="K331">
        <f ca="1"/>
        <v>0</v>
      </c>
      <c r="L331">
        <f ca="1"/>
        <v>0</v>
      </c>
    </row>
    <row r="332" spans="2:12">
      <c r="B332">
        <v>6.4399999999999999E-2</v>
      </c>
      <c r="C332">
        <f ca="1"/>
        <v>0.22987082315617641</v>
      </c>
      <c r="D332">
        <f ca="1"/>
        <v>1</v>
      </c>
      <c r="E332">
        <f ca="1"/>
        <v>104.5699630877198</v>
      </c>
      <c r="F332">
        <f ca="1"/>
        <v>-0.64879527891051725</v>
      </c>
      <c r="G332">
        <f ca="1"/>
        <v>6.2044133874874507E-3</v>
      </c>
      <c r="H332">
        <f ca="1"/>
        <v>31.718744397778732</v>
      </c>
      <c r="I332">
        <f ca="1"/>
        <v>-0.28715779916140516</v>
      </c>
      <c r="J332">
        <f ca="1"/>
        <v>1.6906639391197373</v>
      </c>
      <c r="K332">
        <f ca="1"/>
        <v>0</v>
      </c>
      <c r="L332">
        <f ca="1"/>
        <v>0</v>
      </c>
    </row>
    <row r="333" spans="2:12">
      <c r="B333">
        <v>6.4600000000000005E-2</v>
      </c>
      <c r="C333">
        <f ca="1"/>
        <v>0.2340890495683241</v>
      </c>
      <c r="D333">
        <f ca="1"/>
        <v>1</v>
      </c>
      <c r="E333">
        <f ca="1"/>
        <v>104.65780163536076</v>
      </c>
      <c r="F333">
        <f ca="1"/>
        <v>-0.35581732767544422</v>
      </c>
      <c r="G333">
        <f ca="1"/>
        <v>3.3998165651821233E-3</v>
      </c>
      <c r="H333">
        <f ca="1"/>
        <v>31.362927070103286</v>
      </c>
      <c r="I333">
        <f ca="1"/>
        <v>-0.28375798259622304</v>
      </c>
      <c r="J333">
        <f ca="1"/>
        <v>1.6654404150976276</v>
      </c>
      <c r="K333">
        <f ca="1"/>
        <v>0</v>
      </c>
      <c r="L333">
        <f ca="1"/>
        <v>0</v>
      </c>
    </row>
    <row r="334" spans="2:12">
      <c r="B334">
        <v>6.4799999999999996E-2</v>
      </c>
      <c r="C334">
        <f ca="1"/>
        <v>0.25532461373674692</v>
      </c>
      <c r="D334">
        <f ca="1"/>
        <v>1</v>
      </c>
      <c r="E334">
        <f ca="1"/>
        <v>105.10281996043227</v>
      </c>
      <c r="F334">
        <f ca="1"/>
        <v>-1.739286093589804</v>
      </c>
      <c r="G334">
        <f ca="1"/>
        <v>1.6548424621190827E-2</v>
      </c>
      <c r="H334">
        <f ca="1"/>
        <v>29.623640976513482</v>
      </c>
      <c r="I334">
        <f ca="1"/>
        <v>-0.26720955797503221</v>
      </c>
      <c r="J334">
        <f ca="1"/>
        <v>1.5391629129569822</v>
      </c>
      <c r="K334">
        <f ca="1"/>
        <v>0</v>
      </c>
      <c r="L334">
        <f ca="1"/>
        <v>0</v>
      </c>
    </row>
    <row r="335" spans="2:12">
      <c r="B335">
        <v>6.5000000000000002E-2</v>
      </c>
      <c r="C335">
        <f ca="1"/>
        <v>0.2354350087306582</v>
      </c>
      <c r="D335">
        <f ca="1"/>
        <v>1</v>
      </c>
      <c r="E335">
        <f ca="1"/>
        <v>104.68514096860169</v>
      </c>
      <c r="F335">
        <f ca="1"/>
        <v>1.6062053962363725</v>
      </c>
      <c r="G335">
        <f ca="1"/>
        <v>-1.5343203260509752E-2</v>
      </c>
      <c r="H335">
        <f ca="1"/>
        <v>31.229846372749854</v>
      </c>
      <c r="I335">
        <f ca="1"/>
        <v>-0.28255276123554196</v>
      </c>
      <c r="J335">
        <f ca="1"/>
        <v>1.6507707317394917</v>
      </c>
      <c r="K335">
        <f ca="1"/>
        <v>0</v>
      </c>
      <c r="L335">
        <f ca="1"/>
        <v>0</v>
      </c>
    </row>
    <row r="336" spans="2:12">
      <c r="B336">
        <v>6.5200000000000008E-2</v>
      </c>
      <c r="C336">
        <f ca="1"/>
        <v>0.22363673116126204</v>
      </c>
      <c r="D336">
        <f ca="1"/>
        <v>1</v>
      </c>
      <c r="E336">
        <f ca="1"/>
        <v>104.43799355866412</v>
      </c>
      <c r="F336">
        <f ca="1"/>
        <v>0.96885557289421298</v>
      </c>
      <c r="G336">
        <f ca="1"/>
        <v>-9.2768497352450074E-3</v>
      </c>
      <c r="H336">
        <f ca="1"/>
        <v>32.198701945644068</v>
      </c>
      <c r="I336">
        <f ca="1"/>
        <v>-0.29182961097078697</v>
      </c>
      <c r="J336">
        <f ca="1"/>
        <v>1.7206029148495645</v>
      </c>
      <c r="K336">
        <f ca="1"/>
        <v>0</v>
      </c>
      <c r="L336">
        <f ca="1"/>
        <v>0</v>
      </c>
    </row>
    <row r="337" spans="2:12">
      <c r="B337">
        <v>6.54E-2</v>
      </c>
      <c r="C337">
        <f ca="1"/>
        <v>0.21215898843657555</v>
      </c>
      <c r="D337">
        <f ca="1"/>
        <v>1</v>
      </c>
      <c r="E337">
        <f ca="1"/>
        <v>104.19810924106436</v>
      </c>
      <c r="F337">
        <f ca="1"/>
        <v>0.95515175223543525</v>
      </c>
      <c r="G337">
        <f ca="1"/>
        <v>-9.1666898679099162E-3</v>
      </c>
      <c r="H337">
        <f ca="1"/>
        <v>33.153853697879505</v>
      </c>
      <c r="I337">
        <f ca="1"/>
        <v>-0.30099630083869688</v>
      </c>
      <c r="J337">
        <f ca="1"/>
        <v>1.7906082619326966</v>
      </c>
      <c r="K337">
        <f ca="1"/>
        <v>0</v>
      </c>
      <c r="L337">
        <f ca="1"/>
        <v>0</v>
      </c>
    </row>
    <row r="338" spans="2:12">
      <c r="B338">
        <v>6.5600000000000006E-2</v>
      </c>
      <c r="C338">
        <f ca="1"/>
        <v>0.21801905227120916</v>
      </c>
      <c r="D338">
        <f ca="1"/>
        <v>1</v>
      </c>
      <c r="E338">
        <f ca="1"/>
        <v>104.3198850669628</v>
      </c>
      <c r="F338">
        <f ca="1"/>
        <v>-0.50078054882127587</v>
      </c>
      <c r="G338">
        <f ca="1"/>
        <v>4.8004323288874939E-3</v>
      </c>
      <c r="H338">
        <f ca="1"/>
        <v>32.65307314905823</v>
      </c>
      <c r="I338">
        <f ca="1"/>
        <v>-0.29619586850980939</v>
      </c>
      <c r="J338">
        <f ca="1"/>
        <v>1.7539541888056895</v>
      </c>
      <c r="K338">
        <f ca="1"/>
        <v>0</v>
      </c>
      <c r="L338">
        <f ca="1"/>
        <v>0</v>
      </c>
    </row>
    <row r="339" spans="2:12">
      <c r="B339">
        <v>6.5799999999999997E-2</v>
      </c>
      <c r="C339">
        <f ca="1"/>
        <v>0.2220129185805392</v>
      </c>
      <c r="D339">
        <f ca="1"/>
        <v>1</v>
      </c>
      <c r="E339">
        <f ca="1"/>
        <v>104.40282867861129</v>
      </c>
      <c r="F339">
        <f ca="1"/>
        <v>-0.3420860108794242</v>
      </c>
      <c r="G339">
        <f ca="1"/>
        <v>3.2765971498002755E-3</v>
      </c>
      <c r="H339">
        <f ca="1"/>
        <v>32.310987138178803</v>
      </c>
      <c r="I339">
        <f ca="1"/>
        <v>-0.29291927136000911</v>
      </c>
      <c r="J339">
        <f ca="1"/>
        <v>1.7293866337161212</v>
      </c>
      <c r="K339">
        <f ca="1"/>
        <v>0</v>
      </c>
      <c r="L339">
        <f ca="1"/>
        <v>0</v>
      </c>
    </row>
    <row r="340" spans="2:12">
      <c r="B340">
        <v>6.6000000000000003E-2</v>
      </c>
      <c r="C340">
        <f ca="1"/>
        <v>0.19888246046920235</v>
      </c>
      <c r="D340">
        <f ca="1"/>
        <v>1</v>
      </c>
      <c r="E340">
        <f ca="1"/>
        <v>103.92055137184227</v>
      </c>
      <c r="F340">
        <f ca="1"/>
        <v>1.9473443833007233</v>
      </c>
      <c r="G340">
        <f ca="1"/>
        <v>-1.8738780323950099E-2</v>
      </c>
      <c r="H340">
        <f ca="1"/>
        <v>34.258331521479526</v>
      </c>
      <c r="I340">
        <f ca="1"/>
        <v>-0.31165805168395921</v>
      </c>
      <c r="J340">
        <f ca="1"/>
        <v>1.870654951008369</v>
      </c>
      <c r="K340">
        <f ca="1"/>
        <v>0</v>
      </c>
      <c r="L340">
        <f ca="1"/>
        <v>0</v>
      </c>
    </row>
    <row r="341" spans="2:12">
      <c r="B341">
        <v>6.6200000000000009E-2</v>
      </c>
      <c r="C341">
        <f ca="1"/>
        <v>0.17817446008814697</v>
      </c>
      <c r="D341">
        <f ca="1"/>
        <v>1</v>
      </c>
      <c r="E341">
        <f ca="1"/>
        <v>103.49063008273846</v>
      </c>
      <c r="F341">
        <f ca="1"/>
        <v>1.781565238215282</v>
      </c>
      <c r="G341">
        <f ca="1"/>
        <v>-1.7214749168992016E-2</v>
      </c>
      <c r="H341">
        <f ca="1"/>
        <v>36.039896759694805</v>
      </c>
      <c r="I341">
        <f ca="1"/>
        <v>-0.32887280085295123</v>
      </c>
      <c r="J341">
        <f ca="1"/>
        <v>2.0046433823479148</v>
      </c>
      <c r="K341">
        <f ca="1"/>
        <v>0</v>
      </c>
      <c r="L341">
        <f ca="1"/>
        <v>0</v>
      </c>
    </row>
    <row r="342" spans="2:12">
      <c r="B342">
        <v>6.6400000000000001E-2</v>
      </c>
      <c r="C342">
        <f ca="1"/>
        <v>0.17268278290006986</v>
      </c>
      <c r="D342">
        <f ca="1"/>
        <v>1</v>
      </c>
      <c r="E342">
        <f ca="1"/>
        <v>103.37661154861819</v>
      </c>
      <c r="F342">
        <f ca="1"/>
        <v>0.47495031597947845</v>
      </c>
      <c r="G342">
        <f ca="1"/>
        <v>-4.5943691601471048E-3</v>
      </c>
      <c r="H342">
        <f ca="1"/>
        <v>36.514847075674282</v>
      </c>
      <c r="I342">
        <f ca="1"/>
        <v>-0.33346717001309834</v>
      </c>
      <c r="J342">
        <f ca="1"/>
        <v>2.0421409770131973</v>
      </c>
      <c r="K342">
        <f ca="1"/>
        <v>0</v>
      </c>
      <c r="L342">
        <f ca="1"/>
        <v>0</v>
      </c>
    </row>
    <row r="343" spans="2:12">
      <c r="B343">
        <v>6.6600000000000006E-2</v>
      </c>
      <c r="C343">
        <f ca="1"/>
        <v>0.16931892744239965</v>
      </c>
      <c r="D343">
        <f ca="1"/>
        <v>1</v>
      </c>
      <c r="E343">
        <f ca="1"/>
        <v>103.3066729152734</v>
      </c>
      <c r="F343">
        <f ca="1"/>
        <v>0.29026711507247244</v>
      </c>
      <c r="G343">
        <f ca="1"/>
        <v>-2.8097615273171561E-3</v>
      </c>
      <c r="H343">
        <f ca="1"/>
        <v>36.805114190746757</v>
      </c>
      <c r="I343">
        <f ca="1"/>
        <v>-0.33627693154041549</v>
      </c>
      <c r="J343">
        <f ca="1"/>
        <v>2.065463215149272</v>
      </c>
      <c r="K343">
        <f ca="1"/>
        <v>0</v>
      </c>
      <c r="L343">
        <f ca="1"/>
        <v>0</v>
      </c>
    </row>
    <row r="344" spans="2:12">
      <c r="B344">
        <v>6.6799999999999998E-2</v>
      </c>
      <c r="C344">
        <f ca="1"/>
        <v>0.1907235369634431</v>
      </c>
      <c r="D344">
        <f ca="1"/>
        <v>1</v>
      </c>
      <c r="E344">
        <f ca="1"/>
        <v>103.74945368194801</v>
      </c>
      <c r="F344">
        <f ca="1"/>
        <v>-1.8774408126312434</v>
      </c>
      <c r="G344">
        <f ca="1"/>
        <v>1.8095910349433586E-2</v>
      </c>
      <c r="H344">
        <f ca="1"/>
        <v>34.927673378115514</v>
      </c>
      <c r="I344">
        <f ca="1"/>
        <v>-0.31818102119098191</v>
      </c>
      <c r="J344">
        <f ca="1"/>
        <v>1.9165662575868154</v>
      </c>
      <c r="K344">
        <f ca="1"/>
        <v>0</v>
      </c>
      <c r="L344">
        <f ca="1"/>
        <v>0</v>
      </c>
    </row>
    <row r="345" spans="2:12">
      <c r="B345">
        <v>6.7000000000000004E-2</v>
      </c>
      <c r="C345">
        <f ca="1"/>
        <v>0.17856150738683413</v>
      </c>
      <c r="D345">
        <f ca="1"/>
        <v>1</v>
      </c>
      <c r="E345">
        <f ca="1"/>
        <v>103.49698558156162</v>
      </c>
      <c r="F345">
        <f ca="1"/>
        <v>1.0505134389210715</v>
      </c>
      <c r="G345">
        <f ca="1"/>
        <v>-1.0150183920991651E-2</v>
      </c>
      <c r="H345">
        <f ca="1"/>
        <v>35.978186817036587</v>
      </c>
      <c r="I345">
        <f ca="1"/>
        <v>-0.32833120511197356</v>
      </c>
      <c r="J345">
        <f ca="1"/>
        <v>1.996896815585913</v>
      </c>
      <c r="K345">
        <f ca="1"/>
        <v>0</v>
      </c>
      <c r="L345">
        <f ca="1"/>
        <v>0</v>
      </c>
    </row>
    <row r="346" spans="2:12">
      <c r="B346">
        <v>6.720000000000001E-2</v>
      </c>
      <c r="C346">
        <f ca="1"/>
        <v>0.18911483736361751</v>
      </c>
      <c r="D346">
        <f ca="1"/>
        <v>1</v>
      </c>
      <c r="E346">
        <f ca="1"/>
        <v>103.71524898503144</v>
      </c>
      <c r="F346">
        <f ca="1"/>
        <v>-0.92561239652753879</v>
      </c>
      <c r="G346">
        <f ca="1"/>
        <v>8.9245545431909101E-3</v>
      </c>
      <c r="H346">
        <f ca="1"/>
        <v>35.052574420509046</v>
      </c>
      <c r="I346">
        <f ca="1"/>
        <v>-0.31940665056878265</v>
      </c>
      <c r="J346">
        <f ca="1"/>
        <v>1.9252341292928179</v>
      </c>
      <c r="K346">
        <f ca="1"/>
        <v>0</v>
      </c>
      <c r="L346">
        <f ca="1"/>
        <v>0</v>
      </c>
    </row>
    <row r="347" spans="2:12">
      <c r="B347">
        <v>6.7400000000000002E-2</v>
      </c>
      <c r="C347">
        <f ca="1"/>
        <v>0.20307124233234214</v>
      </c>
      <c r="D347">
        <f ca="1"/>
        <v>1</v>
      </c>
      <c r="E347">
        <f ca="1"/>
        <v>104.00473578039326</v>
      </c>
      <c r="F347">
        <f ca="1"/>
        <v>-1.2103122780173978</v>
      </c>
      <c r="G347">
        <f ca="1"/>
        <v>1.163708814734149E-2</v>
      </c>
      <c r="H347">
        <f ca="1"/>
        <v>33.842262142491649</v>
      </c>
      <c r="I347">
        <f ca="1"/>
        <v>-0.30776956242144116</v>
      </c>
      <c r="J347">
        <f ca="1"/>
        <v>1.8327701216024082</v>
      </c>
      <c r="K347">
        <f ca="1"/>
        <v>0</v>
      </c>
      <c r="L347">
        <f ca="1"/>
        <v>0</v>
      </c>
    </row>
    <row r="348" spans="2:12">
      <c r="B348">
        <v>6.7600000000000007E-2</v>
      </c>
      <c r="C348">
        <f ca="1"/>
        <v>0.21933242638549588</v>
      </c>
      <c r="D348">
        <f ca="1"/>
        <v>1</v>
      </c>
      <c r="E348">
        <f ca="1"/>
        <v>104.34311706538514</v>
      </c>
      <c r="F348">
        <f ca="1"/>
        <v>-1.3901050225017502</v>
      </c>
      <c r="G348">
        <f ca="1"/>
        <v>1.3322441015737152E-2</v>
      </c>
      <c r="H348">
        <f ca="1"/>
        <v>32.452157119989899</v>
      </c>
      <c r="I348">
        <f ca="1"/>
        <v>-0.294447121405704</v>
      </c>
      <c r="J348">
        <f ca="1"/>
        <v>1.728626661588855</v>
      </c>
      <c r="K348">
        <f ca="1"/>
        <v>0</v>
      </c>
      <c r="L348">
        <f ca="1"/>
        <v>0</v>
      </c>
    </row>
    <row r="349" spans="2:12">
      <c r="B349">
        <v>6.7799999999999999E-2</v>
      </c>
      <c r="C349">
        <f ca="1"/>
        <v>0.20659901547342563</v>
      </c>
      <c r="D349">
        <f ca="1"/>
        <v>1</v>
      </c>
      <c r="E349">
        <f ca="1"/>
        <v>104.07731007451792</v>
      </c>
      <c r="F349">
        <f ca="1"/>
        <v>1.0714415681205591</v>
      </c>
      <c r="G349">
        <f ca="1"/>
        <v>-1.0294670061643807E-2</v>
      </c>
      <c r="H349">
        <f ca="1"/>
        <v>33.523598688110461</v>
      </c>
      <c r="I349">
        <f ca="1"/>
        <v>-0.30474179146734781</v>
      </c>
      <c r="J349">
        <f ca="1"/>
        <v>1.8068927648992208</v>
      </c>
      <c r="K349">
        <f ca="1"/>
        <v>0</v>
      </c>
      <c r="L349">
        <f ca="1"/>
        <v>0</v>
      </c>
    </row>
    <row r="350" spans="2:12">
      <c r="B350">
        <v>6.8000000000000005E-2</v>
      </c>
      <c r="C350">
        <f ca="1"/>
        <v>0.19471795522971891</v>
      </c>
      <c r="D350">
        <f ca="1"/>
        <v>1</v>
      </c>
      <c r="E350">
        <f ca="1"/>
        <v>103.82987859359076</v>
      </c>
      <c r="F350">
        <f ca="1"/>
        <v>1.0127106648631923</v>
      </c>
      <c r="G350">
        <f ca="1"/>
        <v>-9.753557247496436E-3</v>
      </c>
      <c r="H350">
        <f ca="1"/>
        <v>34.536309352973653</v>
      </c>
      <c r="I350">
        <f ca="1"/>
        <v>-0.31449534871484425</v>
      </c>
      <c r="J350">
        <f ca="1"/>
        <v>1.8822954776623817</v>
      </c>
      <c r="K350">
        <f ca="1"/>
        <v>0</v>
      </c>
      <c r="L350">
        <f ca="1"/>
        <v>0</v>
      </c>
    </row>
    <row r="351" spans="2:12">
      <c r="B351">
        <v>6.8199999999999997E-2</v>
      </c>
      <c r="C351">
        <f ca="1"/>
        <v>0.16403332812018975</v>
      </c>
      <c r="D351">
        <f ca="1"/>
        <v>1</v>
      </c>
      <c r="E351">
        <f ca="1"/>
        <v>103.19422081369652</v>
      </c>
      <c r="F351">
        <f ca="1"/>
        <v>2.6738654663586376</v>
      </c>
      <c r="G351">
        <f ca="1"/>
        <v>-2.5911000105189486E-2</v>
      </c>
      <c r="H351">
        <f ca="1"/>
        <v>37.210174819332288</v>
      </c>
      <c r="I351">
        <f ca="1"/>
        <v>-0.34040634882003373</v>
      </c>
      <c r="J351">
        <f ca="1"/>
        <v>2.0822068928135238</v>
      </c>
      <c r="K351">
        <f ca="1"/>
        <v>0</v>
      </c>
      <c r="L351">
        <f ca="1"/>
        <v>0</v>
      </c>
    </row>
    <row r="352" spans="2:12">
      <c r="B352">
        <v>6.8400000000000002E-2</v>
      </c>
      <c r="C352">
        <f ca="1"/>
        <v>0.1711192550829842</v>
      </c>
      <c r="D352">
        <f ca="1"/>
        <v>1</v>
      </c>
      <c r="E352">
        <f ca="1"/>
        <v>103.34015647192989</v>
      </c>
      <c r="F352">
        <f ca="1"/>
        <v>-0.63271283414801482</v>
      </c>
      <c r="G352">
        <f ca="1"/>
        <v>6.1226231481454896E-3</v>
      </c>
      <c r="H352">
        <f ca="1"/>
        <v>36.577461985184271</v>
      </c>
      <c r="I352">
        <f ca="1"/>
        <v>-0.33428372567188824</v>
      </c>
      <c r="J352">
        <f ca="1"/>
        <v>2.032529468231651</v>
      </c>
      <c r="K352">
        <f ca="1"/>
        <v>0</v>
      </c>
      <c r="L352">
        <f ca="1"/>
        <v>0</v>
      </c>
    </row>
    <row r="353" spans="2:12">
      <c r="B353">
        <v>6.8600000000000008E-2</v>
      </c>
      <c r="C353">
        <f ca="1"/>
        <v>0.17310847029183565</v>
      </c>
      <c r="D353">
        <f ca="1"/>
        <v>1</v>
      </c>
      <c r="E353">
        <f ca="1"/>
        <v>103.38086428921092</v>
      </c>
      <c r="F353">
        <f ca="1"/>
        <v>-0.18091504931846125</v>
      </c>
      <c r="G353">
        <f ca="1"/>
        <v>1.7499858466296647E-3</v>
      </c>
      <c r="H353">
        <f ca="1"/>
        <v>36.396546935865807</v>
      </c>
      <c r="I353">
        <f ca="1"/>
        <v>-0.33253373982525858</v>
      </c>
      <c r="J353">
        <f ca="1"/>
        <v>2.0189215074069793</v>
      </c>
      <c r="K353">
        <f ca="1"/>
        <v>0</v>
      </c>
      <c r="L353">
        <f ca="1"/>
        <v>0</v>
      </c>
    </row>
    <row r="354" spans="2:12">
      <c r="B354">
        <v>6.88E-2</v>
      </c>
      <c r="C354">
        <f ca="1"/>
        <v>0.15641699964829009</v>
      </c>
      <c r="D354">
        <f ca="1"/>
        <v>1</v>
      </c>
      <c r="E354">
        <f ca="1"/>
        <v>103.03591182090091</v>
      </c>
      <c r="F354">
        <f ca="1"/>
        <v>1.4742607076441905</v>
      </c>
      <c r="G354">
        <f ca="1"/>
        <v>-1.4308222071220955E-2</v>
      </c>
      <c r="H354">
        <f ca="1"/>
        <v>37.870807643509998</v>
      </c>
      <c r="I354">
        <f ca="1"/>
        <v>-0.34684196189647953</v>
      </c>
      <c r="J354">
        <f ca="1"/>
        <v>2.1336298417560613</v>
      </c>
      <c r="K354">
        <f ca="1"/>
        <v>0</v>
      </c>
      <c r="L354">
        <f ca="1"/>
        <v>0</v>
      </c>
    </row>
    <row r="355" spans="2:12">
      <c r="B355">
        <v>6.9000000000000006E-2</v>
      </c>
      <c r="C355">
        <f ca="1"/>
        <v>0.13725564629601231</v>
      </c>
      <c r="D355">
        <f ca="1"/>
        <v>1</v>
      </c>
      <c r="E355">
        <f ca="1"/>
        <v>102.64139539411778</v>
      </c>
      <c r="F355">
        <f ca="1"/>
        <v>1.7164927826410823</v>
      </c>
      <c r="G355">
        <f ca="1"/>
        <v>-1.6723201940602728E-2</v>
      </c>
      <c r="H355">
        <f ca="1"/>
        <v>39.587300426151081</v>
      </c>
      <c r="I355">
        <f ca="1"/>
        <v>-0.36356516383708226</v>
      </c>
      <c r="J355">
        <f ca="1"/>
        <v>2.2704646932219106</v>
      </c>
      <c r="K355">
        <f ca="1"/>
        <v>0</v>
      </c>
      <c r="L355">
        <f ca="1"/>
        <v>0</v>
      </c>
    </row>
    <row r="356" spans="2:12">
      <c r="B356">
        <v>6.9199999999999998E-2</v>
      </c>
      <c r="C356">
        <f ca="1"/>
        <v>0.1419176374714331</v>
      </c>
      <c r="D356">
        <f ca="1"/>
        <v>1</v>
      </c>
      <c r="E356">
        <f ca="1"/>
        <v>102.73673173264474</v>
      </c>
      <c r="F356">
        <f ca="1"/>
        <v>-0.42581375755121775</v>
      </c>
      <c r="G356">
        <f ca="1"/>
        <v>4.1447080354797272E-3</v>
      </c>
      <c r="H356">
        <f ca="1"/>
        <v>39.161486668599863</v>
      </c>
      <c r="I356">
        <f ca="1"/>
        <v>-0.35942045580160253</v>
      </c>
      <c r="J356">
        <f ca="1"/>
        <v>2.2358037216857269</v>
      </c>
      <c r="K356">
        <f ca="1"/>
        <v>0</v>
      </c>
      <c r="L356">
        <f ca="1"/>
        <v>0</v>
      </c>
    </row>
    <row r="357" spans="2:12">
      <c r="B357">
        <v>6.9400000000000003E-2</v>
      </c>
      <c r="C357">
        <f ca="1"/>
        <v>0.12522596902033217</v>
      </c>
      <c r="D357">
        <f ca="1"/>
        <v>1</v>
      </c>
      <c r="E357">
        <f ca="1"/>
        <v>102.39392450016327</v>
      </c>
      <c r="F357">
        <f ca="1"/>
        <v>1.5099815098479807</v>
      </c>
      <c r="G357">
        <f ca="1"/>
        <v>-1.4746788124578358E-2</v>
      </c>
      <c r="H357">
        <f ca="1"/>
        <v>40.671468178447846</v>
      </c>
      <c r="I357">
        <f ca="1"/>
        <v>-0.37416724392618089</v>
      </c>
      <c r="J357">
        <f ca="1"/>
        <v>2.3590156534363089</v>
      </c>
      <c r="K357">
        <f ca="1"/>
        <v>0</v>
      </c>
      <c r="L357">
        <f ca="1"/>
        <v>0</v>
      </c>
    </row>
    <row r="358" spans="2:12">
      <c r="B358">
        <v>6.9600000000000009E-2</v>
      </c>
      <c r="C358">
        <f ca="1"/>
        <v>0.14968797989820118</v>
      </c>
      <c r="D358">
        <f ca="1"/>
        <v>1</v>
      </c>
      <c r="E358">
        <f ca="1"/>
        <v>102.89569260639944</v>
      </c>
      <c r="F358">
        <f ca="1"/>
        <v>-2.2269336920141085</v>
      </c>
      <c r="G358">
        <f ca="1"/>
        <v>2.1642632802255979E-2</v>
      </c>
      <c r="H358">
        <f ca="1"/>
        <v>38.444534486433739</v>
      </c>
      <c r="I358">
        <f ca="1"/>
        <v>-0.35252461112392491</v>
      </c>
      <c r="J358">
        <f ca="1"/>
        <v>2.1712704640358638</v>
      </c>
      <c r="K358">
        <f ca="1"/>
        <v>0</v>
      </c>
      <c r="L358">
        <f ca="1"/>
        <v>0</v>
      </c>
    </row>
    <row r="359" spans="2:12">
      <c r="B359">
        <v>6.9800000000000001E-2</v>
      </c>
      <c r="C359">
        <f ca="1"/>
        <v>0.13855407361216118</v>
      </c>
      <c r="D359">
        <f ca="1"/>
        <v>1</v>
      </c>
      <c r="E359">
        <f ca="1"/>
        <v>102.66641065790523</v>
      </c>
      <c r="F359">
        <f ca="1"/>
        <v>1.0004027121954593</v>
      </c>
      <c r="G359">
        <f ca="1"/>
        <v>-9.7442065597179717E-3</v>
      </c>
      <c r="H359">
        <f ca="1"/>
        <v>39.444937198629198</v>
      </c>
      <c r="I359">
        <f ca="1"/>
        <v>-0.36226881768364289</v>
      </c>
      <c r="J359">
        <f ca="1"/>
        <v>2.2520979937665189</v>
      </c>
      <c r="K359">
        <f ca="1"/>
        <v>0</v>
      </c>
      <c r="L359">
        <f ca="1"/>
        <v>0</v>
      </c>
    </row>
    <row r="360" spans="2:12">
      <c r="B360">
        <v>7.0000000000000007E-2</v>
      </c>
      <c r="C360">
        <f ca="1"/>
        <v>0.12541494795204347</v>
      </c>
      <c r="D360">
        <f ca="1"/>
        <v>1</v>
      </c>
      <c r="E360">
        <f ca="1"/>
        <v>102.39656586603031</v>
      </c>
      <c r="F360">
        <f ca="1"/>
        <v>1.1913218518723017</v>
      </c>
      <c r="G360">
        <f ca="1"/>
        <v>-1.1634392636086621E-2</v>
      </c>
      <c r="H360">
        <f ca="1"/>
        <v>40.636259050501501</v>
      </c>
      <c r="I360">
        <f ca="1"/>
        <v>-0.37390321031972951</v>
      </c>
      <c r="J360">
        <f ca="1"/>
        <v>2.3498543474771338</v>
      </c>
      <c r="K360">
        <f ca="1"/>
        <v>0</v>
      </c>
      <c r="L360">
        <f ca="1"/>
        <v>0</v>
      </c>
    </row>
    <row r="361" spans="2:12">
      <c r="B361">
        <v>7.0199999999999999E-2</v>
      </c>
      <c r="C361">
        <f ca="1"/>
        <v>0.12363631922982611</v>
      </c>
      <c r="D361">
        <f ca="1"/>
        <v>1</v>
      </c>
      <c r="E361">
        <f ca="1"/>
        <v>102.35973780954288</v>
      </c>
      <c r="F361">
        <f ca="1"/>
        <v>0.15949006789127809</v>
      </c>
      <c r="G361">
        <f ca="1"/>
        <v>-1.5581328294141938E-3</v>
      </c>
      <c r="H361">
        <f ca="1"/>
        <v>40.795749118392777</v>
      </c>
      <c r="I361">
        <f ca="1"/>
        <v>-0.3754613431491437</v>
      </c>
      <c r="J361">
        <f ca="1"/>
        <v>2.363624476027617</v>
      </c>
      <c r="K361">
        <f ca="1"/>
        <v>0</v>
      </c>
      <c r="L361">
        <f ca="1"/>
        <v>0</v>
      </c>
    </row>
    <row r="362" spans="2:12">
      <c r="B362">
        <v>7.0400000000000004E-2</v>
      </c>
      <c r="C362">
        <f ca="1"/>
        <v>0.13376620637861528</v>
      </c>
      <c r="D362">
        <f ca="1"/>
        <v>1</v>
      </c>
      <c r="E362">
        <f ca="1"/>
        <v>102.56691627361327</v>
      </c>
      <c r="F362">
        <f ca="1"/>
        <v>-0.92958410372792688</v>
      </c>
      <c r="G362">
        <f ca="1"/>
        <v>9.0631963746293787E-3</v>
      </c>
      <c r="H362">
        <f ca="1"/>
        <v>39.866165014664851</v>
      </c>
      <c r="I362">
        <f ca="1"/>
        <v>-0.36639814677451432</v>
      </c>
      <c r="J362">
        <f ca="1"/>
        <v>2.2858369716361722</v>
      </c>
      <c r="K362">
        <f ca="1"/>
        <v>0</v>
      </c>
      <c r="L362">
        <f ca="1"/>
        <v>0</v>
      </c>
    </row>
    <row r="363" spans="2:12">
      <c r="B363">
        <v>7.060000000000001E-2</v>
      </c>
      <c r="C363">
        <f ca="1"/>
        <v>0.14100131429214924</v>
      </c>
      <c r="D363">
        <f ca="1"/>
        <v>1</v>
      </c>
      <c r="E363">
        <f ca="1"/>
        <v>102.71502938697594</v>
      </c>
      <c r="F363">
        <f ca="1"/>
        <v>-0.66206753715572242</v>
      </c>
      <c r="G363">
        <f ca="1"/>
        <v>6.4456734433809282E-3</v>
      </c>
      <c r="H363">
        <f ca="1"/>
        <v>39.20409747750913</v>
      </c>
      <c r="I363">
        <f ca="1"/>
        <v>-0.35995247333113339</v>
      </c>
      <c r="J363">
        <f ca="1"/>
        <v>2.2315686013870888</v>
      </c>
      <c r="K363">
        <f ca="1"/>
        <v>0</v>
      </c>
      <c r="L363">
        <f ca="1"/>
        <v>0</v>
      </c>
    </row>
    <row r="364" spans="2:12">
      <c r="B364">
        <v>7.0800000000000002E-2</v>
      </c>
      <c r="C364">
        <f ca="1"/>
        <v>0.13437279814751873</v>
      </c>
      <c r="D364">
        <f ca="1"/>
        <v>1</v>
      </c>
      <c r="E364">
        <f ca="1"/>
        <v>102.57853964627603</v>
      </c>
      <c r="F364">
        <f ca="1"/>
        <v>0.59847877546364725</v>
      </c>
      <c r="G364">
        <f ca="1"/>
        <v>-5.8343468090635286E-3</v>
      </c>
      <c r="H364">
        <f ca="1"/>
        <v>39.802576252972777</v>
      </c>
      <c r="I364">
        <f ca="1"/>
        <v>-0.36578682014019692</v>
      </c>
      <c r="J364">
        <f ca="1"/>
        <v>2.2806984211363499</v>
      </c>
      <c r="K364">
        <f ca="1"/>
        <v>0</v>
      </c>
      <c r="L364">
        <f ca="1"/>
        <v>0</v>
      </c>
    </row>
    <row r="365" spans="2:12">
      <c r="B365">
        <v>7.1000000000000008E-2</v>
      </c>
      <c r="C365">
        <f ca="1"/>
        <v>0.1228024981247236</v>
      </c>
      <c r="D365">
        <f ca="1"/>
        <v>1</v>
      </c>
      <c r="E365">
        <f ca="1"/>
        <v>102.34103182124301</v>
      </c>
      <c r="F365">
        <f ca="1"/>
        <v>1.0538035132669215</v>
      </c>
      <c r="G365">
        <f ca="1"/>
        <v>-1.0296979564438813E-2</v>
      </c>
      <c r="H365">
        <f ca="1"/>
        <v>40.856379766239698</v>
      </c>
      <c r="I365">
        <f ca="1"/>
        <v>-0.37608379970463574</v>
      </c>
      <c r="J365">
        <f ca="1"/>
        <v>2.3675756532135921</v>
      </c>
      <c r="K365">
        <f ca="1"/>
        <v>0</v>
      </c>
      <c r="L365">
        <f ca="1"/>
        <v>0</v>
      </c>
    </row>
    <row r="366" spans="2:12">
      <c r="B366">
        <v>7.1199999999999999E-2</v>
      </c>
      <c r="C366">
        <f ca="1"/>
        <v>0.12296072673735454</v>
      </c>
      <c r="D366">
        <f ca="1"/>
        <v>1</v>
      </c>
      <c r="E366">
        <f ca="1"/>
        <v>102.34386115212104</v>
      </c>
      <c r="F366">
        <f ca="1"/>
        <v>-1.7717719428768944E-2</v>
      </c>
      <c r="G366">
        <f ca="1"/>
        <v>1.7311951326942632E-4</v>
      </c>
      <c r="H366">
        <f ca="1"/>
        <v>40.838662046810931</v>
      </c>
      <c r="I366">
        <f ca="1"/>
        <v>-0.37591068019136631</v>
      </c>
      <c r="J366">
        <f ca="1"/>
        <v>2.3665115877063627</v>
      </c>
      <c r="K366">
        <f ca="1"/>
        <v>0</v>
      </c>
      <c r="L366">
        <f ca="1"/>
        <v>0</v>
      </c>
    </row>
    <row r="367" spans="2:12">
      <c r="B367">
        <v>7.1400000000000005E-2</v>
      </c>
      <c r="C367">
        <f ca="1"/>
        <v>0.10381507321453587</v>
      </c>
      <c r="D367">
        <f ca="1"/>
        <v>1</v>
      </c>
      <c r="E367">
        <f ca="1"/>
        <v>101.95231465936945</v>
      </c>
      <c r="F367">
        <f ca="1"/>
        <v>1.7615322581298494</v>
      </c>
      <c r="G367">
        <f ca="1"/>
        <v>-1.7278001622771044E-2</v>
      </c>
      <c r="H367">
        <f ca="1"/>
        <v>42.600194304940779</v>
      </c>
      <c r="I367">
        <f ca="1"/>
        <v>-0.39318868181413735</v>
      </c>
      <c r="J367">
        <f ca="1"/>
        <v>2.5136980961231501</v>
      </c>
      <c r="K367">
        <f ca="1"/>
        <v>0</v>
      </c>
      <c r="L367">
        <f ca="1"/>
        <v>0</v>
      </c>
    </row>
    <row r="368" spans="2:12">
      <c r="B368">
        <v>7.1599999999999997E-2</v>
      </c>
      <c r="C368">
        <f ca="1"/>
        <v>0.11025196554860593</v>
      </c>
      <c r="D368">
        <f ca="1"/>
        <v>1</v>
      </c>
      <c r="E368">
        <f ca="1"/>
        <v>102.08324206137891</v>
      </c>
      <c r="F368">
        <f ca="1"/>
        <v>-0.59924311808485831</v>
      </c>
      <c r="G368">
        <f ca="1"/>
        <v>5.8701419154042478E-3</v>
      </c>
      <c r="H368">
        <f ca="1"/>
        <v>42.000951186855922</v>
      </c>
      <c r="I368">
        <f ca="1"/>
        <v>-0.38731853989873311</v>
      </c>
      <c r="J368">
        <f ca="1"/>
        <v>2.4622189235137029</v>
      </c>
      <c r="K368">
        <f ca="1"/>
        <v>0</v>
      </c>
      <c r="L368">
        <f ca="1"/>
        <v>0</v>
      </c>
    </row>
    <row r="369" spans="2:12">
      <c r="B369">
        <v>7.1800000000000003E-2</v>
      </c>
      <c r="C369">
        <f ca="1"/>
        <v>7.9215680372138789E-2</v>
      </c>
      <c r="D369">
        <f ca="1"/>
        <v>1</v>
      </c>
      <c r="E369">
        <f ca="1"/>
        <v>101.45114190639258</v>
      </c>
      <c r="F369">
        <f ca="1"/>
        <v>2.8812118858480837</v>
      </c>
      <c r="G369">
        <f ca="1"/>
        <v>-2.8399994634920267E-2</v>
      </c>
      <c r="H369">
        <f ca="1"/>
        <v>44.882163072704003</v>
      </c>
      <c r="I369">
        <f ca="1"/>
        <v>-0.41571853453365337</v>
      </c>
      <c r="J369">
        <f ca="1"/>
        <v>2.7070430326127735</v>
      </c>
      <c r="K369">
        <f ca="1"/>
        <v>0</v>
      </c>
      <c r="L369">
        <f ca="1"/>
        <v>0</v>
      </c>
    </row>
    <row r="370" spans="2:12">
      <c r="B370">
        <v>7.2000000000000008E-2</v>
      </c>
      <c r="C370">
        <f ca="1"/>
        <v>8.29261829220104E-2</v>
      </c>
      <c r="D370">
        <f ca="1"/>
        <v>1</v>
      </c>
      <c r="E370">
        <f ca="1"/>
        <v>101.52605068767517</v>
      </c>
      <c r="F370">
        <f ca="1"/>
        <v>-0.34888186875180777</v>
      </c>
      <c r="G370">
        <f ca="1"/>
        <v>3.4363778201623729E-3</v>
      </c>
      <c r="H370">
        <f ca="1"/>
        <v>44.533281203952193</v>
      </c>
      <c r="I370">
        <f ca="1"/>
        <v>-0.412282156713491</v>
      </c>
      <c r="J370">
        <f ca="1"/>
        <v>2.6759020638342719</v>
      </c>
      <c r="K370">
        <f ca="1"/>
        <v>0</v>
      </c>
      <c r="L370">
        <f ca="1"/>
        <v>0</v>
      </c>
    </row>
    <row r="371" spans="2:12">
      <c r="B371">
        <v>7.22E-2</v>
      </c>
      <c r="C371">
        <f ca="1"/>
        <v>8.4293375040183596E-2</v>
      </c>
      <c r="D371">
        <f ca="1"/>
        <v>1</v>
      </c>
      <c r="E371">
        <f ca="1"/>
        <v>101.55340939230793</v>
      </c>
      <c r="F371">
        <f ca="1"/>
        <v>-0.12930336599403069</v>
      </c>
      <c r="G371">
        <f ca="1"/>
        <v>1.2732548002846733E-3</v>
      </c>
      <c r="H371">
        <f ca="1"/>
        <v>44.403977837958159</v>
      </c>
      <c r="I371">
        <f ca="1"/>
        <v>-0.41100890191320633</v>
      </c>
      <c r="J371">
        <f ca="1"/>
        <v>2.6646225580833871</v>
      </c>
      <c r="K371">
        <f ca="1"/>
        <v>0</v>
      </c>
      <c r="L371">
        <f ca="1"/>
        <v>0</v>
      </c>
    </row>
    <row r="372" spans="2:12">
      <c r="B372">
        <v>7.2400000000000006E-2</v>
      </c>
      <c r="C372">
        <f ca="1"/>
        <v>6.5225193097311299E-2</v>
      </c>
      <c r="D372">
        <f ca="1"/>
        <v>1</v>
      </c>
      <c r="E372">
        <f ca="1"/>
        <v>101.16645449773898</v>
      </c>
      <c r="F372">
        <f ca="1"/>
        <v>1.787737986214734</v>
      </c>
      <c r="G372">
        <f ca="1"/>
        <v>-1.7671252739757615E-2</v>
      </c>
      <c r="H372">
        <f ca="1"/>
        <v>46.191715824172896</v>
      </c>
      <c r="I372">
        <f ca="1"/>
        <v>-0.42868015465296394</v>
      </c>
      <c r="J372">
        <f ca="1"/>
        <v>2.8236644643901059</v>
      </c>
      <c r="K372">
        <f ca="1"/>
        <v>0</v>
      </c>
      <c r="L372">
        <f ca="1"/>
        <v>0</v>
      </c>
    </row>
    <row r="373" spans="2:12">
      <c r="B373">
        <v>7.2599999999999998E-2</v>
      </c>
      <c r="C373">
        <f ca="1"/>
        <v>7.407939651954118E-2</v>
      </c>
      <c r="D373">
        <f ca="1"/>
        <v>1</v>
      </c>
      <c r="E373">
        <f ca="1"/>
        <v>101.34535750546254</v>
      </c>
      <c r="F373">
        <f ca="1"/>
        <v>-0.83492948905910958</v>
      </c>
      <c r="G373">
        <f ca="1"/>
        <v>8.2384581751966945E-3</v>
      </c>
      <c r="H373">
        <f ca="1"/>
        <v>45.356786335113789</v>
      </c>
      <c r="I373">
        <f ca="1"/>
        <v>-0.42044169647776725</v>
      </c>
      <c r="J373">
        <f ca="1"/>
        <v>2.7469722953712932</v>
      </c>
      <c r="K373">
        <f ca="1"/>
        <v>0</v>
      </c>
      <c r="L373">
        <f ca="1"/>
        <v>0</v>
      </c>
    </row>
    <row r="374" spans="2:12">
      <c r="B374">
        <v>7.2800000000000004E-2</v>
      </c>
      <c r="C374">
        <f ca="1"/>
        <v>5.6882515243671272E-2</v>
      </c>
      <c r="D374">
        <f ca="1"/>
        <v>1</v>
      </c>
      <c r="E374">
        <f ca="1"/>
        <v>100.99698743668148</v>
      </c>
      <c r="F374">
        <f ca="1"/>
        <v>1.6186407150614834</v>
      </c>
      <c r="G374">
        <f ca="1"/>
        <v>-1.6026623725546918E-2</v>
      </c>
      <c r="H374">
        <f ca="1"/>
        <v>46.97542705017527</v>
      </c>
      <c r="I374">
        <f ca="1"/>
        <v>-0.43646832020331416</v>
      </c>
      <c r="J374">
        <f ca="1"/>
        <v>2.8934415980916768</v>
      </c>
      <c r="K374">
        <f ca="1"/>
        <v>0</v>
      </c>
      <c r="L374">
        <f ca="1"/>
        <v>0</v>
      </c>
    </row>
    <row r="375" spans="2:12">
      <c r="B375">
        <v>7.3000000000000009E-2</v>
      </c>
      <c r="C375">
        <f ca="1"/>
        <v>3.8465283343895221E-2</v>
      </c>
      <c r="D375">
        <f ca="1"/>
        <v>1</v>
      </c>
      <c r="E375">
        <f ca="1"/>
        <v>100.62525225895433</v>
      </c>
      <c r="F375">
        <f ca="1"/>
        <v>1.7407249086739454</v>
      </c>
      <c r="G375">
        <f ca="1"/>
        <v>-1.7299086159747179E-2</v>
      </c>
      <c r="H375">
        <f ca="1"/>
        <v>48.716151958849217</v>
      </c>
      <c r="I375">
        <f ca="1"/>
        <v>-0.45376740636306134</v>
      </c>
      <c r="J375">
        <f ca="1"/>
        <v>3.0556922266747293</v>
      </c>
      <c r="K375">
        <f ca="1"/>
        <v>0</v>
      </c>
      <c r="L375">
        <f ca="1"/>
        <v>0</v>
      </c>
    </row>
    <row r="376" spans="2:12">
      <c r="B376">
        <v>7.3200000000000001E-2</v>
      </c>
      <c r="C376">
        <f ca="1"/>
        <v>1.2555106172769052E-2</v>
      </c>
      <c r="D376">
        <f ca="1"/>
        <v>1</v>
      </c>
      <c r="E376">
        <f ca="1"/>
        <v>100.10475695526368</v>
      </c>
      <c r="F376">
        <f ca="1"/>
        <v>2.4527453015232714</v>
      </c>
      <c r="G376">
        <f ca="1"/>
        <v>-2.4501785690558053E-2</v>
      </c>
      <c r="H376">
        <f ca="1"/>
        <v>51.168897260372489</v>
      </c>
      <c r="I376">
        <f ca="1"/>
        <v>-0.4782691920536194</v>
      </c>
      <c r="J376">
        <f ca="1"/>
        <v>3.291876030654592</v>
      </c>
      <c r="K376">
        <f ca="1"/>
        <v>0</v>
      </c>
      <c r="L376">
        <f ca="1"/>
        <v>0</v>
      </c>
    </row>
    <row r="377" spans="2:12">
      <c r="B377">
        <v>7.3400000000000007E-2</v>
      </c>
      <c r="C377">
        <f ca="1"/>
        <v>6.053524913982815E-3</v>
      </c>
      <c r="D377">
        <f ca="1"/>
        <v>1</v>
      </c>
      <c r="E377">
        <f ca="1"/>
        <v>99.974273808032095</v>
      </c>
      <c r="F377">
        <f ca="1"/>
        <v>0.61893578141208005</v>
      </c>
      <c r="G377">
        <f ca="1"/>
        <v>-6.1909505099336237E-3</v>
      </c>
      <c r="H377">
        <f ca="1"/>
        <v>51.787833041784566</v>
      </c>
      <c r="I377">
        <f ca="1"/>
        <v>-0.48446014256355302</v>
      </c>
      <c r="J377">
        <f ca="1"/>
        <v>3.3542821000576524</v>
      </c>
      <c r="K377">
        <f ca="1"/>
        <v>0</v>
      </c>
      <c r="L377">
        <f ca="1"/>
        <v>2.5726191967905265E-2</v>
      </c>
    </row>
    <row r="378" spans="2:12">
      <c r="B378">
        <v>7.3599999999999999E-2</v>
      </c>
      <c r="C378">
        <f ca="1"/>
        <v>1.5088446413002291E-2</v>
      </c>
      <c r="D378">
        <f ca="1"/>
        <v>1</v>
      </c>
      <c r="E378">
        <f ca="1"/>
        <v>100.15468844759997</v>
      </c>
      <c r="F378">
        <f ca="1"/>
        <v>-0.85552500358982264</v>
      </c>
      <c r="G378">
        <f ca="1"/>
        <v>8.5420364922549341E-3</v>
      </c>
      <c r="H378">
        <f ca="1"/>
        <v>50.932308038194741</v>
      </c>
      <c r="I378">
        <f ca="1"/>
        <v>-0.47591810607129809</v>
      </c>
      <c r="J378">
        <f ca="1"/>
        <v>3.2668783980520502</v>
      </c>
      <c r="K378">
        <f ca="1"/>
        <v>0</v>
      </c>
      <c r="L378">
        <f ca="1"/>
        <v>0</v>
      </c>
    </row>
    <row r="379" spans="2:12">
      <c r="B379">
        <v>7.3800000000000004E-2</v>
      </c>
      <c r="C379">
        <f ca="1"/>
        <v>9.6437682282236419E-3</v>
      </c>
      <c r="D379">
        <f ca="1"/>
        <v>1</v>
      </c>
      <c r="E379">
        <f ca="1"/>
        <v>100.04528561540462</v>
      </c>
      <c r="F379">
        <f ca="1"/>
        <v>0.5193746503704868</v>
      </c>
      <c r="G379">
        <f ca="1"/>
        <v>-5.1913955482827401E-3</v>
      </c>
      <c r="H379">
        <f ca="1"/>
        <v>51.451682688565228</v>
      </c>
      <c r="I379">
        <f ca="1"/>
        <v>-0.48110950161958083</v>
      </c>
      <c r="J379">
        <f ca="1"/>
        <v>3.3189451867492892</v>
      </c>
      <c r="K379">
        <f ca="1"/>
        <v>0</v>
      </c>
      <c r="L379">
        <f ca="1"/>
        <v>0</v>
      </c>
    </row>
    <row r="380" spans="2:12">
      <c r="B380">
        <v>7.400000000000001E-2</v>
      </c>
      <c r="C380">
        <f ca="1"/>
        <v>6.5443798343146568E-3</v>
      </c>
      <c r="D380">
        <f ca="1"/>
        <v>1</v>
      </c>
      <c r="E380">
        <f ca="1"/>
        <v>99.982889060774511</v>
      </c>
      <c r="F380">
        <f ca="1"/>
        <v>0.2971293348502394</v>
      </c>
      <c r="G380">
        <f ca="1"/>
        <v>-2.9718018517111422E-3</v>
      </c>
      <c r="H380">
        <f ca="1"/>
        <v>51.748812023415468</v>
      </c>
      <c r="I380">
        <f ca="1"/>
        <v>-0.48408130347129197</v>
      </c>
      <c r="J380">
        <f ca="1"/>
        <v>3.3489647620501657</v>
      </c>
      <c r="K380">
        <f ca="1"/>
        <v>0</v>
      </c>
      <c r="L380">
        <f ca="1"/>
        <v>1.7110939225489119E-2</v>
      </c>
    </row>
    <row r="381" spans="2:12">
      <c r="B381">
        <v>7.4200000000000002E-2</v>
      </c>
      <c r="C381">
        <f ca="1"/>
        <v>5.6321377234107546E-3</v>
      </c>
      <c r="D381">
        <f ca="1"/>
        <v>1</v>
      </c>
      <c r="E381">
        <f ca="1"/>
        <v>99.964249146609347</v>
      </c>
      <c r="F381">
        <f ca="1"/>
        <v>8.9599134841572031E-2</v>
      </c>
      <c r="G381">
        <f ca="1"/>
        <v>-8.9631178752880292E-4</v>
      </c>
      <c r="H381">
        <f ca="1"/>
        <v>51.838411158257038</v>
      </c>
      <c r="I381">
        <f ca="1"/>
        <v>-0.48497761525882077</v>
      </c>
      <c r="J381">
        <f ca="1"/>
        <v>3.3579879959958276</v>
      </c>
      <c r="K381">
        <f ca="1"/>
        <v>0</v>
      </c>
      <c r="L381">
        <f ca="1"/>
        <v>3.5750853390652537E-2</v>
      </c>
    </row>
    <row r="382" spans="2:12">
      <c r="B382">
        <v>7.4400000000000008E-2</v>
      </c>
      <c r="C382">
        <f ca="1"/>
        <v>4.5453599013209499E-3</v>
      </c>
      <c r="D382">
        <f ca="1"/>
        <v>1</v>
      </c>
      <c r="E382">
        <f ca="1"/>
        <v>99.942123952675615</v>
      </c>
      <c r="F382">
        <f ca="1"/>
        <v>0.10628469589437389</v>
      </c>
      <c r="G382">
        <f ca="1"/>
        <v>-1.0634624489739841E-3</v>
      </c>
      <c r="H382">
        <f ca="1"/>
        <v>51.944695854151412</v>
      </c>
      <c r="I382">
        <f ca="1"/>
        <v>-0.48604107770779476</v>
      </c>
      <c r="J382">
        <f ca="1"/>
        <v>3.368718219786949</v>
      </c>
      <c r="K382">
        <f ca="1"/>
        <v>0</v>
      </c>
      <c r="L382">
        <f ca="1"/>
        <v>5.7876047324384672E-2</v>
      </c>
    </row>
    <row r="383" spans="2:12">
      <c r="B383">
        <v>7.46E-2</v>
      </c>
      <c r="C383">
        <f ca="1"/>
        <v>-1.2561738570791856E-3</v>
      </c>
      <c r="D383">
        <f ca="1"/>
        <v>1</v>
      </c>
      <c r="E383">
        <f ca="1"/>
        <v>99.825828377979306</v>
      </c>
      <c r="F383">
        <f ca="1"/>
        <v>0.55445895986850025</v>
      </c>
      <c r="G383">
        <f ca="1"/>
        <v>-5.5542635496006465E-3</v>
      </c>
      <c r="H383">
        <f ca="1"/>
        <v>52.49915481401991</v>
      </c>
      <c r="I383">
        <f ca="1"/>
        <v>-0.4915953412573954</v>
      </c>
      <c r="J383">
        <f ca="1"/>
        <v>3.425242646244989</v>
      </c>
      <c r="K383">
        <f ca="1"/>
        <v>0</v>
      </c>
      <c r="L383">
        <f ca="1"/>
        <v>0.17417162202069392</v>
      </c>
    </row>
    <row r="384" spans="2:12">
      <c r="B384">
        <v>7.4800000000000005E-2</v>
      </c>
      <c r="C384">
        <f ca="1"/>
        <v>4.7354260922233427E-3</v>
      </c>
      <c r="D384">
        <f ca="1"/>
        <v>1</v>
      </c>
      <c r="E384">
        <f ca="1"/>
        <v>99.945123584460177</v>
      </c>
      <c r="F384">
        <f ca="1"/>
        <v>-0.56719088764026004</v>
      </c>
      <c r="G384">
        <f ca="1"/>
        <v>5.6750231256750272E-3</v>
      </c>
      <c r="H384">
        <f ca="1"/>
        <v>51.931963926379652</v>
      </c>
      <c r="I384">
        <f ca="1"/>
        <v>-0.48592031813172037</v>
      </c>
      <c r="J384">
        <f ca="1"/>
        <v>3.3665976785046539</v>
      </c>
      <c r="K384">
        <f ca="1"/>
        <v>0</v>
      </c>
      <c r="L384">
        <f ca="1"/>
        <v>5.4876415539823142E-2</v>
      </c>
    </row>
    <row r="385" spans="2:12">
      <c r="B385">
        <v>7.4999999999999997E-2</v>
      </c>
      <c r="C385">
        <f ca="1"/>
        <v>2.059564357929664E-3</v>
      </c>
      <c r="D385">
        <f ca="1"/>
        <v>1</v>
      </c>
      <c r="E385">
        <f ca="1"/>
        <v>99.891250462374003</v>
      </c>
      <c r="F385">
        <f ca="1"/>
        <v>0.25778109265231558</v>
      </c>
      <c r="G385">
        <f ca="1"/>
        <v>-2.5806173359438911E-3</v>
      </c>
      <c r="H385">
        <f ca="1"/>
        <v>52.189745019031967</v>
      </c>
      <c r="I385">
        <f ca="1"/>
        <v>-0.48850093546766427</v>
      </c>
      <c r="J385">
        <f ca="1"/>
        <v>3.3927757231275137</v>
      </c>
      <c r="K385">
        <f ca="1"/>
        <v>0</v>
      </c>
      <c r="L385">
        <f ca="1"/>
        <v>0.1087495376259966</v>
      </c>
    </row>
    <row r="386" spans="2:12">
      <c r="B386">
        <v>7.5200000000000003E-2</v>
      </c>
      <c r="C386">
        <f ca="1"/>
        <v>2.0359485156161747E-2</v>
      </c>
      <c r="D386">
        <f ca="1"/>
        <v>1</v>
      </c>
      <c r="E386">
        <f ca="1"/>
        <v>100.25711969027861</v>
      </c>
      <c r="F386">
        <f ca="1"/>
        <v>-1.7451201728695431</v>
      </c>
      <c r="G386">
        <f ca="1"/>
        <v>1.7406446327808855E-2</v>
      </c>
      <c r="H386">
        <f ca="1"/>
        <v>50.444624846162426</v>
      </c>
      <c r="I386">
        <f ca="1"/>
        <v>-0.47109448913985541</v>
      </c>
      <c r="J386">
        <f ca="1"/>
        <v>3.2140482630372844</v>
      </c>
      <c r="K386">
        <f ca="1"/>
        <v>0</v>
      </c>
      <c r="L386">
        <f ca="1"/>
        <v>0</v>
      </c>
    </row>
    <row r="387" spans="2:12">
      <c r="B387">
        <v>7.5400000000000009E-2</v>
      </c>
      <c r="C387">
        <f ca="1"/>
        <v>1.3442270198663002E-2</v>
      </c>
      <c r="D387">
        <f ca="1"/>
        <v>1</v>
      </c>
      <c r="E387">
        <f ca="1"/>
        <v>100.11811510498383</v>
      </c>
      <c r="F387">
        <f ca="1"/>
        <v>0.66198970411699509</v>
      </c>
      <c r="G387">
        <f ca="1"/>
        <v>-6.6120871674704706E-3</v>
      </c>
      <c r="H387">
        <f ca="1"/>
        <v>51.106614550279424</v>
      </c>
      <c r="I387">
        <f ca="1"/>
        <v>-0.47770657630732588</v>
      </c>
      <c r="J387">
        <f ca="1"/>
        <v>3.2795325571348286</v>
      </c>
      <c r="K387">
        <f ca="1"/>
        <v>0</v>
      </c>
      <c r="L387">
        <f ca="1"/>
        <v>0</v>
      </c>
    </row>
    <row r="388" spans="2:12">
      <c r="B388">
        <v>7.5600000000000001E-2</v>
      </c>
      <c r="C388">
        <f ca="1"/>
        <v>2.6558034682396113E-2</v>
      </c>
      <c r="D388">
        <f ca="1"/>
        <v>1</v>
      </c>
      <c r="E388">
        <f ca="1"/>
        <v>100.38068345941018</v>
      </c>
      <c r="F388">
        <f ca="1"/>
        <v>-1.2518953845227496</v>
      </c>
      <c r="G388">
        <f ca="1"/>
        <v>1.2471476995162767E-2</v>
      </c>
      <c r="H388">
        <f ca="1"/>
        <v>49.854719165756677</v>
      </c>
      <c r="I388">
        <f ca="1"/>
        <v>-0.46523509931216311</v>
      </c>
      <c r="J388">
        <f ca="1"/>
        <v>3.1541019274951765</v>
      </c>
      <c r="K388">
        <f ca="1"/>
        <v>0</v>
      </c>
      <c r="L388">
        <f ca="1"/>
        <v>0</v>
      </c>
    </row>
    <row r="389" spans="2:12">
      <c r="B389">
        <v>7.5800000000000006E-2</v>
      </c>
      <c r="C389">
        <f ca="1"/>
        <v>4.83411190835909E-2</v>
      </c>
      <c r="D389">
        <f ca="1"/>
        <v>1</v>
      </c>
      <c r="E389">
        <f ca="1"/>
        <v>100.81855436754013</v>
      </c>
      <c r="F389">
        <f ca="1"/>
        <v>-2.0836631502939915</v>
      </c>
      <c r="G389">
        <f ca="1"/>
        <v>2.0667457129943279E-2</v>
      </c>
      <c r="H389">
        <f ca="1"/>
        <v>47.771056015462683</v>
      </c>
      <c r="I389">
        <f ca="1"/>
        <v>-0.44456764218221984</v>
      </c>
      <c r="J389">
        <f ca="1"/>
        <v>2.950389012065429</v>
      </c>
      <c r="K389">
        <f ca="1"/>
        <v>0</v>
      </c>
      <c r="L389">
        <f ca="1"/>
        <v>0</v>
      </c>
    </row>
    <row r="390" spans="2:12">
      <c r="B390">
        <v>7.5999999999999998E-2</v>
      </c>
      <c r="C390">
        <f ca="1"/>
        <v>6.3880684871136365E-2</v>
      </c>
      <c r="D390">
        <f ca="1"/>
        <v>1</v>
      </c>
      <c r="E390">
        <f ca="1"/>
        <v>101.13197256476589</v>
      </c>
      <c r="F390">
        <f ca="1"/>
        <v>-1.4836519725678878</v>
      </c>
      <c r="G390">
        <f ca="1"/>
        <v>1.4670454208907502E-2</v>
      </c>
      <c r="H390">
        <f ca="1"/>
        <v>46.287404042894792</v>
      </c>
      <c r="I390">
        <f ca="1"/>
        <v>-0.42989718797331233</v>
      </c>
      <c r="J390">
        <f ca="1"/>
        <v>2.8110534231077651</v>
      </c>
      <c r="K390">
        <f ca="1"/>
        <v>0</v>
      </c>
      <c r="L390">
        <f ca="1"/>
        <v>0</v>
      </c>
    </row>
    <row r="391" spans="2:12">
      <c r="B391">
        <v>7.6200000000000004E-2</v>
      </c>
      <c r="C391">
        <f ca="1"/>
        <v>5.8356761979287186E-2</v>
      </c>
      <c r="D391">
        <f ca="1"/>
        <v>1</v>
      </c>
      <c r="E391">
        <f ca="1"/>
        <v>101.01990113622352</v>
      </c>
      <c r="F391">
        <f ca="1"/>
        <v>0.52610775282212152</v>
      </c>
      <c r="G391">
        <f ca="1"/>
        <v>-5.207961470014455E-3</v>
      </c>
      <c r="H391">
        <f ca="1"/>
        <v>46.813511795716913</v>
      </c>
      <c r="I391">
        <f ca="1"/>
        <v>-0.43510514944332679</v>
      </c>
      <c r="J391">
        <f ca="1"/>
        <v>2.8592326150902778</v>
      </c>
      <c r="K391">
        <f ca="1"/>
        <v>0</v>
      </c>
      <c r="L391">
        <f ca="1"/>
        <v>0</v>
      </c>
    </row>
    <row r="392" spans="2:12">
      <c r="B392">
        <v>7.640000000000001E-2</v>
      </c>
      <c r="C392">
        <f ca="1"/>
        <v>6.559591900348774E-2</v>
      </c>
      <c r="D392">
        <f ca="1"/>
        <v>1</v>
      </c>
      <c r="E392">
        <f ca="1"/>
        <v>101.16586218821678</v>
      </c>
      <c r="F392">
        <f ca="1"/>
        <v>-0.69083485198646599</v>
      </c>
      <c r="G392">
        <f ca="1"/>
        <v>6.828734881942522E-3</v>
      </c>
      <c r="H392">
        <f ca="1"/>
        <v>46.122676943730447</v>
      </c>
      <c r="I392">
        <f ca="1"/>
        <v>-0.42827641456138427</v>
      </c>
      <c r="J392">
        <f ca="1"/>
        <v>2.7957242097498494</v>
      </c>
      <c r="K392">
        <f ca="1"/>
        <v>0</v>
      </c>
      <c r="L392">
        <f ca="1"/>
        <v>0</v>
      </c>
    </row>
    <row r="393" spans="2:12">
      <c r="B393">
        <v>7.6600000000000001E-2</v>
      </c>
      <c r="C393">
        <f ca="1"/>
        <v>5.1044653293587372E-2</v>
      </c>
      <c r="D393">
        <f ca="1"/>
        <v>1</v>
      </c>
      <c r="E393">
        <f ca="1"/>
        <v>100.87146843378953</v>
      </c>
      <c r="F393">
        <f ca="1"/>
        <v>1.3872073413467563</v>
      </c>
      <c r="G393">
        <f ca="1"/>
        <v>-1.3752227095388203E-2</v>
      </c>
      <c r="H393">
        <f ca="1"/>
        <v>47.509884285077206</v>
      </c>
      <c r="I393">
        <f ca="1"/>
        <v>-0.44202864165677247</v>
      </c>
      <c r="J393">
        <f ca="1"/>
        <v>2.9218061113652212</v>
      </c>
      <c r="K393">
        <f ca="1"/>
        <v>0</v>
      </c>
      <c r="L393">
        <f ca="1"/>
        <v>0</v>
      </c>
    </row>
    <row r="394" spans="2:12">
      <c r="B394">
        <v>7.6800000000000007E-2</v>
      </c>
      <c r="C394">
        <f ca="1"/>
        <v>3.2729837867999448E-2</v>
      </c>
      <c r="D394">
        <f ca="1"/>
        <v>1</v>
      </c>
      <c r="E394">
        <f ca="1"/>
        <v>100.5022538445597</v>
      </c>
      <c r="F394">
        <f ca="1"/>
        <v>1.7513329305596108</v>
      </c>
      <c r="G394">
        <f ca="1"/>
        <v>-1.742580751739442E-2</v>
      </c>
      <c r="H394">
        <f ca="1"/>
        <v>49.261217215636819</v>
      </c>
      <c r="I394">
        <f ca="1"/>
        <v>-0.45945444917416689</v>
      </c>
      <c r="J394">
        <f ca="1"/>
        <v>3.0850095347223458</v>
      </c>
      <c r="K394">
        <f ca="1"/>
        <v>0</v>
      </c>
      <c r="L394">
        <f ca="1"/>
        <v>0</v>
      </c>
    </row>
    <row r="395" spans="2:12">
      <c r="B395">
        <v>7.6999999999999999E-2</v>
      </c>
      <c r="C395">
        <f ca="1"/>
        <v>4.2522067086052655E-2</v>
      </c>
      <c r="D395">
        <f ca="1"/>
        <v>1</v>
      </c>
      <c r="E395">
        <f ca="1"/>
        <v>100.69887213417132</v>
      </c>
      <c r="F395">
        <f ca="1"/>
        <v>-0.93819617028547264</v>
      </c>
      <c r="G395">
        <f ca="1"/>
        <v>9.3168488425115492E-3</v>
      </c>
      <c r="H395">
        <f ca="1"/>
        <v>48.323021045351346</v>
      </c>
      <c r="I395">
        <f ca="1"/>
        <v>-0.45013760033165534</v>
      </c>
      <c r="J395">
        <f ca="1"/>
        <v>2.9946723867712706</v>
      </c>
      <c r="K395">
        <f ca="1"/>
        <v>0</v>
      </c>
      <c r="L395">
        <f ca="1"/>
        <v>0</v>
      </c>
    </row>
    <row r="396" spans="2:12">
      <c r="B396">
        <v>7.7200000000000005E-2</v>
      </c>
      <c r="C396">
        <f ca="1"/>
        <v>4.485317869378537E-2</v>
      </c>
      <c r="D396">
        <f ca="1"/>
        <v>1</v>
      </c>
      <c r="E396">
        <f ca="1"/>
        <v>100.74542815941443</v>
      </c>
      <c r="F396">
        <f ca="1"/>
        <v>-0.2225978874383153</v>
      </c>
      <c r="G396">
        <f ca="1"/>
        <v>2.2095085752783516E-3</v>
      </c>
      <c r="H396">
        <f ca="1"/>
        <v>48.100423157913028</v>
      </c>
      <c r="I396">
        <f ca="1"/>
        <v>-0.44792809175637699</v>
      </c>
      <c r="J396">
        <f ca="1"/>
        <v>2.9737157692873524</v>
      </c>
      <c r="K396">
        <f ca="1"/>
        <v>0</v>
      </c>
      <c r="L396">
        <f ca="1"/>
        <v>0</v>
      </c>
    </row>
    <row r="397" spans="2:12">
      <c r="B397">
        <v>7.740000000000001E-2</v>
      </c>
      <c r="C397">
        <f ca="1"/>
        <v>2.0487461653447545E-2</v>
      </c>
      <c r="D397">
        <f ca="1"/>
        <v>1</v>
      </c>
      <c r="E397">
        <f ca="1"/>
        <v>100.25527450499352</v>
      </c>
      <c r="F397">
        <f ca="1"/>
        <v>2.334135564083371</v>
      </c>
      <c r="G397">
        <f ca="1"/>
        <v>-2.3281922827582624E-2</v>
      </c>
      <c r="H397">
        <f ca="1"/>
        <v>50.434558721996396</v>
      </c>
      <c r="I397">
        <f ca="1"/>
        <v>-0.47121001458395961</v>
      </c>
      <c r="J397">
        <f ca="1"/>
        <v>3.1932693603795244</v>
      </c>
      <c r="K397">
        <f ca="1"/>
        <v>0</v>
      </c>
      <c r="L397">
        <f ca="1"/>
        <v>0</v>
      </c>
    </row>
    <row r="398" spans="2:12">
      <c r="B398">
        <v>7.7600000000000002E-2</v>
      </c>
      <c r="C398">
        <f ca="1"/>
        <v>2.8760031349442827E-2</v>
      </c>
      <c r="D398">
        <f ca="1"/>
        <v>1</v>
      </c>
      <c r="E398">
        <f ca="1"/>
        <v>100.42088386572539</v>
      </c>
      <c r="F398">
        <f ca="1"/>
        <v>-0.79331254277539831</v>
      </c>
      <c r="G398">
        <f ca="1"/>
        <v>7.899876123736882E-3</v>
      </c>
      <c r="H398">
        <f ca="1"/>
        <v>49.641246179221</v>
      </c>
      <c r="I398">
        <f ca="1"/>
        <v>-0.46331013846022273</v>
      </c>
      <c r="J398">
        <f ca="1"/>
        <v>3.1152325710938271</v>
      </c>
      <c r="K398">
        <f ca="1"/>
        <v>0</v>
      </c>
      <c r="L398">
        <f ca="1"/>
        <v>0</v>
      </c>
    </row>
    <row r="399" spans="2:12">
      <c r="B399">
        <v>7.7800000000000008E-2</v>
      </c>
      <c r="C399">
        <f ca="1"/>
        <v>1.3140588053615232E-2</v>
      </c>
      <c r="D399">
        <f ca="1"/>
        <v>1</v>
      </c>
      <c r="E399">
        <f ca="1"/>
        <v>100.10726925342522</v>
      </c>
      <c r="F399">
        <f ca="1"/>
        <v>1.5008205589131467</v>
      </c>
      <c r="G399">
        <f ca="1"/>
        <v>-1.4992123650019507E-2</v>
      </c>
      <c r="H399">
        <f ca="1"/>
        <v>51.142066738134147</v>
      </c>
      <c r="I399">
        <f ca="1"/>
        <v>-0.47830226211024224</v>
      </c>
      <c r="J399">
        <f ca="1"/>
        <v>3.2605334005417674</v>
      </c>
      <c r="K399">
        <f ca="1"/>
        <v>0</v>
      </c>
      <c r="L399">
        <f ca="1"/>
        <v>0</v>
      </c>
    </row>
    <row r="400" spans="2:12">
      <c r="B400">
        <v>7.8E-2</v>
      </c>
      <c r="C400">
        <f ca="1"/>
        <v>3.4722079309658566E-2</v>
      </c>
      <c r="D400">
        <f ca="1"/>
        <v>1</v>
      </c>
      <c r="E400">
        <f ca="1"/>
        <v>100.53989378815172</v>
      </c>
      <c r="F400">
        <f ca="1"/>
        <v>-2.0776486711537174</v>
      </c>
      <c r="G400">
        <f ca="1"/>
        <v>2.0664918102375807E-2</v>
      </c>
      <c r="H400">
        <f ca="1"/>
        <v>49.06441806698043</v>
      </c>
      <c r="I400">
        <f ca="1"/>
        <v>-0.45763734400786643</v>
      </c>
      <c r="J400">
        <f ca="1"/>
        <v>3.0536081069376877</v>
      </c>
      <c r="K400">
        <f ca="1"/>
        <v>0</v>
      </c>
      <c r="L400">
        <f ca="1"/>
        <v>0</v>
      </c>
    </row>
    <row r="401" spans="2:12">
      <c r="B401">
        <v>7.8200000000000006E-2</v>
      </c>
      <c r="C401">
        <f ca="1"/>
        <v>2.7952908572324978E-2</v>
      </c>
      <c r="D401">
        <f ca="1"/>
        <v>1</v>
      </c>
      <c r="E401">
        <f ca="1"/>
        <v>100.40346992863152</v>
      </c>
      <c r="F401">
        <f ca="1"/>
        <v>0.65238314063230929</v>
      </c>
      <c r="G401">
        <f ca="1"/>
        <v>-6.4976154817760201E-3</v>
      </c>
      <c r="H401">
        <f ca="1"/>
        <v>49.71680120761274</v>
      </c>
      <c r="I401">
        <f ca="1"/>
        <v>-0.46413495948964245</v>
      </c>
      <c r="J401">
        <f ca="1"/>
        <v>3.1160407596678112</v>
      </c>
      <c r="K401">
        <f ca="1"/>
        <v>0</v>
      </c>
      <c r="L401">
        <f ca="1"/>
        <v>0</v>
      </c>
    </row>
    <row r="402" spans="2:12">
      <c r="B402">
        <v>7.8399999999999997E-2</v>
      </c>
      <c r="C402">
        <f ca="1"/>
        <v>4.5025972698128414E-2</v>
      </c>
      <c r="D402">
        <f ca="1"/>
        <v>1</v>
      </c>
      <c r="E402">
        <f ca="1"/>
        <v>100.74649191594477</v>
      </c>
      <c r="F402">
        <f ca="1"/>
        <v>-1.6445264152274703</v>
      </c>
      <c r="G402">
        <f ca="1"/>
        <v>1.6323411207206484E-2</v>
      </c>
      <c r="H402">
        <f ca="1"/>
        <v>48.072274792385272</v>
      </c>
      <c r="I402">
        <f ca="1"/>
        <v>-0.44781154828243597</v>
      </c>
      <c r="J402">
        <f ca="1"/>
        <v>2.9568322634821271</v>
      </c>
      <c r="K402">
        <f ca="1"/>
        <v>0</v>
      </c>
      <c r="L402">
        <f ca="1"/>
        <v>0</v>
      </c>
    </row>
    <row r="403" spans="2:12">
      <c r="B403">
        <v>7.8600000000000003E-2</v>
      </c>
      <c r="C403">
        <f ca="1"/>
        <v>3.1298135530116893E-2</v>
      </c>
      <c r="D403">
        <f ca="1"/>
        <v>1</v>
      </c>
      <c r="E403">
        <f ca="1"/>
        <v>100.46986312176378</v>
      </c>
      <c r="F403">
        <f ca="1"/>
        <v>1.3210951535101552</v>
      </c>
      <c r="G403">
        <f ca="1"/>
        <v>-1.314916844177505E-2</v>
      </c>
      <c r="H403">
        <f ca="1"/>
        <v>49.393369945895429</v>
      </c>
      <c r="I403">
        <f ca="1"/>
        <v>-0.46096071672421102</v>
      </c>
      <c r="J403">
        <f ca="1"/>
        <v>3.0807098321038211</v>
      </c>
      <c r="K403">
        <f ca="1"/>
        <v>0</v>
      </c>
      <c r="L403">
        <f ca="1"/>
        <v>0</v>
      </c>
    </row>
    <row r="404" spans="2:12">
      <c r="B404">
        <v>7.8800000000000009E-2</v>
      </c>
      <c r="C404">
        <f ca="1"/>
        <v>4.2489732265094476E-2</v>
      </c>
      <c r="D404">
        <f ca="1"/>
        <v>1</v>
      </c>
      <c r="E404">
        <f ca="1"/>
        <v>100.69459584957532</v>
      </c>
      <c r="F404">
        <f ca="1"/>
        <v>-1.0782243836194088</v>
      </c>
      <c r="G404">
        <f ca="1"/>
        <v>1.0707867433423501E-2</v>
      </c>
      <c r="H404">
        <f ca="1"/>
        <v>48.315145562276022</v>
      </c>
      <c r="I404">
        <f ca="1"/>
        <v>-0.45025284929078752</v>
      </c>
      <c r="J404">
        <f ca="1"/>
        <v>2.9771168728204245</v>
      </c>
      <c r="K404">
        <f ca="1"/>
        <v>0</v>
      </c>
      <c r="L404">
        <f ca="1"/>
        <v>0</v>
      </c>
    </row>
    <row r="405" spans="2:12">
      <c r="B405">
        <v>7.9000000000000001E-2</v>
      </c>
      <c r="C405">
        <f ca="1"/>
        <v>3.7181474425241764E-2</v>
      </c>
      <c r="D405">
        <f ca="1"/>
        <v>1</v>
      </c>
      <c r="E405">
        <f ca="1"/>
        <v>100.58734765037724</v>
      </c>
      <c r="F405">
        <f ca="1"/>
        <v>0.5124475918199789</v>
      </c>
      <c r="G405">
        <f ca="1"/>
        <v>-5.0945531798010091E-3</v>
      </c>
      <c r="H405">
        <f ca="1"/>
        <v>48.827593154096</v>
      </c>
      <c r="I405">
        <f ca="1"/>
        <v>-0.45534740247058852</v>
      </c>
      <c r="J405">
        <f ca="1"/>
        <v>3.025405680090671</v>
      </c>
      <c r="K405">
        <f ca="1"/>
        <v>0</v>
      </c>
      <c r="L405">
        <f ca="1"/>
        <v>0</v>
      </c>
    </row>
    <row r="406" spans="2:12">
      <c r="B406">
        <v>7.9200000000000007E-2</v>
      </c>
      <c r="C406">
        <f ca="1"/>
        <v>4.1604381923047599E-2</v>
      </c>
      <c r="D406">
        <f ca="1"/>
        <v>1</v>
      </c>
      <c r="E406">
        <f ca="1"/>
        <v>100.67596201816839</v>
      </c>
      <c r="F406">
        <f ca="1"/>
        <v>-0.42563218626274291</v>
      </c>
      <c r="G406">
        <f ca="1"/>
        <v>4.2277439195061439E-3</v>
      </c>
      <c r="H406">
        <f ca="1"/>
        <v>48.401960967833254</v>
      </c>
      <c r="I406">
        <f ca="1"/>
        <v>-0.45111965855108238</v>
      </c>
      <c r="J406">
        <f ca="1"/>
        <v>2.9850553578953907</v>
      </c>
      <c r="K406">
        <f ca="1"/>
        <v>0</v>
      </c>
      <c r="L406">
        <f ca="1"/>
        <v>0</v>
      </c>
    </row>
    <row r="407" spans="2:12">
      <c r="B407">
        <v>7.9399999999999998E-2</v>
      </c>
      <c r="C407">
        <f ca="1"/>
        <v>3.9360268401846671E-2</v>
      </c>
      <c r="D407">
        <f ca="1"/>
        <v>1</v>
      </c>
      <c r="E407">
        <f ca="1"/>
        <v>100.63038397696009</v>
      </c>
      <c r="F407">
        <f ca="1"/>
        <v>0.2175427243706346</v>
      </c>
      <c r="G407">
        <f ca="1"/>
        <v>-2.1617996053800437E-3</v>
      </c>
      <c r="H407">
        <f ca="1"/>
        <v>48.619503692203892</v>
      </c>
      <c r="I407">
        <f ca="1"/>
        <v>-0.45328145815646242</v>
      </c>
      <c r="J407">
        <f ca="1"/>
        <v>3.0056165082827135</v>
      </c>
      <c r="K407">
        <f ca="1"/>
        <v>0</v>
      </c>
      <c r="L407">
        <f ca="1"/>
        <v>0</v>
      </c>
    </row>
    <row r="408" spans="2:12">
      <c r="B408">
        <v>7.9600000000000004E-2</v>
      </c>
      <c r="C408">
        <f ca="1"/>
        <v>5.7993463580904896E-2</v>
      </c>
      <c r="D408">
        <f ca="1"/>
        <v>1</v>
      </c>
      <c r="E408">
        <f ca="1"/>
        <v>101.00569270858864</v>
      </c>
      <c r="F408">
        <f ca="1"/>
        <v>-1.7999093920065969</v>
      </c>
      <c r="G408">
        <f ca="1"/>
        <v>1.7819880679394107E-2</v>
      </c>
      <c r="H408">
        <f ca="1"/>
        <v>46.819594300197295</v>
      </c>
      <c r="I408">
        <f ca="1"/>
        <v>-0.43546157747706832</v>
      </c>
      <c r="J408">
        <f ca="1"/>
        <v>2.8354960191512717</v>
      </c>
      <c r="K408">
        <f ca="1"/>
        <v>0</v>
      </c>
      <c r="L408">
        <f ca="1"/>
        <v>0</v>
      </c>
    </row>
    <row r="409" spans="2:12">
      <c r="B409">
        <v>7.980000000000001E-2</v>
      </c>
      <c r="C409">
        <f ca="1"/>
        <v>5.4729141817074986E-2</v>
      </c>
      <c r="D409">
        <f ca="1"/>
        <v>1</v>
      </c>
      <c r="E409">
        <f ca="1"/>
        <v>100.93936745535397</v>
      </c>
      <c r="F409">
        <f ca="1"/>
        <v>0.31470872756201834</v>
      </c>
      <c r="G409">
        <f ca="1"/>
        <v>-3.1177996801021735E-3</v>
      </c>
      <c r="H409">
        <f ca="1"/>
        <v>47.134303027759316</v>
      </c>
      <c r="I409">
        <f ca="1"/>
        <v>-0.43857937715717049</v>
      </c>
      <c r="J409">
        <f ca="1"/>
        <v>2.8643781185514072</v>
      </c>
      <c r="K409">
        <f ca="1"/>
        <v>0</v>
      </c>
      <c r="L409">
        <f ca="1"/>
        <v>0</v>
      </c>
    </row>
    <row r="410" spans="2:12">
      <c r="B410">
        <v>0.08</v>
      </c>
      <c r="C410">
        <f ca="1"/>
        <v>7.5259103536497451E-2</v>
      </c>
      <c r="D410">
        <f ca="1"/>
        <v>1</v>
      </c>
      <c r="E410">
        <f ca="1"/>
        <v>101.35427035032704</v>
      </c>
      <c r="F410">
        <f ca="1"/>
        <v>-1.9807297115729159</v>
      </c>
      <c r="G410">
        <f ca="1"/>
        <v>1.9542636977471217E-2</v>
      </c>
      <c r="H410">
        <f ca="1"/>
        <v>45.153573316186403</v>
      </c>
      <c r="I410">
        <f ca="1"/>
        <v>-0.41903674017969927</v>
      </c>
      <c r="J410">
        <f ca="1"/>
        <v>2.682410265293413</v>
      </c>
      <c r="K410">
        <f ca="1"/>
        <v>0</v>
      </c>
      <c r="L410">
        <f ca="1"/>
        <v>0</v>
      </c>
    </row>
    <row r="411" spans="2:12">
      <c r="B411">
        <v>8.0200000000000007E-2</v>
      </c>
      <c r="C411">
        <f ca="1"/>
        <v>8.8738577680223099E-2</v>
      </c>
      <c r="D411">
        <f ca="1"/>
        <v>1</v>
      </c>
      <c r="E411">
        <f ca="1"/>
        <v>101.62747293789509</v>
      </c>
      <c r="F411">
        <f ca="1"/>
        <v>-1.2951974159619313</v>
      </c>
      <c r="G411">
        <f ca="1"/>
        <v>1.2744559896253949E-2</v>
      </c>
      <c r="H411">
        <f ca="1"/>
        <v>43.858375900224473</v>
      </c>
      <c r="I411">
        <f ca="1"/>
        <v>-0.40629218028344533</v>
      </c>
      <c r="J411">
        <f ca="1"/>
        <v>2.5679283435902391</v>
      </c>
      <c r="K411">
        <f ca="1"/>
        <v>0</v>
      </c>
      <c r="L411">
        <f ca="1"/>
        <v>0</v>
      </c>
    </row>
    <row r="412" spans="2:12">
      <c r="B412">
        <v>8.0399999999999999E-2</v>
      </c>
      <c r="C412">
        <f ca="1"/>
        <v>8.2092454690358849E-2</v>
      </c>
      <c r="D412">
        <f ca="1"/>
        <v>1</v>
      </c>
      <c r="E412">
        <f ca="1"/>
        <v>101.49207097181663</v>
      </c>
      <c r="F412">
        <f ca="1"/>
        <v>0.63482294892078128</v>
      </c>
      <c r="G412">
        <f ca="1"/>
        <v>-6.2549019134417461E-3</v>
      </c>
      <c r="H412">
        <f ca="1"/>
        <v>44.493198849145251</v>
      </c>
      <c r="I412">
        <f ca="1"/>
        <v>-0.41254708219688707</v>
      </c>
      <c r="J412">
        <f ca="1"/>
        <v>2.6229411036029191</v>
      </c>
      <c r="K412">
        <f ca="1"/>
        <v>0</v>
      </c>
      <c r="L412">
        <f ca="1"/>
        <v>0</v>
      </c>
    </row>
    <row r="413" spans="2:12">
      <c r="B413">
        <v>8.0600000000000005E-2</v>
      </c>
      <c r="C413">
        <f ca="1"/>
        <v>7.6967411872691072E-2</v>
      </c>
      <c r="D413">
        <f ca="1"/>
        <v>1</v>
      </c>
      <c r="E413">
        <f ca="1"/>
        <v>101.3876884761074</v>
      </c>
      <c r="F413">
        <f ca="1"/>
        <v>0.49085684394296653</v>
      </c>
      <c r="G413">
        <f ca="1"/>
        <v>-4.8413850963634486E-3</v>
      </c>
      <c r="H413">
        <f ca="1"/>
        <v>44.984055693088216</v>
      </c>
      <c r="I413">
        <f ca="1"/>
        <v>-0.41738846729325052</v>
      </c>
      <c r="J413">
        <f ca="1"/>
        <v>2.6660037976401867</v>
      </c>
      <c r="K413">
        <f ca="1"/>
        <v>0</v>
      </c>
      <c r="L413">
        <f ca="1"/>
        <v>0</v>
      </c>
    </row>
    <row r="414" spans="2:12">
      <c r="B414">
        <v>8.0800000000000011E-2</v>
      </c>
      <c r="C414">
        <f ca="1"/>
        <v>6.6619163346732665E-2</v>
      </c>
      <c r="D414">
        <f ca="1"/>
        <v>1</v>
      </c>
      <c r="E414">
        <f ca="1"/>
        <v>101.17766375989352</v>
      </c>
      <c r="F414">
        <f ca="1"/>
        <v>0.99508086128767359</v>
      </c>
      <c r="G414">
        <f ca="1"/>
        <v>-9.8349855522372742E-3</v>
      </c>
      <c r="H414">
        <f ca="1"/>
        <v>45.979136554375891</v>
      </c>
      <c r="I414">
        <f ca="1"/>
        <v>-0.42722345284548779</v>
      </c>
      <c r="J414">
        <f ca="1"/>
        <v>2.7536656920344029</v>
      </c>
      <c r="K414">
        <f ca="1"/>
        <v>0</v>
      </c>
      <c r="L414">
        <f ca="1"/>
        <v>0</v>
      </c>
    </row>
    <row r="415" spans="2:12">
      <c r="B415">
        <v>8.1000000000000003E-2</v>
      </c>
      <c r="C415">
        <f ca="1"/>
        <v>5.3066298231071576E-2</v>
      </c>
      <c r="D415">
        <f ca="1"/>
        <v>1</v>
      </c>
      <c r="E415">
        <f ca="1"/>
        <v>100.90338205060145</v>
      </c>
      <c r="F415">
        <f ca="1"/>
        <v>1.3082263075416769</v>
      </c>
      <c r="G415">
        <f ca="1"/>
        <v>-1.2965138342792337E-2</v>
      </c>
      <c r="H415">
        <f ca="1"/>
        <v>47.287362861917572</v>
      </c>
      <c r="I415">
        <f ca="1"/>
        <v>-0.44018859118828013</v>
      </c>
      <c r="J415">
        <f ca="1"/>
        <v>2.8708452709305234</v>
      </c>
      <c r="K415">
        <f ca="1"/>
        <v>0</v>
      </c>
      <c r="L415">
        <f ca="1"/>
        <v>0</v>
      </c>
    </row>
    <row r="416" spans="2:12">
      <c r="B416">
        <v>8.1200000000000008E-2</v>
      </c>
      <c r="C416">
        <f ca="1"/>
        <v>2.2024200616700594E-2</v>
      </c>
      <c r="D416">
        <f ca="1"/>
        <v>1</v>
      </c>
      <c r="E416">
        <f ca="1"/>
        <v>100.27847102458016</v>
      </c>
      <c r="F416">
        <f ca="1"/>
        <v>3.0030973619320798</v>
      </c>
      <c r="G416">
        <f ca="1"/>
        <v>-2.9947578291216304E-2</v>
      </c>
      <c r="H416">
        <f ca="1"/>
        <v>50.290460223849649</v>
      </c>
      <c r="I416">
        <f ca="1"/>
        <v>-0.47013616947949644</v>
      </c>
      <c r="J416">
        <f ca="1"/>
        <v>3.1459239750928631</v>
      </c>
      <c r="K416">
        <f ca="1"/>
        <v>0</v>
      </c>
      <c r="L416">
        <f ca="1"/>
        <v>0</v>
      </c>
    </row>
    <row r="417" spans="2:12">
      <c r="B417">
        <v>8.14E-2</v>
      </c>
      <c r="C417">
        <f ca="1"/>
        <v>1.8024202125697983E-2</v>
      </c>
      <c r="D417">
        <f ca="1"/>
        <v>1</v>
      </c>
      <c r="E417">
        <f ca="1"/>
        <v>100.19787956623578</v>
      </c>
      <c r="F417">
        <f ca="1"/>
        <v>0.39056098792866872</v>
      </c>
      <c r="G417">
        <f ca="1"/>
        <v>-3.8978967381289586E-3</v>
      </c>
      <c r="H417">
        <f ca="1"/>
        <v>50.681021211778315</v>
      </c>
      <c r="I417">
        <f ca="1"/>
        <v>-0.47403406621762539</v>
      </c>
      <c r="J417">
        <f ca="1"/>
        <v>3.1838129346116446</v>
      </c>
      <c r="K417">
        <f ca="1"/>
        <v>0</v>
      </c>
      <c r="L417">
        <f ca="1"/>
        <v>0</v>
      </c>
    </row>
    <row r="418" spans="2:12">
      <c r="B418">
        <v>8.1600000000000006E-2</v>
      </c>
      <c r="C418">
        <f ca="1"/>
        <v>1.6695528718985084E-2</v>
      </c>
      <c r="D418">
        <f ca="1"/>
        <v>1</v>
      </c>
      <c r="E418">
        <f ca="1"/>
        <v>100.17085636783054</v>
      </c>
      <c r="F418">
        <f ca="1"/>
        <v>0.13147422618872281</v>
      </c>
      <c r="G418">
        <f ca="1"/>
        <v>-1.312499772448239E-3</v>
      </c>
      <c r="H418">
        <f ca="1"/>
        <v>50.812495437967037</v>
      </c>
      <c r="I418">
        <f ca="1"/>
        <v>-0.47534656599007363</v>
      </c>
      <c r="J418">
        <f ca="1"/>
        <v>3.1966228512338901</v>
      </c>
      <c r="K418">
        <f ca="1"/>
        <v>0</v>
      </c>
      <c r="L418">
        <f ca="1"/>
        <v>0</v>
      </c>
    </row>
    <row r="419" spans="2:12">
      <c r="B419">
        <v>8.1799999999999998E-2</v>
      </c>
      <c r="C419">
        <f ca="1"/>
        <v>8.0651008897484229E-3</v>
      </c>
      <c r="D419">
        <f ca="1"/>
        <v>1</v>
      </c>
      <c r="E419">
        <f ca="1"/>
        <v>99.997702044198377</v>
      </c>
      <c r="F419">
        <f ca="1"/>
        <v>0.84080021067171262</v>
      </c>
      <c r="G419">
        <f ca="1"/>
        <v>-8.4081953233293705E-3</v>
      </c>
      <c r="H419">
        <f ca="1"/>
        <v>51.653295648638746</v>
      </c>
      <c r="I419">
        <f ca="1"/>
        <v>-0.483754761313403</v>
      </c>
      <c r="J419">
        <f ca="1"/>
        <v>3.2789311643587666</v>
      </c>
      <c r="K419">
        <f ca="1"/>
        <v>0</v>
      </c>
      <c r="L419">
        <f ca="1"/>
        <v>2.2979558016231749E-3</v>
      </c>
    </row>
    <row r="420" spans="2:12">
      <c r="B420">
        <v>8.2000000000000003E-2</v>
      </c>
      <c r="C420">
        <f ca="1"/>
        <v>-5.6920868238179156E-4</v>
      </c>
      <c r="D420">
        <f ca="1"/>
        <v>1</v>
      </c>
      <c r="E420">
        <f ca="1"/>
        <v>99.824769534521124</v>
      </c>
      <c r="F420">
        <f ca="1"/>
        <v>0.84144424228824899</v>
      </c>
      <c r="G420">
        <f ca="1"/>
        <v>-8.4292129720095477E-3</v>
      </c>
      <c r="H420">
        <f ca="1"/>
        <v>52.494739890926994</v>
      </c>
      <c r="I420">
        <f ca="1"/>
        <v>-0.49218397428541255</v>
      </c>
      <c r="J420">
        <f ca="1"/>
        <v>3.3625880893010134</v>
      </c>
      <c r="K420">
        <f ca="1"/>
        <v>0</v>
      </c>
      <c r="L420">
        <f ca="1"/>
        <v>0.17523046547887589</v>
      </c>
    </row>
    <row r="421" spans="2:12">
      <c r="B421">
        <v>8.2200000000000009E-2</v>
      </c>
      <c r="C421">
        <f ca="1"/>
        <v>-1.3978329387108156E-2</v>
      </c>
      <c r="D421">
        <f ca="1"/>
        <v>1</v>
      </c>
      <c r="E421">
        <f ca="1"/>
        <v>99.557017487053258</v>
      </c>
      <c r="F421">
        <f ca="1"/>
        <v>1.3034780729644742</v>
      </c>
      <c r="G421">
        <f ca="1"/>
        <v>-1.3092779453080572E-2</v>
      </c>
      <c r="H421">
        <f ca="1"/>
        <v>53.798217963891467</v>
      </c>
      <c r="I421">
        <f ca="1"/>
        <v>-0.50527675373849312</v>
      </c>
      <c r="J421">
        <f ca="1"/>
        <v>3.4943713561468073</v>
      </c>
      <c r="K421">
        <f ca="1"/>
        <v>0</v>
      </c>
      <c r="L421">
        <f ca="1"/>
        <v>0.44298251294674174</v>
      </c>
    </row>
    <row r="422" spans="2:12">
      <c r="B422">
        <v>8.2400000000000001E-2</v>
      </c>
      <c r="C422">
        <f ca="1"/>
        <v>-2.4711286431466761E-3</v>
      </c>
      <c r="D422">
        <f ca="1"/>
        <v>1</v>
      </c>
      <c r="E422">
        <f ca="1"/>
        <v>99.786006719929148</v>
      </c>
      <c r="F422">
        <f ca="1"/>
        <v>-1.1147139891138671</v>
      </c>
      <c r="G422">
        <f ca="1"/>
        <v>1.1171045177131411E-2</v>
      </c>
      <c r="H422">
        <f ca="1"/>
        <v>52.683503974777601</v>
      </c>
      <c r="I422">
        <f ca="1"/>
        <v>-0.49410570856136171</v>
      </c>
      <c r="J422">
        <f ca="1"/>
        <v>3.3786684199182062</v>
      </c>
      <c r="K422">
        <f ca="1"/>
        <v>0</v>
      </c>
      <c r="L422">
        <f ca="1"/>
        <v>0.21399328007085217</v>
      </c>
    </row>
    <row r="423" spans="2:12">
      <c r="B423">
        <v>8.2600000000000007E-2</v>
      </c>
      <c r="C423">
        <f ca="1"/>
        <v>-1.0424644798969679E-2</v>
      </c>
      <c r="D423">
        <f ca="1"/>
        <v>1</v>
      </c>
      <c r="E423">
        <f ca="1"/>
        <v>99.627004466987401</v>
      </c>
      <c r="F423">
        <f ca="1"/>
        <v>0.776137604494193</v>
      </c>
      <c r="G423">
        <f ca="1"/>
        <v>-7.7904340158232444E-3</v>
      </c>
      <c r="H423">
        <f ca="1"/>
        <v>53.459641579271796</v>
      </c>
      <c r="I423">
        <f ca="1"/>
        <v>-0.50189614257718496</v>
      </c>
      <c r="J423">
        <f ca="1"/>
        <v>3.4572323407708438</v>
      </c>
      <c r="K423">
        <f ca="1"/>
        <v>0</v>
      </c>
      <c r="L423">
        <f ca="1"/>
        <v>0.37299553301259891</v>
      </c>
    </row>
    <row r="424" spans="2:12">
      <c r="B424">
        <v>8.2799999999999999E-2</v>
      </c>
      <c r="C424">
        <f ca="1"/>
        <v>4.4979992959831103E-3</v>
      </c>
      <c r="D424">
        <f ca="1"/>
        <v>1</v>
      </c>
      <c r="E424">
        <f ca="1"/>
        <v>99.924388585766877</v>
      </c>
      <c r="F424">
        <f ca="1"/>
        <v>-1.4505957610073741</v>
      </c>
      <c r="G424">
        <f ca="1"/>
        <v>1.4516934069226772E-2</v>
      </c>
      <c r="H424">
        <f ca="1"/>
        <v>52.009045818264426</v>
      </c>
      <c r="I424">
        <f ca="1"/>
        <v>-0.48737920850795818</v>
      </c>
      <c r="J424">
        <f ca="1"/>
        <v>3.3079763986917143</v>
      </c>
      <c r="K424">
        <f ca="1"/>
        <v>0</v>
      </c>
      <c r="L424">
        <f ca="1"/>
        <v>7.5611414233122787E-2</v>
      </c>
    </row>
    <row r="425" spans="2:12">
      <c r="B425">
        <v>8.3000000000000004E-2</v>
      </c>
      <c r="C425">
        <f ca="1"/>
        <v>-2.0970698824356185E-3</v>
      </c>
      <c r="D425">
        <f ca="1"/>
        <v>1</v>
      </c>
      <c r="E425">
        <f ca="1"/>
        <v>99.792274650698303</v>
      </c>
      <c r="F425">
        <f ca="1"/>
        <v>0.64544949640518468</v>
      </c>
      <c r="G425">
        <f ca="1"/>
        <v>-6.4679304952657279E-3</v>
      </c>
      <c r="H425">
        <f ca="1"/>
        <v>52.65449531466961</v>
      </c>
      <c r="I425">
        <f ca="1"/>
        <v>-0.49384713900322391</v>
      </c>
      <c r="J425">
        <f ca="1"/>
        <v>3.3723659837983107</v>
      </c>
      <c r="K425">
        <f ca="1"/>
        <v>0</v>
      </c>
      <c r="L425">
        <f ca="1"/>
        <v>0.20772534930169684</v>
      </c>
    </row>
    <row r="426" spans="2:12">
      <c r="B426">
        <v>8.320000000000001E-2</v>
      </c>
      <c r="C426">
        <f ca="1"/>
        <v>-9.481899362710192E-3</v>
      </c>
      <c r="D426">
        <f ca="1"/>
        <v>1</v>
      </c>
      <c r="E426">
        <f ca="1"/>
        <v>99.644595076449022</v>
      </c>
      <c r="F426">
        <f ca="1"/>
        <v>0.72229846407502618</v>
      </c>
      <c r="G426">
        <f ca="1"/>
        <v>-7.2487470446426783E-3</v>
      </c>
      <c r="H426">
        <f ca="1"/>
        <v>53.376793778744634</v>
      </c>
      <c r="I426">
        <f ca="1"/>
        <v>-0.50109588604786659</v>
      </c>
      <c r="J426">
        <f ca="1"/>
        <v>3.4452971190305277</v>
      </c>
      <c r="K426">
        <f ca="1"/>
        <v>0</v>
      </c>
      <c r="L426">
        <f ca="1"/>
        <v>0.35540492355097797</v>
      </c>
    </row>
    <row r="427" spans="2:12">
      <c r="B427">
        <v>8.3400000000000002E-2</v>
      </c>
      <c r="C427">
        <f ca="1"/>
        <v>1.3313993594816694E-2</v>
      </c>
      <c r="D427">
        <f ca="1"/>
        <v>1</v>
      </c>
      <c r="E427">
        <f ca="1"/>
        <v>100.09952936953293</v>
      </c>
      <c r="F427">
        <f ca="1"/>
        <v>-2.2253192839238949</v>
      </c>
      <c r="G427">
        <f ca="1"/>
        <v>2.2231066399011568E-2</v>
      </c>
      <c r="H427">
        <f ca="1"/>
        <v>51.151474494820739</v>
      </c>
      <c r="I427">
        <f ca="1"/>
        <v>-0.47886481964885502</v>
      </c>
      <c r="J427">
        <f ca="1"/>
        <v>3.2173314163440878</v>
      </c>
      <c r="K427">
        <f ca="1"/>
        <v>0</v>
      </c>
      <c r="L427">
        <f ca="1"/>
        <v>0</v>
      </c>
    </row>
    <row r="428" spans="2:12">
      <c r="B428">
        <v>8.3600000000000008E-2</v>
      </c>
      <c r="C428">
        <f ca="1"/>
        <v>1.7862904888391661E-2</v>
      </c>
      <c r="D428">
        <f ca="1"/>
        <v>1</v>
      </c>
      <c r="E428">
        <f ca="1"/>
        <v>100.19023882264642</v>
      </c>
      <c r="F428">
        <f ca="1"/>
        <v>-0.44231670560055181</v>
      </c>
      <c r="G428">
        <f ca="1"/>
        <v>4.4147684524789566E-3</v>
      </c>
      <c r="H428">
        <f ca="1"/>
        <v>50.709157789220185</v>
      </c>
      <c r="I428">
        <f ca="1"/>
        <v>-0.47445005119637607</v>
      </c>
      <c r="J428">
        <f ca="1"/>
        <v>3.1738938504384464</v>
      </c>
      <c r="K428">
        <f ca="1"/>
        <v>0</v>
      </c>
      <c r="L428">
        <f ca="1"/>
        <v>0</v>
      </c>
    </row>
    <row r="429" spans="2:12">
      <c r="B429">
        <v>8.3799999999999999E-2</v>
      </c>
      <c r="C429">
        <f ca="1"/>
        <v>1.1839989568205533E-2</v>
      </c>
      <c r="D429">
        <f ca="1"/>
        <v>1</v>
      </c>
      <c r="E429">
        <f ca="1"/>
        <v>100.06922373994354</v>
      </c>
      <c r="F429">
        <f ca="1"/>
        <v>0.59121851975880457</v>
      </c>
      <c r="G429">
        <f ca="1"/>
        <v>-5.908095392997581E-3</v>
      </c>
      <c r="H429">
        <f ca="1"/>
        <v>51.30037630897899</v>
      </c>
      <c r="I429">
        <f ca="1"/>
        <v>-0.48035814658937365</v>
      </c>
      <c r="J429">
        <f ca="1"/>
        <v>3.2313094626223631</v>
      </c>
      <c r="K429">
        <f ca="1"/>
        <v>0</v>
      </c>
      <c r="L429">
        <f ca="1"/>
        <v>0</v>
      </c>
    </row>
    <row r="430" spans="2:12">
      <c r="B430">
        <v>8.4000000000000005E-2</v>
      </c>
      <c r="C430">
        <f ca="1"/>
        <v>2.183213267562167E-2</v>
      </c>
      <c r="D430">
        <f ca="1"/>
        <v>1</v>
      </c>
      <c r="E430">
        <f ca="1"/>
        <v>100.2690038212333</v>
      </c>
      <c r="F430">
        <f ca="1"/>
        <v>-0.97641574487605931</v>
      </c>
      <c r="G430">
        <f ca="1"/>
        <v>9.7379619589806898E-3</v>
      </c>
      <c r="H430">
        <f ca="1"/>
        <v>50.323960564102933</v>
      </c>
      <c r="I430">
        <f ca="1"/>
        <v>-0.47062018463039296</v>
      </c>
      <c r="J430">
        <f ca="1"/>
        <v>3.1353434730485432</v>
      </c>
      <c r="K430">
        <f ca="1"/>
        <v>0</v>
      </c>
      <c r="L430">
        <f ca="1"/>
        <v>0</v>
      </c>
    </row>
    <row r="431" spans="2:12">
      <c r="B431">
        <v>8.4200000000000011E-2</v>
      </c>
      <c r="C431">
        <f ca="1"/>
        <v>6.8647675602575564E-3</v>
      </c>
      <c r="D431">
        <f ca="1"/>
        <v>1</v>
      </c>
      <c r="E431">
        <f ca="1"/>
        <v>99.968900188199513</v>
      </c>
      <c r="F431">
        <f ca="1"/>
        <v>1.4657993322106884</v>
      </c>
      <c r="G431">
        <f ca="1"/>
        <v>-1.4662553348603447E-2</v>
      </c>
      <c r="H431">
        <f ca="1"/>
        <v>51.789759896313619</v>
      </c>
      <c r="I431">
        <f ca="1"/>
        <v>-0.4852827379789964</v>
      </c>
      <c r="J431">
        <f ca="1"/>
        <v>3.2765783002351512</v>
      </c>
      <c r="K431">
        <f ca="1"/>
        <v>0</v>
      </c>
      <c r="L431">
        <f ca="1"/>
        <v>3.1099811800487487E-2</v>
      </c>
    </row>
    <row r="432" spans="2:12">
      <c r="B432">
        <v>8.4400000000000003E-2</v>
      </c>
      <c r="C432">
        <f ca="1"/>
        <v>-1.3488799122961685E-2</v>
      </c>
      <c r="D432">
        <f ca="1"/>
        <v>1</v>
      </c>
      <c r="E432">
        <f ca="1"/>
        <v>99.562384357549547</v>
      </c>
      <c r="F432">
        <f ca="1"/>
        <v>1.9892959026729253</v>
      </c>
      <c r="G432">
        <f ca="1"/>
        <v>-1.998039636665333E-2</v>
      </c>
      <c r="H432">
        <f ca="1"/>
        <v>53.779055798986548</v>
      </c>
      <c r="I432">
        <f ca="1"/>
        <v>-0.50526313434564973</v>
      </c>
      <c r="J432">
        <f ca="1"/>
        <v>3.4738534155647756</v>
      </c>
      <c r="K432">
        <f ca="1"/>
        <v>0</v>
      </c>
      <c r="L432">
        <f ca="1"/>
        <v>0.43761564245045292</v>
      </c>
    </row>
    <row r="433" spans="2:12">
      <c r="B433">
        <v>8.4600000000000009E-2</v>
      </c>
      <c r="C433">
        <f ca="1"/>
        <v>-1.3351460634696123E-2</v>
      </c>
      <c r="D433">
        <f ca="1"/>
        <v>1</v>
      </c>
      <c r="E433">
        <f ca="1"/>
        <v>99.564720884899629</v>
      </c>
      <c r="F433">
        <f ca="1"/>
        <v>-9.1892363143456796E-3</v>
      </c>
      <c r="G433">
        <f ca="1"/>
        <v>9.229410008559924E-5</v>
      </c>
      <c r="H433">
        <f ca="1"/>
        <v>53.769866562672199</v>
      </c>
      <c r="I433">
        <f ca="1"/>
        <v>-0.50517084024556413</v>
      </c>
      <c r="J433">
        <f ca="1"/>
        <v>3.472672854432389</v>
      </c>
      <c r="K433">
        <f ca="1"/>
        <v>0</v>
      </c>
      <c r="L433">
        <f ca="1"/>
        <v>0.43527911510037143</v>
      </c>
    </row>
    <row r="434" spans="2:12">
      <c r="B434">
        <v>8.48E-2</v>
      </c>
      <c r="C434">
        <f ca="1"/>
        <v>-8.5857965353153074E-3</v>
      </c>
      <c r="D434">
        <f ca="1"/>
        <v>1</v>
      </c>
      <c r="E434">
        <f ca="1"/>
        <v>99.659265889979338</v>
      </c>
      <c r="F434">
        <f ca="1"/>
        <v>-0.46193294798271928</v>
      </c>
      <c r="G434">
        <f ca="1"/>
        <v>4.6351229246729408E-3</v>
      </c>
      <c r="H434">
        <f ca="1"/>
        <v>53.307933614689482</v>
      </c>
      <c r="I434">
        <f ca="1"/>
        <v>-0.50053571732089119</v>
      </c>
      <c r="J434">
        <f ca="1"/>
        <v>3.42491147477525</v>
      </c>
      <c r="K434">
        <f ca="1"/>
        <v>0</v>
      </c>
      <c r="L434">
        <f ca="1"/>
        <v>0.34073411002066223</v>
      </c>
    </row>
    <row r="435" spans="2:12">
      <c r="B435">
        <v>8.5000000000000006E-2</v>
      </c>
      <c r="C435">
        <f ca="1"/>
        <v>6.5941526933995746E-3</v>
      </c>
      <c r="D435">
        <f ca="1"/>
        <v>1</v>
      </c>
      <c r="E435">
        <f ca="1"/>
        <v>99.961890317452983</v>
      </c>
      <c r="F435">
        <f ca="1"/>
        <v>-1.4860294894193118</v>
      </c>
      <c r="G435">
        <f ca="1"/>
        <v>1.4865960264457467E-2</v>
      </c>
      <c r="H435">
        <f ca="1"/>
        <v>51.821904125270173</v>
      </c>
      <c r="I435">
        <f ca="1"/>
        <v>-0.48566975705643373</v>
      </c>
      <c r="J435">
        <f ca="1"/>
        <v>3.273437139890909</v>
      </c>
      <c r="K435">
        <f ca="1"/>
        <v>0</v>
      </c>
      <c r="L435">
        <f ca="1"/>
        <v>3.8109682547016632E-2</v>
      </c>
    </row>
    <row r="436" spans="2:12">
      <c r="B436">
        <v>8.5199999999999998E-2</v>
      </c>
      <c r="C436">
        <f ca="1"/>
        <v>1.6835341615070255E-2</v>
      </c>
      <c r="D436">
        <f ca="1"/>
        <v>1</v>
      </c>
      <c r="E436">
        <f ca="1"/>
        <v>100.16644519880744</v>
      </c>
      <c r="F436">
        <f ca="1"/>
        <v>-1.0038266923124546</v>
      </c>
      <c r="G436">
        <f ca="1"/>
        <v>1.0021586473594912E-2</v>
      </c>
      <c r="H436">
        <f ca="1"/>
        <v>50.818077432957722</v>
      </c>
      <c r="I436">
        <f ca="1"/>
        <v>-0.47564817058283881</v>
      </c>
      <c r="J436">
        <f ca="1"/>
        <v>3.1740910203587873</v>
      </c>
      <c r="K436">
        <f ca="1"/>
        <v>0</v>
      </c>
      <c r="L436">
        <f ca="1"/>
        <v>0</v>
      </c>
    </row>
    <row r="437" spans="2:12">
      <c r="B437">
        <v>8.5400000000000004E-2</v>
      </c>
      <c r="C437">
        <f ca="1"/>
        <v>1.5275798776783861E-2</v>
      </c>
      <c r="D437">
        <f ca="1"/>
        <v>1</v>
      </c>
      <c r="E437">
        <f ca="1"/>
        <v>100.13480675826771</v>
      </c>
      <c r="F437">
        <f ca="1"/>
        <v>0.1557438891198222</v>
      </c>
      <c r="G437">
        <f ca="1"/>
        <v>-1.5553421848188975E-3</v>
      </c>
      <c r="H437">
        <f ca="1"/>
        <v>50.973821322077541</v>
      </c>
      <c r="I437">
        <f ca="1"/>
        <v>-0.47720351276765771</v>
      </c>
      <c r="J437">
        <f ca="1"/>
        <v>3.1891397867215971</v>
      </c>
      <c r="K437">
        <f ca="1"/>
        <v>0</v>
      </c>
      <c r="L437">
        <f ca="1"/>
        <v>0</v>
      </c>
    </row>
    <row r="438" spans="2:12">
      <c r="B438">
        <v>8.5600000000000009E-2</v>
      </c>
      <c r="C438">
        <f ca="1"/>
        <v>4.7303659093178504E-3</v>
      </c>
      <c r="D438">
        <f ca="1"/>
        <v>1</v>
      </c>
      <c r="E438">
        <f ca="1"/>
        <v>99.923436642893563</v>
      </c>
      <c r="F438">
        <f ca="1"/>
        <v>1.0382958334870176</v>
      </c>
      <c r="G438">
        <f ca="1"/>
        <v>-1.0390913967437687E-2</v>
      </c>
      <c r="H438">
        <f ca="1"/>
        <v>52.01211715556456</v>
      </c>
      <c r="I438">
        <f ca="1"/>
        <v>-0.4875944267350954</v>
      </c>
      <c r="J438">
        <f ca="1"/>
        <v>3.2900063482722501</v>
      </c>
      <c r="K438">
        <f ca="1"/>
        <v>0</v>
      </c>
      <c r="L438">
        <f ca="1"/>
        <v>7.6563357106437024E-2</v>
      </c>
    </row>
    <row r="439" spans="2:12">
      <c r="B439">
        <v>8.5800000000000001E-2</v>
      </c>
      <c r="C439">
        <f ca="1"/>
        <v>6.8316855085062663E-3</v>
      </c>
      <c r="D439">
        <f ca="1"/>
        <v>1</v>
      </c>
      <c r="E439">
        <f ca="1"/>
        <v>99.965039822664792</v>
      </c>
      <c r="F439">
        <f ca="1"/>
        <v>-0.20350923939176446</v>
      </c>
      <c r="G439">
        <f ca="1"/>
        <v>2.0358041146463224E-3</v>
      </c>
      <c r="H439">
        <f ca="1"/>
        <v>51.808607916172797</v>
      </c>
      <c r="I439">
        <f ca="1"/>
        <v>-0.48555862262044908</v>
      </c>
      <c r="J439">
        <f ca="1"/>
        <v>3.2697208696813362</v>
      </c>
      <c r="K439">
        <f ca="1"/>
        <v>0</v>
      </c>
      <c r="L439">
        <f ca="1"/>
        <v>3.4960177335207732E-2</v>
      </c>
    </row>
    <row r="440" spans="2:12">
      <c r="B440">
        <v>8.6000000000000007E-2</v>
      </c>
      <c r="C440">
        <f ca="1"/>
        <v>6.4594550350673971E-3</v>
      </c>
      <c r="D440">
        <f ca="1"/>
        <v>1</v>
      </c>
      <c r="E440">
        <f ca="1"/>
        <v>99.957198263259272</v>
      </c>
      <c r="F440">
        <f ca="1"/>
        <v>3.9686742010056363E-2</v>
      </c>
      <c r="G440">
        <f ca="1"/>
        <v>-3.9703735898571901E-4</v>
      </c>
      <c r="H440">
        <f ca="1"/>
        <v>51.848294658182851</v>
      </c>
      <c r="I440">
        <f ca="1"/>
        <v>-0.4859556599794348</v>
      </c>
      <c r="J440">
        <f ca="1"/>
        <v>3.2735284064654806</v>
      </c>
      <c r="K440">
        <f ca="1"/>
        <v>0</v>
      </c>
      <c r="L440">
        <f ca="1"/>
        <v>4.2801736740727847E-2</v>
      </c>
    </row>
    <row r="441" spans="2:12">
      <c r="B441">
        <v>8.6199999999999999E-2</v>
      </c>
      <c r="C441">
        <f ca="1"/>
        <v>2.0576426814343147E-2</v>
      </c>
      <c r="D441">
        <f ca="1"/>
        <v>1</v>
      </c>
      <c r="E441">
        <f ca="1"/>
        <v>100.2394146766068</v>
      </c>
      <c r="F441">
        <f ca="1"/>
        <v>-1.3897803878910782</v>
      </c>
      <c r="G441">
        <f ca="1"/>
        <v>1.3864609967793595E-2</v>
      </c>
      <c r="H441">
        <f ca="1"/>
        <v>50.458514270291772</v>
      </c>
      <c r="I441">
        <f ca="1"/>
        <v>-0.4720910500116412</v>
      </c>
      <c r="J441">
        <f ca="1"/>
        <v>3.1363837430601507</v>
      </c>
      <c r="K441">
        <f ca="1"/>
        <v>0</v>
      </c>
      <c r="L441">
        <f ca="1"/>
        <v>0</v>
      </c>
    </row>
    <row r="442" spans="2:12">
      <c r="B442">
        <v>8.6400000000000005E-2</v>
      </c>
      <c r="C442">
        <f ca="1"/>
        <v>3.1506043329641749E-2</v>
      </c>
      <c r="D442">
        <f ca="1"/>
        <v>1</v>
      </c>
      <c r="E442">
        <f ca="1"/>
        <v>100.45836817437834</v>
      </c>
      <c r="F442">
        <f ca="1"/>
        <v>-1.0769108104359539</v>
      </c>
      <c r="G442">
        <f ca="1"/>
        <v>1.0719971168221876E-2</v>
      </c>
      <c r="H442">
        <f ca="1"/>
        <v>49.381603459855818</v>
      </c>
      <c r="I442">
        <f ca="1"/>
        <v>-0.46137107884341932</v>
      </c>
      <c r="J442">
        <f ca="1"/>
        <v>3.0330177563934626</v>
      </c>
      <c r="K442">
        <f ca="1"/>
        <v>0</v>
      </c>
      <c r="L442">
        <f ca="1"/>
        <v>0</v>
      </c>
    </row>
    <row r="443" spans="2:12">
      <c r="B443">
        <v>8.660000000000001E-2</v>
      </c>
      <c r="C443">
        <f ca="1"/>
        <v>2.9317972758915352E-2</v>
      </c>
      <c r="D443">
        <f ca="1"/>
        <v>1</v>
      </c>
      <c r="E443">
        <f ca="1"/>
        <v>100.41401413551417</v>
      </c>
      <c r="F443">
        <f ca="1"/>
        <v>0.21745899039435246</v>
      </c>
      <c r="G443">
        <f ca="1"/>
        <v>-2.1656239148141188E-3</v>
      </c>
      <c r="H443">
        <f ca="1"/>
        <v>49.599062450250173</v>
      </c>
      <c r="I443">
        <f ca="1"/>
        <v>-0.46353670275823344</v>
      </c>
      <c r="J443">
        <f ca="1"/>
        <v>3.0534814271552904</v>
      </c>
      <c r="K443">
        <f ca="1"/>
        <v>0</v>
      </c>
      <c r="L443">
        <f ca="1"/>
        <v>0</v>
      </c>
    </row>
    <row r="444" spans="2:12">
      <c r="B444">
        <v>8.6800000000000002E-2</v>
      </c>
      <c r="C444">
        <f ca="1"/>
        <v>2.7048728718224741E-2</v>
      </c>
      <c r="D444">
        <f ca="1"/>
        <v>1</v>
      </c>
      <c r="E444">
        <f ca="1"/>
        <v>100.36805022188631</v>
      </c>
      <c r="F444">
        <f ca="1"/>
        <v>0.22574893542529234</v>
      </c>
      <c r="G444">
        <f ca="1"/>
        <v>-2.2492111277067073E-3</v>
      </c>
      <c r="H444">
        <f ca="1"/>
        <v>49.824811385675467</v>
      </c>
      <c r="I444">
        <f ca="1"/>
        <v>-0.46578591388594015</v>
      </c>
      <c r="J444">
        <f ca="1"/>
        <v>3.0747873881242143</v>
      </c>
      <c r="K444">
        <f ca="1"/>
        <v>0</v>
      </c>
      <c r="L444">
        <f ca="1"/>
        <v>0</v>
      </c>
    </row>
    <row r="445" spans="2:12">
      <c r="B445">
        <v>8.7000000000000008E-2</v>
      </c>
      <c r="C445">
        <f ca="1"/>
        <v>1.8690732244676413E-3</v>
      </c>
      <c r="D445">
        <f ca="1"/>
        <v>1</v>
      </c>
      <c r="E445">
        <f ca="1"/>
        <v>99.863474745126197</v>
      </c>
      <c r="F445">
        <f ca="1"/>
        <v>2.4824283853902194</v>
      </c>
      <c r="G445">
        <f ca="1"/>
        <v>-2.4858221604304565E-2</v>
      </c>
      <c r="H445">
        <f ca="1"/>
        <v>52.307239771065689</v>
      </c>
      <c r="I445">
        <f ca="1"/>
        <v>-0.49064413549024471</v>
      </c>
      <c r="J445">
        <f ca="1"/>
        <v>3.3098115376913597</v>
      </c>
      <c r="K445">
        <f ca="1"/>
        <v>0</v>
      </c>
      <c r="L445">
        <f ca="1"/>
        <v>0.13652525487380274</v>
      </c>
    </row>
    <row r="446" spans="2:12">
      <c r="B446">
        <v>8.72E-2</v>
      </c>
      <c r="C446">
        <f ca="1"/>
        <v>9.3799520203400877E-3</v>
      </c>
      <c r="D446">
        <f ca="1"/>
        <v>1</v>
      </c>
      <c r="E446">
        <f ca="1"/>
        <v>100.01319991151847</v>
      </c>
      <c r="F446">
        <f ca="1"/>
        <v>-0.73894290351605529</v>
      </c>
      <c r="G446">
        <f ca="1"/>
        <v>7.3884537658008842E-3</v>
      </c>
      <c r="H446">
        <f ca="1"/>
        <v>51.568296867549634</v>
      </c>
      <c r="I446">
        <f ca="1"/>
        <v>-0.48325568172444383</v>
      </c>
      <c r="J446">
        <f ca="1"/>
        <v>3.236349762865693</v>
      </c>
      <c r="K446">
        <f ca="1"/>
        <v>0</v>
      </c>
      <c r="L446">
        <f ca="1"/>
        <v>0</v>
      </c>
    </row>
    <row r="447" spans="2:12">
      <c r="B447">
        <v>8.7400000000000005E-2</v>
      </c>
      <c r="C447">
        <f ca="1"/>
        <v>5.1802954832698526E-3</v>
      </c>
      <c r="D447">
        <f ca="1"/>
        <v>1</v>
      </c>
      <c r="E447">
        <f ca="1"/>
        <v>99.928831246644719</v>
      </c>
      <c r="F447">
        <f ca="1"/>
        <v>0.41783869167529686</v>
      </c>
      <c r="G447">
        <f ca="1"/>
        <v>-4.1813627404886367E-3</v>
      </c>
      <c r="H447">
        <f ca="1"/>
        <v>51.986135559224934</v>
      </c>
      <c r="I447">
        <f ca="1"/>
        <v>-0.48743704446493247</v>
      </c>
      <c r="J447">
        <f ca="1"/>
        <v>3.2771213995254413</v>
      </c>
      <c r="K447">
        <f ca="1"/>
        <v>0</v>
      </c>
      <c r="L447">
        <f ca="1"/>
        <v>7.1168753355280501E-2</v>
      </c>
    </row>
    <row r="448" spans="2:12">
      <c r="B448">
        <v>8.7599999999999997E-2</v>
      </c>
      <c r="C448">
        <f ca="1"/>
        <v>1.4303933146946344E-2</v>
      </c>
      <c r="D448">
        <f ca="1"/>
        <v>1</v>
      </c>
      <c r="E448">
        <f ca="1"/>
        <v>100.11094015605389</v>
      </c>
      <c r="F448">
        <f ca="1"/>
        <v>-0.9001715095321442</v>
      </c>
      <c r="G448">
        <f ca="1"/>
        <v>8.9917396453269571E-3</v>
      </c>
      <c r="H448">
        <f ca="1"/>
        <v>51.085964049692791</v>
      </c>
      <c r="I448">
        <f ca="1"/>
        <v>-0.47844530481960551</v>
      </c>
      <c r="J448">
        <f ca="1"/>
        <v>3.1883547709523015</v>
      </c>
      <c r="K448">
        <f ca="1"/>
        <v>0</v>
      </c>
      <c r="L448">
        <f ca="1"/>
        <v>0</v>
      </c>
    </row>
    <row r="449" spans="2:12">
      <c r="B449">
        <v>8.7800000000000003E-2</v>
      </c>
      <c r="C449">
        <f ca="1"/>
        <v>1.621462071884202E-2</v>
      </c>
      <c r="D449">
        <f ca="1"/>
        <v>1</v>
      </c>
      <c r="E449">
        <f ca="1"/>
        <v>100.14880301635942</v>
      </c>
      <c r="F449">
        <f ca="1"/>
        <v>-0.1866141630688595</v>
      </c>
      <c r="G449">
        <f ca="1"/>
        <v>1.863368881586891E-3</v>
      </c>
      <c r="H449">
        <f ca="1"/>
        <v>50.899349886623931</v>
      </c>
      <c r="I449">
        <f ca="1"/>
        <v>-0.47658193593801862</v>
      </c>
      <c r="J449">
        <f ca="1"/>
        <v>3.1702394632120772</v>
      </c>
      <c r="K449">
        <f ca="1"/>
        <v>0</v>
      </c>
      <c r="L449">
        <f ca="1"/>
        <v>0</v>
      </c>
    </row>
    <row r="450" spans="2:12">
      <c r="B450">
        <v>8.8000000000000009E-2</v>
      </c>
      <c r="C450">
        <f ca="1"/>
        <v>3.5109719839070755E-2</v>
      </c>
      <c r="D450">
        <f ca="1"/>
        <v>1</v>
      </c>
      <c r="E450">
        <f ca="1"/>
        <v>100.52758123091159</v>
      </c>
      <c r="F450">
        <f ca="1"/>
        <v>-1.8736852888864044</v>
      </c>
      <c r="G450">
        <f ca="1"/>
        <v>1.8638519557956479E-2</v>
      </c>
      <c r="H450">
        <f ca="1"/>
        <v>49.025664597737524</v>
      </c>
      <c r="I450">
        <f ca="1"/>
        <v>-0.45794341638006214</v>
      </c>
      <c r="J450">
        <f ca="1"/>
        <v>2.989720608429657</v>
      </c>
      <c r="K450">
        <f ca="1"/>
        <v>0</v>
      </c>
      <c r="L450">
        <f ca="1"/>
        <v>0</v>
      </c>
    </row>
    <row r="451" spans="2:12">
      <c r="B451">
        <v>8.8200000000000001E-2</v>
      </c>
      <c r="C451">
        <f ca="1"/>
        <v>2.8923725363518768E-2</v>
      </c>
      <c r="D451">
        <f ca="1"/>
        <v>1</v>
      </c>
      <c r="E451">
        <f ca="1"/>
        <v>100.40288391125615</v>
      </c>
      <c r="F451">
        <f ca="1"/>
        <v>0.61440533171936351</v>
      </c>
      <c r="G451">
        <f ca="1"/>
        <v>-6.1193992421813559E-3</v>
      </c>
      <c r="H451">
        <f ca="1"/>
        <v>49.640069929456885</v>
      </c>
      <c r="I451">
        <f ca="1"/>
        <v>-0.4640628156222435</v>
      </c>
      <c r="J451">
        <f ca="1"/>
        <v>3.0468249250060992</v>
      </c>
      <c r="K451">
        <f ca="1"/>
        <v>0</v>
      </c>
      <c r="L451">
        <f ca="1"/>
        <v>0</v>
      </c>
    </row>
    <row r="452" spans="2:12">
      <c r="B452">
        <v>8.8400000000000006E-2</v>
      </c>
      <c r="C452">
        <f ca="1"/>
        <v>2.068683637837767E-2</v>
      </c>
      <c r="D452">
        <f ca="1"/>
        <v>1</v>
      </c>
      <c r="E452">
        <f ca="1"/>
        <v>100.2372176444532</v>
      </c>
      <c r="F452">
        <f ca="1"/>
        <v>0.81848699534386848</v>
      </c>
      <c r="G452">
        <f ca="1"/>
        <v>-8.1654999468070422E-3</v>
      </c>
      <c r="H452">
        <f ca="1"/>
        <v>50.458556924800753</v>
      </c>
      <c r="I452">
        <f ca="1"/>
        <v>-0.47222831556905054</v>
      </c>
      <c r="J452">
        <f ca="1"/>
        <v>3.123704479232309</v>
      </c>
      <c r="K452">
        <f ca="1"/>
        <v>0</v>
      </c>
      <c r="L452">
        <f ca="1"/>
        <v>0</v>
      </c>
    </row>
    <row r="453" spans="2:12">
      <c r="B453">
        <v>8.8599999999999998E-2</v>
      </c>
      <c r="C453">
        <f ca="1"/>
        <v>4.8224729786960949E-2</v>
      </c>
      <c r="D453">
        <f ca="1"/>
        <v>1</v>
      </c>
      <c r="E453">
        <f ca="1"/>
        <v>100.7904019088582</v>
      </c>
      <c r="F453">
        <f ca="1"/>
        <v>-2.7385575578367924</v>
      </c>
      <c r="G453">
        <f ca="1"/>
        <v>2.7170816922758079E-2</v>
      </c>
      <c r="H453">
        <f ca="1"/>
        <v>47.719999366963961</v>
      </c>
      <c r="I453">
        <f ca="1"/>
        <v>-0.44505749864629246</v>
      </c>
      <c r="J453">
        <f ca="1"/>
        <v>2.8624752058530305</v>
      </c>
      <c r="K453">
        <f ca="1"/>
        <v>0</v>
      </c>
      <c r="L453">
        <f ca="1"/>
        <v>0</v>
      </c>
    </row>
    <row r="454" spans="2:12">
      <c r="B454">
        <v>8.8800000000000004E-2</v>
      </c>
      <c r="C454">
        <f ca="1"/>
        <v>6.9111761516780987E-2</v>
      </c>
      <c r="D454">
        <f ca="1"/>
        <v>1</v>
      </c>
      <c r="E454">
        <f ca="1"/>
        <v>101.21192018350833</v>
      </c>
      <c r="F454">
        <f ca="1"/>
        <v>-2.0716665028989398</v>
      </c>
      <c r="G454">
        <f ca="1"/>
        <v>2.0468601911146245E-2</v>
      </c>
      <c r="H454">
        <f ca="1"/>
        <v>45.648332864065019</v>
      </c>
      <c r="I454">
        <f ca="1"/>
        <v>-0.42458889673514622</v>
      </c>
      <c r="J454">
        <f ca="1"/>
        <v>2.6748753369035398</v>
      </c>
      <c r="K454">
        <f ca="1"/>
        <v>0</v>
      </c>
      <c r="L454">
        <f ca="1"/>
        <v>0</v>
      </c>
    </row>
    <row r="455" spans="2:12">
      <c r="B455">
        <v>8.900000000000001E-2</v>
      </c>
      <c r="C455">
        <f ca="1"/>
        <v>8.3999638169660829E-2</v>
      </c>
      <c r="D455">
        <f ca="1"/>
        <v>1</v>
      </c>
      <c r="E455">
        <f ca="1"/>
        <v>101.51332936188278</v>
      </c>
      <c r="F455">
        <f ca="1"/>
        <v>-1.4709019209604206</v>
      </c>
      <c r="G455">
        <f ca="1"/>
        <v>1.4489741694086622E-2</v>
      </c>
      <c r="H455">
        <f ca="1"/>
        <v>44.177430943104596</v>
      </c>
      <c r="I455">
        <f ca="1"/>
        <v>-0.41009915504105959</v>
      </c>
      <c r="J455">
        <f ca="1"/>
        <v>2.5469003463916806</v>
      </c>
      <c r="K455">
        <f ca="1"/>
        <v>0</v>
      </c>
      <c r="L455">
        <f ca="1"/>
        <v>0</v>
      </c>
    </row>
    <row r="456" spans="2:12">
      <c r="B456">
        <v>8.9200000000000002E-2</v>
      </c>
      <c r="C456">
        <f ca="1"/>
        <v>7.5529089849508874E-2</v>
      </c>
      <c r="D456">
        <f ca="1"/>
        <v>1</v>
      </c>
      <c r="E456">
        <f ca="1"/>
        <v>101.3410948741771</v>
      </c>
      <c r="F456">
        <f ca="1"/>
        <v>0.83252965286046277</v>
      </c>
      <c r="G456">
        <f ca="1"/>
        <v>-8.2151239227690742E-3</v>
      </c>
      <c r="H456">
        <f ca="1"/>
        <v>45.009960595965062</v>
      </c>
      <c r="I456">
        <f ca="1"/>
        <v>-0.41831427896382867</v>
      </c>
      <c r="J456">
        <f ca="1"/>
        <v>2.6175335642687116</v>
      </c>
      <c r="K456">
        <f ca="1"/>
        <v>0</v>
      </c>
      <c r="L456">
        <f ca="1"/>
        <v>0</v>
      </c>
    </row>
    <row r="457" spans="2:12">
      <c r="B457">
        <v>8.9400000000000007E-2</v>
      </c>
      <c r="C457">
        <f ca="1"/>
        <v>7.7051739191766722E-2</v>
      </c>
      <c r="D457">
        <f ca="1"/>
        <v>1</v>
      </c>
      <c r="E457">
        <f ca="1"/>
        <v>101.3715554770196</v>
      </c>
      <c r="F457">
        <f ca="1"/>
        <v>-0.1514948992400022</v>
      </c>
      <c r="G457">
        <f ca="1"/>
        <v>1.4944517574690397E-3</v>
      </c>
      <c r="H457">
        <f ca="1"/>
        <v>44.858465696725062</v>
      </c>
      <c r="I457">
        <f ca="1"/>
        <v>-0.41681982720635963</v>
      </c>
      <c r="J457">
        <f ca="1"/>
        <v>2.6047914591538515</v>
      </c>
      <c r="K457">
        <f ca="1"/>
        <v>0</v>
      </c>
      <c r="L457">
        <f ca="1"/>
        <v>0</v>
      </c>
    </row>
    <row r="458" spans="2:12">
      <c r="B458">
        <v>8.9599999999999999E-2</v>
      </c>
      <c r="C458">
        <f ca="1"/>
        <v>0.10489679496384258</v>
      </c>
      <c r="D458">
        <f ca="1"/>
        <v>1</v>
      </c>
      <c r="E458">
        <f ca="1"/>
        <v>101.93726193540249</v>
      </c>
      <c r="F458">
        <f ca="1"/>
        <v>-2.7446433100802174</v>
      </c>
      <c r="G458">
        <f ca="1"/>
        <v>2.6924828644303733E-2</v>
      </c>
      <c r="H458">
        <f ca="1"/>
        <v>42.113822386644841</v>
      </c>
      <c r="I458">
        <f ca="1"/>
        <v>-0.38989499856205589</v>
      </c>
      <c r="J458">
        <f ca="1"/>
        <v>2.3689937909211736</v>
      </c>
      <c r="K458">
        <f ca="1"/>
        <v>0</v>
      </c>
      <c r="L458">
        <f ca="1"/>
        <v>0</v>
      </c>
    </row>
    <row r="459" spans="2:12">
      <c r="B459">
        <v>8.9800000000000005E-2</v>
      </c>
      <c r="C459">
        <f ca="1"/>
        <v>0.10970958815706293</v>
      </c>
      <c r="D459">
        <f ca="1"/>
        <v>1</v>
      </c>
      <c r="E459">
        <f ca="1"/>
        <v>102.03502162514253</v>
      </c>
      <c r="F459">
        <f ca="1"/>
        <v>-0.47281277017731382</v>
      </c>
      <c r="G459">
        <f ca="1"/>
        <v>4.6338282939198949E-3</v>
      </c>
      <c r="H459">
        <f ca="1"/>
        <v>41.641009616467528</v>
      </c>
      <c r="I459">
        <f ca="1"/>
        <v>-0.385261170268136</v>
      </c>
      <c r="J459">
        <f ca="1"/>
        <v>2.3308777768305546</v>
      </c>
      <c r="K459">
        <f ca="1"/>
        <v>0</v>
      </c>
      <c r="L459">
        <f ca="1"/>
        <v>0</v>
      </c>
    </row>
    <row r="460" spans="2:12">
      <c r="B460">
        <v>9.0000000000000011E-2</v>
      </c>
      <c r="C460">
        <f ca="1"/>
        <v>8.3319166912952519E-2</v>
      </c>
      <c r="D460">
        <f ca="1"/>
        <v>1</v>
      </c>
      <c r="E460">
        <f ca="1"/>
        <v>101.49748495137771</v>
      </c>
      <c r="F460">
        <f ca="1"/>
        <v>2.5798760885869796</v>
      </c>
      <c r="G460">
        <f ca="1"/>
        <v>-2.5418128240545734E-2</v>
      </c>
      <c r="H460">
        <f ca="1"/>
        <v>44.220885705054506</v>
      </c>
      <c r="I460">
        <f ca="1"/>
        <v>-0.41067929850868173</v>
      </c>
      <c r="J460">
        <f ca="1"/>
        <v>2.5379697848272258</v>
      </c>
      <c r="K460">
        <f ca="1"/>
        <v>0</v>
      </c>
      <c r="L460">
        <f ca="1"/>
        <v>0</v>
      </c>
    </row>
    <row r="461" spans="2:12">
      <c r="B461">
        <v>9.0200000000000002E-2</v>
      </c>
      <c r="C461">
        <f ca="1"/>
        <v>7.0583545142189522E-2</v>
      </c>
      <c r="D461">
        <f ca="1"/>
        <v>1</v>
      </c>
      <c r="E461">
        <f ca="1"/>
        <v>101.23888224971208</v>
      </c>
      <c r="F461">
        <f ca="1"/>
        <v>1.2570243199353461</v>
      </c>
      <c r="G461">
        <f ca="1"/>
        <v>-1.2416418395797935E-2</v>
      </c>
      <c r="H461">
        <f ca="1"/>
        <v>45.477910024989853</v>
      </c>
      <c r="I461">
        <f ca="1"/>
        <v>-0.42309571690447967</v>
      </c>
      <c r="J461">
        <f ca="1"/>
        <v>2.6441725609397224</v>
      </c>
      <c r="K461">
        <f ca="1"/>
        <v>0</v>
      </c>
      <c r="L461">
        <f ca="1"/>
        <v>0</v>
      </c>
    </row>
    <row r="462" spans="2:12">
      <c r="B462">
        <v>9.0400000000000008E-2</v>
      </c>
      <c r="C462">
        <f ca="1"/>
        <v>6.3861909261923741E-2</v>
      </c>
      <c r="D462">
        <f ca="1"/>
        <v>1</v>
      </c>
      <c r="E462">
        <f ca="1"/>
        <v>101.10247109759942</v>
      </c>
      <c r="F462">
        <f ca="1"/>
        <v>0.66618503994364164</v>
      </c>
      <c r="G462">
        <f ca="1"/>
        <v>-6.5892063043695437E-3</v>
      </c>
      <c r="H462">
        <f ca="1"/>
        <v>46.144095064933495</v>
      </c>
      <c r="I462">
        <f ca="1"/>
        <v>-0.42968492320884921</v>
      </c>
      <c r="J462">
        <f ca="1"/>
        <v>2.7018875351365921</v>
      </c>
      <c r="K462">
        <f ca="1"/>
        <v>0</v>
      </c>
      <c r="L462">
        <f ca="1"/>
        <v>0</v>
      </c>
    </row>
    <row r="463" spans="2:12">
      <c r="B463">
        <v>9.06E-2</v>
      </c>
      <c r="C463">
        <f ca="1"/>
        <v>6.4632017545214804E-2</v>
      </c>
      <c r="D463">
        <f ca="1"/>
        <v>1</v>
      </c>
      <c r="E463">
        <f ca="1"/>
        <v>101.11763979559387</v>
      </c>
      <c r="F463">
        <f ca="1"/>
        <v>-7.702060775725772E-2</v>
      </c>
      <c r="G463">
        <f ca="1"/>
        <v>7.6169309245105454E-4</v>
      </c>
      <c r="H463">
        <f ca="1"/>
        <v>46.06707445717624</v>
      </c>
      <c r="I463">
        <f ca="1"/>
        <v>-0.42892323011639816</v>
      </c>
      <c r="J463">
        <f ca="1"/>
        <v>2.6953697743036713</v>
      </c>
      <c r="K463">
        <f ca="1"/>
        <v>0</v>
      </c>
      <c r="L463">
        <f ca="1"/>
        <v>0</v>
      </c>
    </row>
    <row r="464" spans="2:12">
      <c r="B464">
        <v>9.0800000000000006E-2</v>
      </c>
      <c r="C464">
        <f ca="1"/>
        <v>6.5665698737478392E-2</v>
      </c>
      <c r="D464">
        <f ca="1"/>
        <v>1</v>
      </c>
      <c r="E464">
        <f ca="1"/>
        <v>101.13814208373542</v>
      </c>
      <c r="F464">
        <f ca="1"/>
        <v>-0.10332754297415483</v>
      </c>
      <c r="G464">
        <f ca="1"/>
        <v>1.0216476281382225E-3</v>
      </c>
      <c r="H464">
        <f ca="1"/>
        <v>45.963746914202083</v>
      </c>
      <c r="I464">
        <f ca="1"/>
        <v>-0.42790158248825994</v>
      </c>
      <c r="J464">
        <f ca="1"/>
        <v>2.6865758666492212</v>
      </c>
      <c r="K464">
        <f ca="1"/>
        <v>0</v>
      </c>
      <c r="L464">
        <f ca="1"/>
        <v>0</v>
      </c>
    </row>
    <row r="465" spans="2:12">
      <c r="B465">
        <v>9.0999999999999998E-2</v>
      </c>
      <c r="C465">
        <f ca="1"/>
        <v>5.3328476708800039E-2</v>
      </c>
      <c r="D465">
        <f ca="1"/>
        <v>1</v>
      </c>
      <c r="E465">
        <f ca="1"/>
        <v>100.88849341175489</v>
      </c>
      <c r="F465">
        <f ca="1"/>
        <v>1.2275969580238375</v>
      </c>
      <c r="G465">
        <f ca="1"/>
        <v>-1.2167858955070943E-2</v>
      </c>
      <c r="H465">
        <f ca="1"/>
        <v>47.191343872225922</v>
      </c>
      <c r="I465">
        <f ca="1"/>
        <v>-0.44006944144333088</v>
      </c>
      <c r="J465">
        <f ca="1"/>
        <v>2.7934009284557817</v>
      </c>
      <c r="K465">
        <f ca="1"/>
        <v>0</v>
      </c>
      <c r="L465">
        <f ca="1"/>
        <v>0</v>
      </c>
    </row>
    <row r="466" spans="2:12">
      <c r="B466">
        <v>9.1200000000000003E-2</v>
      </c>
      <c r="C466">
        <f ca="1"/>
        <v>4.1287688553931244E-2</v>
      </c>
      <c r="D466">
        <f ca="1"/>
        <v>1</v>
      </c>
      <c r="E466">
        <f ca="1"/>
        <v>100.64542773671228</v>
      </c>
      <c r="F466">
        <f ca="1"/>
        <v>1.2022595580207736</v>
      </c>
      <c r="G466">
        <f ca="1"/>
        <v>-1.1945496035506709E-2</v>
      </c>
      <c r="H466">
        <f ca="1"/>
        <v>48.393603430246692</v>
      </c>
      <c r="I466">
        <f ca="1"/>
        <v>-0.45201493747883759</v>
      </c>
      <c r="J466">
        <f ca="1"/>
        <v>2.9003667043058243</v>
      </c>
      <c r="K466">
        <f ca="1"/>
        <v>0</v>
      </c>
      <c r="L466">
        <f ca="1"/>
        <v>0</v>
      </c>
    </row>
    <row r="467" spans="2:12">
      <c r="B467">
        <v>9.1400000000000009E-2</v>
      </c>
      <c r="C467">
        <f ca="1"/>
        <v>3.6600116549663941E-2</v>
      </c>
      <c r="D467">
        <f ca="1"/>
        <v>1</v>
      </c>
      <c r="E467">
        <f ca="1"/>
        <v>100.55071321165939</v>
      </c>
      <c r="F467">
        <f ca="1"/>
        <v>0.47003957420590076</v>
      </c>
      <c r="G467">
        <f ca="1"/>
        <v>-4.6746518169042406E-3</v>
      </c>
      <c r="H467">
        <f ca="1"/>
        <v>48.863643004452591</v>
      </c>
      <c r="I467">
        <f ca="1"/>
        <v>-0.45668958929574183</v>
      </c>
      <c r="J467">
        <f ca="1"/>
        <v>2.9431790844259424</v>
      </c>
      <c r="K467">
        <f ca="1"/>
        <v>0</v>
      </c>
      <c r="L467">
        <f ca="1"/>
        <v>0</v>
      </c>
    </row>
    <row r="468" spans="2:12">
      <c r="B468">
        <v>9.1600000000000001E-2</v>
      </c>
      <c r="C468">
        <f ca="1"/>
        <v>2.2788850298735234E-2</v>
      </c>
      <c r="D468">
        <f ca="1"/>
        <v>1</v>
      </c>
      <c r="E468">
        <f ca="1"/>
        <v>100.27294883485889</v>
      </c>
      <c r="F468">
        <f ca="1"/>
        <v>1.383604994998304</v>
      </c>
      <c r="G468">
        <f ca="1"/>
        <v>-1.3798387412311819E-2</v>
      </c>
      <c r="H468">
        <f ca="1"/>
        <v>50.247247999450892</v>
      </c>
      <c r="I468">
        <f ca="1"/>
        <v>-0.47048797670805365</v>
      </c>
      <c r="J468">
        <f ca="1"/>
        <v>3.0700311835879432</v>
      </c>
      <c r="K468">
        <f ca="1"/>
        <v>0</v>
      </c>
      <c r="L468">
        <f ca="1"/>
        <v>0</v>
      </c>
    </row>
    <row r="469" spans="2:12">
      <c r="B469">
        <v>9.1800000000000007E-2</v>
      </c>
      <c r="C469">
        <f ca="1"/>
        <v>3.302551516036225E-2</v>
      </c>
      <c r="D469">
        <f ca="1"/>
        <v>1</v>
      </c>
      <c r="E469">
        <f ca="1"/>
        <v>100.47804933038658</v>
      </c>
      <c r="F469">
        <f ca="1"/>
        <v>-1.0255975909031165</v>
      </c>
      <c r="G469">
        <f ca="1"/>
        <v>1.0207180550756922E-2</v>
      </c>
      <c r="H469">
        <f ca="1"/>
        <v>49.221650408547774</v>
      </c>
      <c r="I469">
        <f ca="1"/>
        <v>-0.46028079615729672</v>
      </c>
      <c r="J469">
        <f ca="1"/>
        <v>2.9735338664252993</v>
      </c>
      <c r="K469">
        <f ca="1"/>
        <v>0</v>
      </c>
      <c r="L469">
        <f ca="1"/>
        <v>0</v>
      </c>
    </row>
    <row r="470" spans="2:12">
      <c r="B470">
        <v>9.1999999999999998E-2</v>
      </c>
      <c r="C470">
        <f ca="1"/>
        <v>3.0567662221207072E-2</v>
      </c>
      <c r="D470">
        <f ca="1"/>
        <v>1</v>
      </c>
      <c r="E470">
        <f ca="1"/>
        <v>100.4282677005904</v>
      </c>
      <c r="F470">
        <f ca="1"/>
        <v>0.24808121757041973</v>
      </c>
      <c r="G470">
        <f ca="1"/>
        <v>-2.4702329657824151E-3</v>
      </c>
      <c r="H470">
        <f ca="1"/>
        <v>49.469731626118197</v>
      </c>
      <c r="I470">
        <f ca="1"/>
        <v>-0.46275102912307914</v>
      </c>
      <c r="J470">
        <f ca="1"/>
        <v>2.996447394621903</v>
      </c>
      <c r="K470">
        <f ca="1"/>
        <v>0</v>
      </c>
      <c r="L470">
        <f ca="1"/>
        <v>0</v>
      </c>
    </row>
    <row r="471" spans="2:12">
      <c r="B471">
        <v>9.2200000000000004E-2</v>
      </c>
      <c r="C471">
        <f ca="1"/>
        <v>3.3491830074245485E-2</v>
      </c>
      <c r="D471">
        <f ca="1"/>
        <v>1</v>
      </c>
      <c r="E471">
        <f ca="1"/>
        <v>100.48661675381292</v>
      </c>
      <c r="F471">
        <f ca="1"/>
        <v>-0.29205402197287877</v>
      </c>
      <c r="G471">
        <f ca="1"/>
        <v>2.9063972040017649E-3</v>
      </c>
      <c r="H471">
        <f ca="1"/>
        <v>49.177677604145316</v>
      </c>
      <c r="I471">
        <f ca="1"/>
        <v>-0.45984463191907737</v>
      </c>
      <c r="J471">
        <f ca="1"/>
        <v>2.9694463101948188</v>
      </c>
      <c r="K471">
        <f ca="1"/>
        <v>0</v>
      </c>
      <c r="L471">
        <f ca="1"/>
        <v>0</v>
      </c>
    </row>
    <row r="472" spans="2:12">
      <c r="B472">
        <v>9.240000000000001E-2</v>
      </c>
      <c r="C472">
        <f ca="1"/>
        <v>5.200700752962116E-2</v>
      </c>
      <c r="D472">
        <f ca="1"/>
        <v>1</v>
      </c>
      <c r="E472">
        <f ca="1"/>
        <v>100.85900863634285</v>
      </c>
      <c r="F472">
        <f ca="1"/>
        <v>-1.8605756728329099</v>
      </c>
      <c r="G472">
        <f ca="1"/>
        <v>1.8447292889239075E-2</v>
      </c>
      <c r="H472">
        <f ca="1"/>
        <v>47.317101931312408</v>
      </c>
      <c r="I472">
        <f ca="1"/>
        <v>-0.4413973390298383</v>
      </c>
      <c r="J472">
        <f ca="1"/>
        <v>2.7982039020431912</v>
      </c>
      <c r="K472">
        <f ca="1"/>
        <v>0</v>
      </c>
      <c r="L472">
        <f ca="1"/>
        <v>0</v>
      </c>
    </row>
    <row r="473" spans="2:12">
      <c r="B473">
        <v>9.2600000000000002E-2</v>
      </c>
      <c r="C473">
        <f ca="1"/>
        <v>3.9386036759976081E-2</v>
      </c>
      <c r="D473">
        <f ca="1"/>
        <v>1</v>
      </c>
      <c r="E473">
        <f ca="1"/>
        <v>100.60433954244333</v>
      </c>
      <c r="F473">
        <f ca="1"/>
        <v>1.2660221699175653</v>
      </c>
      <c r="G473">
        <f ca="1"/>
        <v>-1.2584170580270559E-2</v>
      </c>
      <c r="H473">
        <f ca="1"/>
        <v>48.58312410122997</v>
      </c>
      <c r="I473">
        <f ca="1"/>
        <v>-0.45398150961010886</v>
      </c>
      <c r="J473">
        <f ca="1"/>
        <v>2.9106141624235775</v>
      </c>
      <c r="K473">
        <f ca="1"/>
        <v>0</v>
      </c>
      <c r="L473">
        <f ca="1"/>
        <v>0</v>
      </c>
    </row>
    <row r="474" spans="2:12">
      <c r="B474">
        <v>9.2800000000000007E-2</v>
      </c>
      <c r="C474">
        <f ca="1"/>
        <v>3.1576582338130328E-2</v>
      </c>
      <c r="D474">
        <f ca="1"/>
        <v>1</v>
      </c>
      <c r="E474">
        <f ca="1"/>
        <v>100.44692740150884</v>
      </c>
      <c r="F474">
        <f ca="1"/>
        <v>0.78597549381992238</v>
      </c>
      <c r="G474">
        <f ca="1"/>
        <v>-7.8247838351311882E-3</v>
      </c>
      <c r="H474">
        <f ca="1"/>
        <v>49.369099595049889</v>
      </c>
      <c r="I474">
        <f ca="1"/>
        <v>-0.46180629344524005</v>
      </c>
      <c r="J474">
        <f ca="1"/>
        <v>2.9820763637959686</v>
      </c>
      <c r="K474">
        <f ca="1"/>
        <v>0</v>
      </c>
      <c r="L474">
        <f ca="1"/>
        <v>0</v>
      </c>
    </row>
    <row r="475" spans="2:12">
      <c r="B475">
        <v>9.2999999999999999E-2</v>
      </c>
      <c r="C475">
        <f ca="1"/>
        <v>3.4622147686466195E-2</v>
      </c>
      <c r="D475">
        <f ca="1"/>
        <v>1</v>
      </c>
      <c r="E475">
        <f ca="1"/>
        <v>100.50772754371253</v>
      </c>
      <c r="F475">
        <f ca="1"/>
        <v>-0.30507569389392791</v>
      </c>
      <c r="G475">
        <f ca="1"/>
        <v>3.0353456530120559E-3</v>
      </c>
      <c r="H475">
        <f ca="1"/>
        <v>49.064023901155963</v>
      </c>
      <c r="I475">
        <f ca="1"/>
        <v>-0.45877094779222799</v>
      </c>
      <c r="J475">
        <f ca="1"/>
        <v>2.9539984754839423</v>
      </c>
      <c r="K475">
        <f ca="1"/>
        <v>0</v>
      </c>
      <c r="L475">
        <f ca="1"/>
        <v>0</v>
      </c>
    </row>
    <row r="476" spans="2:12">
      <c r="B476">
        <v>9.3200000000000005E-2</v>
      </c>
      <c r="C476">
        <f ca="1"/>
        <v>2.4770249746483411E-2</v>
      </c>
      <c r="D476">
        <f ca="1"/>
        <v>1</v>
      </c>
      <c r="E476">
        <f ca="1"/>
        <v>100.30948290749524</v>
      </c>
      <c r="F476">
        <f ca="1"/>
        <v>0.99288142102378507</v>
      </c>
      <c r="G476">
        <f ca="1"/>
        <v>-9.8981810317915198E-3</v>
      </c>
      <c r="H476">
        <f ca="1"/>
        <v>50.056905322179745</v>
      </c>
      <c r="I476">
        <f ca="1"/>
        <v>-0.46866912882401951</v>
      </c>
      <c r="J476">
        <f ca="1"/>
        <v>3.044947355136074</v>
      </c>
      <c r="K476">
        <f ca="1"/>
        <v>0</v>
      </c>
      <c r="L476">
        <f ca="1"/>
        <v>0</v>
      </c>
    </row>
    <row r="477" spans="2:12">
      <c r="B477">
        <v>9.3400000000000011E-2</v>
      </c>
      <c r="C477">
        <f ca="1"/>
        <v>4.0998886230321795E-2</v>
      </c>
      <c r="D477">
        <f ca="1"/>
        <v>1</v>
      </c>
      <c r="E477">
        <f ca="1"/>
        <v>100.63518653229735</v>
      </c>
      <c r="F477">
        <f ca="1"/>
        <v>-1.6362300256117601</v>
      </c>
      <c r="G477">
        <f ca="1"/>
        <v>1.6259025118283421E-2</v>
      </c>
      <c r="H477">
        <f ca="1"/>
        <v>48.420675296567985</v>
      </c>
      <c r="I477">
        <f ca="1"/>
        <v>-0.45241010370573609</v>
      </c>
      <c r="J477">
        <f ca="1"/>
        <v>2.8923001210452455</v>
      </c>
      <c r="K477">
        <f ca="1"/>
        <v>0</v>
      </c>
      <c r="L477">
        <f ca="1"/>
        <v>0</v>
      </c>
    </row>
    <row r="478" spans="2:12">
      <c r="B478">
        <v>9.3600000000000003E-2</v>
      </c>
      <c r="C478">
        <f ca="1"/>
        <v>4.4037802380414853E-2</v>
      </c>
      <c r="D478">
        <f ca="1"/>
        <v>1</v>
      </c>
      <c r="E478">
        <f ca="1"/>
        <v>100.69596671745713</v>
      </c>
      <c r="F478">
        <f ca="1"/>
        <v>-0.30536238020269435</v>
      </c>
      <c r="G478">
        <f ca="1"/>
        <v>3.032518482686708E-3</v>
      </c>
      <c r="H478">
        <f ca="1"/>
        <v>48.115312916365291</v>
      </c>
      <c r="I478">
        <f ca="1"/>
        <v>-0.44937758522304938</v>
      </c>
      <c r="J478">
        <f ca="1"/>
        <v>2.8648025511738595</v>
      </c>
      <c r="K478">
        <f ca="1"/>
        <v>0</v>
      </c>
      <c r="L478">
        <f ca="1"/>
        <v>0</v>
      </c>
    </row>
    <row r="479" spans="2:12">
      <c r="B479">
        <v>9.3800000000000008E-2</v>
      </c>
      <c r="C479">
        <f ca="1"/>
        <v>4.18332814650893E-2</v>
      </c>
      <c r="D479">
        <f ca="1"/>
        <v>1</v>
      </c>
      <c r="E479">
        <f ca="1"/>
        <v>100.6511766250353</v>
      </c>
      <c r="F479">
        <f ca="1"/>
        <v>0.22303705317138561</v>
      </c>
      <c r="G479">
        <f ca="1"/>
        <v>-2.2159408429201499E-3</v>
      </c>
      <c r="H479">
        <f ca="1"/>
        <v>48.338349969536679</v>
      </c>
      <c r="I479">
        <f ca="1"/>
        <v>-0.45159352606596953</v>
      </c>
      <c r="J479">
        <f ca="1"/>
        <v>2.8849302147482945</v>
      </c>
      <c r="K479">
        <f ca="1"/>
        <v>0</v>
      </c>
      <c r="L479">
        <f ca="1"/>
        <v>0</v>
      </c>
    </row>
    <row r="480" spans="2:12">
      <c r="B480">
        <v>9.4E-2</v>
      </c>
      <c r="C480">
        <f ca="1"/>
        <v>5.9566232051204662E-2</v>
      </c>
      <c r="D480">
        <f ca="1"/>
        <v>1</v>
      </c>
      <c r="E480">
        <f ca="1"/>
        <v>101.00837481846092</v>
      </c>
      <c r="F480">
        <f ca="1"/>
        <v>-1.7894411718512298</v>
      </c>
      <c r="G480">
        <f ca="1"/>
        <v>1.771577035139249E-2</v>
      </c>
      <c r="H480">
        <f ca="1"/>
        <v>46.548908797685449</v>
      </c>
      <c r="I480">
        <f ca="1"/>
        <v>-0.43387775571457704</v>
      </c>
      <c r="J480">
        <f ca="1"/>
        <v>2.7236218230748293</v>
      </c>
      <c r="K480">
        <f ca="1"/>
        <v>0</v>
      </c>
      <c r="L480">
        <f ca="1"/>
        <v>0</v>
      </c>
    </row>
    <row r="481" spans="2:12">
      <c r="B481">
        <v>9.4200000000000006E-2</v>
      </c>
      <c r="C481">
        <f ca="1"/>
        <v>7.0357621017208979E-2</v>
      </c>
      <c r="D481">
        <f ca="1"/>
        <v>1</v>
      </c>
      <c r="E481">
        <f ca="1"/>
        <v>101.22620947119117</v>
      </c>
      <c r="F481">
        <f ca="1"/>
        <v>-1.0864783659042854</v>
      </c>
      <c r="G481">
        <f ca="1"/>
        <v>1.073317248151523E-2</v>
      </c>
      <c r="H481">
        <f ca="1"/>
        <v>45.462430431781165</v>
      </c>
      <c r="I481">
        <f ca="1"/>
        <v>-0.42314458323306181</v>
      </c>
      <c r="J481">
        <f ca="1"/>
        <v>2.6291082128313619</v>
      </c>
      <c r="K481">
        <f ca="1"/>
        <v>0</v>
      </c>
      <c r="L481">
        <f ca="1"/>
        <v>0</v>
      </c>
    </row>
    <row r="482" spans="2:12">
      <c r="B482">
        <v>9.4399999999999998E-2</v>
      </c>
      <c r="C482">
        <f ca="1"/>
        <v>6.3303281671646075E-2</v>
      </c>
      <c r="D482">
        <f ca="1"/>
        <v>1</v>
      </c>
      <c r="E482">
        <f ca="1"/>
        <v>101.08308903202921</v>
      </c>
      <c r="F482">
        <f ca="1"/>
        <v>0.70802133115895782</v>
      </c>
      <c r="G482">
        <f ca="1"/>
        <v>-7.0043499653499319E-3</v>
      </c>
      <c r="H482">
        <f ca="1"/>
        <v>46.170451762940125</v>
      </c>
      <c r="I482">
        <f ca="1"/>
        <v>-0.43014893319841174</v>
      </c>
      <c r="J482">
        <f ca="1"/>
        <v>2.6896688514126836</v>
      </c>
      <c r="K482">
        <f ca="1"/>
        <v>0</v>
      </c>
      <c r="L482">
        <f ca="1"/>
        <v>0</v>
      </c>
    </row>
    <row r="483" spans="2:12">
      <c r="B483">
        <v>9.4600000000000004E-2</v>
      </c>
      <c r="C483">
        <f ca="1"/>
        <v>9.1680599166025875E-2</v>
      </c>
      <c r="D483">
        <f ca="1"/>
        <v>1</v>
      </c>
      <c r="E483">
        <f ca="1"/>
        <v>101.6580068535053</v>
      </c>
      <c r="F483">
        <f ca="1"/>
        <v>-2.8544332481583541</v>
      </c>
      <c r="G483">
        <f ca="1"/>
        <v>2.8078784313288252E-2</v>
      </c>
      <c r="H483">
        <f ca="1"/>
        <v>43.316018514781774</v>
      </c>
      <c r="I483">
        <f ca="1"/>
        <v>-0.40207014888512349</v>
      </c>
      <c r="J483">
        <f ca="1"/>
        <v>2.4423685638279977</v>
      </c>
      <c r="K483">
        <f ca="1"/>
        <v>0</v>
      </c>
      <c r="L483">
        <f ca="1"/>
        <v>0</v>
      </c>
    </row>
    <row r="484" spans="2:12">
      <c r="B484">
        <v>9.4800000000000009E-2</v>
      </c>
      <c r="C484">
        <f ca="1"/>
        <v>7.8173375867768638E-2</v>
      </c>
      <c r="D484">
        <f ca="1"/>
        <v>1</v>
      </c>
      <c r="E484">
        <f ca="1"/>
        <v>101.38334844584239</v>
      </c>
      <c r="F484">
        <f ca="1"/>
        <v>1.347919602794978</v>
      </c>
      <c r="G484">
        <f ca="1"/>
        <v>-1.3295276033568948E-2</v>
      </c>
      <c r="H484">
        <f ca="1"/>
        <v>44.663938117576755</v>
      </c>
      <c r="I484">
        <f ca="1"/>
        <v>-0.41536542491869244</v>
      </c>
      <c r="J484">
        <f ca="1"/>
        <v>2.552800510689579</v>
      </c>
      <c r="K484">
        <f ca="1"/>
        <v>0</v>
      </c>
      <c r="L484">
        <f ca="1"/>
        <v>0</v>
      </c>
    </row>
    <row r="485" spans="2:12">
      <c r="B485">
        <v>9.5000000000000001E-2</v>
      </c>
      <c r="C485">
        <f ca="1"/>
        <v>7.4851848282093944E-2</v>
      </c>
      <c r="D485">
        <f ca="1"/>
        <v>1</v>
      </c>
      <c r="E485">
        <f ca="1"/>
        <v>101.31561603022487</v>
      </c>
      <c r="F485">
        <f ca="1"/>
        <v>0.33216187625347793</v>
      </c>
      <c r="G485">
        <f ca="1"/>
        <v>-3.2784864689998638E-3</v>
      </c>
      <c r="H485">
        <f ca="1"/>
        <v>44.996099993830235</v>
      </c>
      <c r="I485">
        <f ca="1"/>
        <v>-0.4186439113876923</v>
      </c>
      <c r="J485">
        <f ca="1"/>
        <v>2.5809342142833174</v>
      </c>
      <c r="K485">
        <f ca="1"/>
        <v>0</v>
      </c>
      <c r="L485">
        <f ca="1"/>
        <v>0</v>
      </c>
    </row>
    <row r="486" spans="2:12">
      <c r="B486">
        <v>9.5200000000000007E-2</v>
      </c>
      <c r="C486">
        <f ca="1"/>
        <v>6.76578385130569E-2</v>
      </c>
      <c r="D486">
        <f ca="1"/>
        <v>1</v>
      </c>
      <c r="E486">
        <f ca="1"/>
        <v>101.16954306398556</v>
      </c>
      <c r="F486">
        <f ca="1"/>
        <v>0.72267262852881708</v>
      </c>
      <c r="G486">
        <f ca="1"/>
        <v>-7.1431836760570966E-3</v>
      </c>
      <c r="H486">
        <f ca="1"/>
        <v>45.718772622359054</v>
      </c>
      <c r="I486">
        <f ca="1"/>
        <v>-0.4257870950637494</v>
      </c>
      <c r="J486">
        <f ca="1"/>
        <v>2.6420867722177448</v>
      </c>
      <c r="K486">
        <f ca="1"/>
        <v>0</v>
      </c>
      <c r="L486">
        <f ca="1"/>
        <v>0</v>
      </c>
    </row>
    <row r="487" spans="2:12">
      <c r="B487">
        <v>9.5399999999999999E-2</v>
      </c>
      <c r="C487">
        <f ca="1"/>
        <v>3.6540522994910216E-2</v>
      </c>
      <c r="D487">
        <f ca="1"/>
        <v>1</v>
      </c>
      <c r="E487">
        <f ca="1"/>
        <v>100.54147114448175</v>
      </c>
      <c r="F487">
        <f ca="1"/>
        <v>3.1384028149556942</v>
      </c>
      <c r="G487">
        <f ca="1"/>
        <v>-3.1215007889089819E-2</v>
      </c>
      <c r="H487">
        <f ca="1"/>
        <v>48.857175437314751</v>
      </c>
      <c r="I487">
        <f ca="1"/>
        <v>-0.45700210295283922</v>
      </c>
      <c r="J487">
        <f ca="1"/>
        <v>2.9095116903143889</v>
      </c>
      <c r="K487">
        <f ca="1"/>
        <v>0</v>
      </c>
      <c r="L487">
        <f ca="1"/>
        <v>0</v>
      </c>
    </row>
    <row r="488" spans="2:12">
      <c r="B488">
        <v>9.5600000000000004E-2</v>
      </c>
      <c r="C488">
        <f ca="1"/>
        <v>3.9807369557514516E-2</v>
      </c>
      <c r="D488">
        <f ca="1"/>
        <v>1</v>
      </c>
      <c r="E488">
        <f ca="1"/>
        <v>100.60678089325702</v>
      </c>
      <c r="F488">
        <f ca="1"/>
        <v>-0.33032579845306853</v>
      </c>
      <c r="G488">
        <f ca="1"/>
        <v>3.2833353330680715E-3</v>
      </c>
      <c r="H488">
        <f ca="1"/>
        <v>48.526849638861684</v>
      </c>
      <c r="I488">
        <f ca="1"/>
        <v>-0.45371876761977115</v>
      </c>
      <c r="J488">
        <f ca="1"/>
        <v>2.8796649977807718</v>
      </c>
      <c r="K488">
        <f ca="1"/>
        <v>0</v>
      </c>
      <c r="L488">
        <f ca="1"/>
        <v>0</v>
      </c>
    </row>
    <row r="489" spans="2:12">
      <c r="B489">
        <v>9.580000000000001E-2</v>
      </c>
      <c r="C489">
        <f ca="1"/>
        <v>4.6435434233363319E-2</v>
      </c>
      <c r="D489">
        <f ca="1"/>
        <v>1</v>
      </c>
      <c r="E489">
        <f ca="1"/>
        <v>100.73983201792878</v>
      </c>
      <c r="F489">
        <f ca="1"/>
        <v>-0.67203557778662415</v>
      </c>
      <c r="G489">
        <f ca="1"/>
        <v>6.671001572317703E-3</v>
      </c>
      <c r="H489">
        <f ca="1"/>
        <v>47.854814061075061</v>
      </c>
      <c r="I489">
        <f ca="1"/>
        <v>-0.44704776604745344</v>
      </c>
      <c r="J489">
        <f ca="1"/>
        <v>2.8192972054642809</v>
      </c>
      <c r="K489">
        <f ca="1"/>
        <v>0</v>
      </c>
      <c r="L489">
        <f ca="1"/>
        <v>0</v>
      </c>
    </row>
    <row r="490" spans="2:12">
      <c r="B490">
        <v>9.6000000000000002E-2</v>
      </c>
      <c r="C490">
        <f ca="1"/>
        <v>5.8814359565901468E-2</v>
      </c>
      <c r="D490">
        <f ca="1"/>
        <v>1</v>
      </c>
      <c r="E490">
        <f ca="1"/>
        <v>100.98914723018524</v>
      </c>
      <c r="F490">
        <f ca="1"/>
        <v>-1.2562106577238163</v>
      </c>
      <c r="G490">
        <f ca="1"/>
        <v>1.2439065901413415E-2</v>
      </c>
      <c r="H490">
        <f ca="1"/>
        <v>46.598603403351241</v>
      </c>
      <c r="I490">
        <f ca="1"/>
        <v>-0.43460870014604003</v>
      </c>
      <c r="J490">
        <f ca="1"/>
        <v>2.7078413967833725</v>
      </c>
      <c r="K490">
        <f ca="1"/>
        <v>0</v>
      </c>
      <c r="L490">
        <f ca="1"/>
        <v>0</v>
      </c>
    </row>
    <row r="491" spans="2:12">
      <c r="B491">
        <v>9.6200000000000008E-2</v>
      </c>
      <c r="C491">
        <f ca="1"/>
        <v>7.3340033861583512E-2</v>
      </c>
      <c r="D491">
        <f ca="1"/>
        <v>1</v>
      </c>
      <c r="E491">
        <f ca="1"/>
        <v>101.28255576868727</v>
      </c>
      <c r="F491">
        <f ca="1"/>
        <v>-1.4718103503227686</v>
      </c>
      <c r="G491">
        <f ca="1"/>
        <v>1.4531726012958657E-2</v>
      </c>
      <c r="H491">
        <f ca="1"/>
        <v>45.126793053028472</v>
      </c>
      <c r="I491">
        <f ca="1"/>
        <v>-0.42007697413308137</v>
      </c>
      <c r="J491">
        <f ca="1"/>
        <v>2.5803234932532533</v>
      </c>
      <c r="K491">
        <f ca="1"/>
        <v>0</v>
      </c>
      <c r="L491">
        <f ca="1"/>
        <v>0</v>
      </c>
    </row>
    <row r="492" spans="2:12">
      <c r="B492">
        <v>9.64E-2</v>
      </c>
      <c r="C492">
        <f ca="1"/>
        <v>6.5723121874363841E-2</v>
      </c>
      <c r="D492">
        <f ca="1"/>
        <v>1</v>
      </c>
      <c r="E492">
        <f ca="1"/>
        <v>101.1279766565969</v>
      </c>
      <c r="F492">
        <f ca="1"/>
        <v>0.76860035990350584</v>
      </c>
      <c r="G492">
        <f ca="1"/>
        <v>-7.6002742793269129E-3</v>
      </c>
      <c r="H492">
        <f ca="1"/>
        <v>45.89539341293198</v>
      </c>
      <c r="I492">
        <f ca="1"/>
        <v>-0.42767724841240828</v>
      </c>
      <c r="J492">
        <f ca="1"/>
        <v>2.645258618924359</v>
      </c>
      <c r="K492">
        <f ca="1"/>
        <v>0</v>
      </c>
      <c r="L492">
        <f ca="1"/>
        <v>0</v>
      </c>
    </row>
    <row r="493" spans="2:12">
      <c r="B493">
        <v>9.6600000000000005E-2</v>
      </c>
      <c r="C493">
        <f ca="1"/>
        <v>6.7761171547340363E-2</v>
      </c>
      <c r="D493">
        <f ca="1"/>
        <v>1</v>
      </c>
      <c r="E493">
        <f ca="1"/>
        <v>101.16880115067251</v>
      </c>
      <c r="F493">
        <f ca="1"/>
        <v>-0.20712052297695072</v>
      </c>
      <c r="G493">
        <f ca="1"/>
        <v>2.047276636880202E-3</v>
      </c>
      <c r="H493">
        <f ca="1"/>
        <v>45.68827288995503</v>
      </c>
      <c r="I493">
        <f ca="1"/>
        <v>-0.42562997177552808</v>
      </c>
      <c r="J493">
        <f ca="1"/>
        <v>2.6277989116302791</v>
      </c>
      <c r="K493">
        <f ca="1"/>
        <v>0</v>
      </c>
      <c r="L493">
        <f ca="1"/>
        <v>0</v>
      </c>
    </row>
    <row r="494" spans="2:12">
      <c r="B494">
        <v>9.6800000000000011E-2</v>
      </c>
      <c r="C494">
        <f ca="1"/>
        <v>5.1186749485108901E-2</v>
      </c>
      <c r="D494">
        <f ca="1"/>
        <v>1</v>
      </c>
      <c r="E494">
        <f ca="1"/>
        <v>100.8335901644617</v>
      </c>
      <c r="F494">
        <f ca="1"/>
        <v>1.6791021619203323</v>
      </c>
      <c r="G494">
        <f ca="1"/>
        <v>-1.6652210430885994E-2</v>
      </c>
      <c r="H494">
        <f ca="1"/>
        <v>47.367375051875364</v>
      </c>
      <c r="I494">
        <f ca="1"/>
        <v>-0.44228218220641408</v>
      </c>
      <c r="J494">
        <f ca="1"/>
        <v>2.7704747542300296</v>
      </c>
      <c r="K494">
        <f ca="1"/>
        <v>0</v>
      </c>
      <c r="L494">
        <f ca="1"/>
        <v>0</v>
      </c>
    </row>
    <row r="495" spans="2:12">
      <c r="B495">
        <v>9.7000000000000003E-2</v>
      </c>
      <c r="C495">
        <f ca="1"/>
        <v>5.0123520492199258E-2</v>
      </c>
      <c r="D495">
        <f ca="1"/>
        <v>1</v>
      </c>
      <c r="E495">
        <f ca="1"/>
        <v>100.81174735695831</v>
      </c>
      <c r="F495">
        <f ca="1"/>
        <v>0.10849039020454754</v>
      </c>
      <c r="G495">
        <f ca="1"/>
        <v>-1.0761681356479258E-3</v>
      </c>
      <c r="H495">
        <f ca="1"/>
        <v>47.475865442079908</v>
      </c>
      <c r="I495">
        <f ca="1"/>
        <v>-0.443358350342062</v>
      </c>
      <c r="J495">
        <f ca="1"/>
        <v>2.7801354387981405</v>
      </c>
      <c r="K495">
        <f ca="1"/>
        <v>0</v>
      </c>
      <c r="L495">
        <f ca="1"/>
        <v>0</v>
      </c>
    </row>
    <row r="496" spans="2:12">
      <c r="B496">
        <v>9.7200000000000009E-2</v>
      </c>
      <c r="C496">
        <f ca="1"/>
        <v>4.4631141014867509E-2</v>
      </c>
      <c r="D496">
        <f ca="1"/>
        <v>1</v>
      </c>
      <c r="E496">
        <f ca="1"/>
        <v>100.70066607898428</v>
      </c>
      <c r="F496">
        <f ca="1"/>
        <v>0.55967639712897788</v>
      </c>
      <c r="G496">
        <f ca="1"/>
        <v>-5.5578221964291408E-3</v>
      </c>
      <c r="H496">
        <f ca="1"/>
        <v>48.035541839208882</v>
      </c>
      <c r="I496">
        <f ca="1"/>
        <v>-0.44891617253849114</v>
      </c>
      <c r="J496">
        <f ca="1"/>
        <v>2.8293842509545897</v>
      </c>
      <c r="K496">
        <f ca="1"/>
        <v>0</v>
      </c>
      <c r="L496">
        <f ca="1"/>
        <v>0</v>
      </c>
    </row>
    <row r="497" spans="2:12">
      <c r="B497">
        <v>9.74E-2</v>
      </c>
      <c r="C497">
        <f ca="1"/>
        <v>2.7193378490320889E-2</v>
      </c>
      <c r="D497">
        <f ca="1"/>
        <v>1</v>
      </c>
      <c r="E497">
        <f ca="1"/>
        <v>100.34967752015433</v>
      </c>
      <c r="F497">
        <f ca="1"/>
        <v>1.7776183636328708</v>
      </c>
      <c r="G497">
        <f ca="1"/>
        <v>-1.7714240917972579E-2</v>
      </c>
      <c r="H497">
        <f ca="1"/>
        <v>49.81316020284175</v>
      </c>
      <c r="I497">
        <f ca="1"/>
        <v>-0.46663041345646372</v>
      </c>
      <c r="J497">
        <f ca="1"/>
        <v>2.9869486913893297</v>
      </c>
      <c r="K497">
        <f ca="1"/>
        <v>0</v>
      </c>
      <c r="L497">
        <f ca="1"/>
        <v>0</v>
      </c>
    </row>
    <row r="498" spans="2:12">
      <c r="B498">
        <v>9.7600000000000006E-2</v>
      </c>
      <c r="C498">
        <f ca="1"/>
        <v>4.4383761213452985E-2</v>
      </c>
      <c r="D498">
        <f ca="1"/>
        <v>1</v>
      </c>
      <c r="E498">
        <f ca="1"/>
        <v>100.69487837782872</v>
      </c>
      <c r="F498">
        <f ca="1"/>
        <v>-1.7570297050255073</v>
      </c>
      <c r="G498">
        <f ca="1"/>
        <v>1.7449047392785522E-2</v>
      </c>
      <c r="H498">
        <f ca="1"/>
        <v>48.056130497816241</v>
      </c>
      <c r="I498">
        <f ca="1"/>
        <v>-0.4491813660636782</v>
      </c>
      <c r="J498">
        <f ca="1"/>
        <v>2.8258674724472073</v>
      </c>
      <c r="K498">
        <f ca="1"/>
        <v>0</v>
      </c>
      <c r="L498">
        <f ca="1"/>
        <v>0</v>
      </c>
    </row>
    <row r="499" spans="2:12">
      <c r="B499">
        <v>9.7799999999999998E-2</v>
      </c>
      <c r="C499">
        <f ca="1"/>
        <v>6.1725583774568507E-2</v>
      </c>
      <c r="D499">
        <f ca="1"/>
        <v>1</v>
      </c>
      <c r="E499">
        <f ca="1"/>
        <v>101.04432710041846</v>
      </c>
      <c r="F499">
        <f ca="1"/>
        <v>-1.7709653481283694</v>
      </c>
      <c r="G499">
        <f ca="1"/>
        <v>1.7526618257038551E-2</v>
      </c>
      <c r="H499">
        <f ca="1"/>
        <v>46.28516514968787</v>
      </c>
      <c r="I499">
        <f ca="1"/>
        <v>-0.43165474780663965</v>
      </c>
      <c r="J499">
        <f ca="1"/>
        <v>2.6689016178651386</v>
      </c>
      <c r="K499">
        <f ca="1"/>
        <v>0</v>
      </c>
      <c r="L499">
        <f ca="1"/>
        <v>0</v>
      </c>
    </row>
    <row r="500" spans="2:12">
      <c r="B500">
        <v>9.8000000000000004E-2</v>
      </c>
      <c r="C500">
        <f ca="1"/>
        <v>6.5144215175671344E-2</v>
      </c>
      <c r="D500">
        <f ca="1"/>
        <v>1</v>
      </c>
      <c r="E500">
        <f ca="1"/>
        <v>101.11303293295049</v>
      </c>
      <c r="F500">
        <f ca="1"/>
        <v>-0.34866138679787795</v>
      </c>
      <c r="G500">
        <f ca="1"/>
        <v>3.448233889186969E-3</v>
      </c>
      <c r="H500">
        <f ca="1"/>
        <v>45.936503762889991</v>
      </c>
      <c r="I500">
        <f ca="1"/>
        <v>-0.42820651391745268</v>
      </c>
      <c r="J500">
        <f ca="1"/>
        <v>2.6392444190506765</v>
      </c>
      <c r="K500">
        <f ca="1"/>
        <v>0</v>
      </c>
      <c r="L500">
        <f ca="1"/>
        <v>0</v>
      </c>
    </row>
    <row r="501" spans="2:12">
      <c r="B501">
        <v>9.820000000000001E-2</v>
      </c>
      <c r="C501">
        <f ca="1"/>
        <v>8.5559214811552292E-2</v>
      </c>
      <c r="D501">
        <f ca="1"/>
        <v>1</v>
      </c>
      <c r="E501">
        <f ca="1"/>
        <v>101.52631530327565</v>
      </c>
      <c r="F501">
        <f ca="1"/>
        <v>-2.077654441486211</v>
      </c>
      <c r="G501">
        <f ca="1"/>
        <v>2.0464196255718714E-2</v>
      </c>
      <c r="H501">
        <f ca="1"/>
        <v>43.858849321403781</v>
      </c>
      <c r="I501">
        <f ca="1"/>
        <v>-0.40774231766173397</v>
      </c>
      <c r="J501">
        <f ca="1"/>
        <v>2.4622742159901989</v>
      </c>
      <c r="K501">
        <f ca="1"/>
        <v>0</v>
      </c>
      <c r="L501">
        <f ca="1"/>
        <v>0</v>
      </c>
    </row>
    <row r="502" spans="2:12">
      <c r="B502">
        <v>9.8400000000000001E-2</v>
      </c>
      <c r="C502">
        <f ca="1"/>
        <v>7.02361423643863E-2</v>
      </c>
      <c r="D502">
        <f ca="1"/>
        <v>1</v>
      </c>
      <c r="E502">
        <f ca="1"/>
        <v>101.21524769845152</v>
      </c>
      <c r="F502">
        <f ca="1"/>
        <v>1.5511141657173695</v>
      </c>
      <c r="G502">
        <f ca="1"/>
        <v>-1.5324906088641621E-2</v>
      </c>
      <c r="H502">
        <f ca="1"/>
        <v>45.409963487121153</v>
      </c>
      <c r="I502">
        <f ca="1"/>
        <v>-0.42306722375037559</v>
      </c>
      <c r="J502">
        <f ca="1"/>
        <v>2.5891096421306798</v>
      </c>
      <c r="K502">
        <f ca="1"/>
        <v>0</v>
      </c>
      <c r="L502">
        <f ca="1"/>
        <v>0</v>
      </c>
    </row>
    <row r="503" spans="2:12">
      <c r="B503">
        <v>9.8600000000000007E-2</v>
      </c>
      <c r="C503">
        <f ca="1"/>
        <v>5.7757655148533676E-2</v>
      </c>
      <c r="D503">
        <f ca="1"/>
        <v>1</v>
      </c>
      <c r="E503">
        <f ca="1"/>
        <v>100.96255616034399</v>
      </c>
      <c r="F503">
        <f ca="1"/>
        <v>1.2703570734661287</v>
      </c>
      <c r="G503">
        <f ca="1"/>
        <v>-1.2582457514730583E-2</v>
      </c>
      <c r="H503">
        <f ca="1"/>
        <v>46.680320560587283</v>
      </c>
      <c r="I503">
        <f ca="1"/>
        <v>-0.43564968126510617</v>
      </c>
      <c r="J503">
        <f ca="1"/>
        <v>2.6960151496230438</v>
      </c>
      <c r="K503">
        <f ca="1"/>
        <v>0</v>
      </c>
      <c r="L503">
        <f ca="1"/>
        <v>0</v>
      </c>
    </row>
    <row r="504" spans="2:12">
      <c r="B504">
        <v>9.8799999999999999E-2</v>
      </c>
      <c r="C504">
        <f ca="1"/>
        <v>4.5556928552078241E-2</v>
      </c>
      <c r="D504">
        <f ca="1"/>
        <v>1</v>
      </c>
      <c r="E504">
        <f ca="1"/>
        <v>100.71609032313795</v>
      </c>
      <c r="F504">
        <f ca="1"/>
        <v>1.2470773855307553</v>
      </c>
      <c r="G504">
        <f ca="1"/>
        <v>-1.2382106786806624E-2</v>
      </c>
      <c r="H504">
        <f ca="1"/>
        <v>47.927397946118042</v>
      </c>
      <c r="I504">
        <f ca="1"/>
        <v>-0.44803178805191279</v>
      </c>
      <c r="J504">
        <f ca="1"/>
        <v>2.8033879130445953</v>
      </c>
      <c r="K504">
        <f ca="1"/>
        <v>0</v>
      </c>
      <c r="L504">
        <f ca="1"/>
        <v>0</v>
      </c>
    </row>
    <row r="505" spans="2:12">
      <c r="B505">
        <v>9.9000000000000005E-2</v>
      </c>
      <c r="C505">
        <f ca="1"/>
        <v>4.9740456358435936E-2</v>
      </c>
      <c r="D505">
        <f ca="1"/>
        <v>1</v>
      </c>
      <c r="E505">
        <f ca="1"/>
        <v>100.79999209954936</v>
      </c>
      <c r="F505">
        <f ca="1"/>
        <v>-0.42829357335566215</v>
      </c>
      <c r="G505">
        <f ca="1"/>
        <v>4.2489445131372872E-3</v>
      </c>
      <c r="H505">
        <f ca="1"/>
        <v>47.499104372762382</v>
      </c>
      <c r="I505">
        <f ca="1"/>
        <v>-0.44378284353877551</v>
      </c>
      <c r="J505">
        <f ca="1"/>
        <v>2.7657972501382631</v>
      </c>
      <c r="K505">
        <f ca="1"/>
        <v>0</v>
      </c>
      <c r="L505">
        <f ca="1"/>
        <v>0</v>
      </c>
    </row>
    <row r="506" spans="2:12">
      <c r="B506">
        <v>9.920000000000001E-2</v>
      </c>
      <c r="C506">
        <f ca="1"/>
        <v>4.1694015453349449E-2</v>
      </c>
      <c r="D506">
        <f ca="1"/>
        <v>1</v>
      </c>
      <c r="E506">
        <f ca="1"/>
        <v>100.63750376914236</v>
      </c>
      <c r="F506">
        <f ca="1"/>
        <v>0.82514880264465928</v>
      </c>
      <c r="G506">
        <f ca="1"/>
        <v>-8.1992177045399628E-3</v>
      </c>
      <c r="H506">
        <f ca="1"/>
        <v>48.324253175407044</v>
      </c>
      <c r="I506">
        <f ca="1"/>
        <v>-0.45198206124331547</v>
      </c>
      <c r="J506">
        <f ca="1"/>
        <v>2.8379067834481546</v>
      </c>
      <c r="K506">
        <f ca="1"/>
        <v>0</v>
      </c>
      <c r="L506">
        <f ca="1"/>
        <v>0</v>
      </c>
    </row>
    <row r="507" spans="2:12">
      <c r="B507">
        <v>9.9400000000000002E-2</v>
      </c>
      <c r="C507">
        <f ca="1"/>
        <v>3.9846251817238519E-2</v>
      </c>
      <c r="D507">
        <f ca="1"/>
        <v>1</v>
      </c>
      <c r="E507">
        <f ca="1"/>
        <v>100.59991737583549</v>
      </c>
      <c r="F507">
        <f ca="1"/>
        <v>0.19067577017119697</v>
      </c>
      <c r="G507">
        <f ca="1"/>
        <v>-1.8953869460830997E-3</v>
      </c>
      <c r="H507">
        <f ca="1"/>
        <v>48.514928945578241</v>
      </c>
      <c r="I507">
        <f ca="1"/>
        <v>-0.45387744818939857</v>
      </c>
      <c r="J507">
        <f ca="1"/>
        <v>2.8548951589696898</v>
      </c>
      <c r="K507">
        <f ca="1"/>
        <v>0</v>
      </c>
      <c r="L507">
        <f ca="1"/>
        <v>0</v>
      </c>
    </row>
    <row r="508" spans="2:12">
      <c r="B508">
        <v>9.9600000000000008E-2</v>
      </c>
      <c r="C508">
        <f ca="1"/>
        <v>5.1668723738035362E-2</v>
      </c>
      <c r="D508">
        <f ca="1"/>
        <v>1</v>
      </c>
      <c r="E508">
        <f ca="1"/>
        <v>100.83766340453877</v>
      </c>
      <c r="F508">
        <f ca="1"/>
        <v>-1.21477596292177</v>
      </c>
      <c r="G508">
        <f ca="1"/>
        <v>1.2046847595509558E-2</v>
      </c>
      <c r="H508">
        <f ca="1"/>
        <v>47.300152982656471</v>
      </c>
      <c r="I508">
        <f ca="1"/>
        <v>-0.44183060059388901</v>
      </c>
      <c r="J508">
        <f ca="1"/>
        <v>2.7469875981446847</v>
      </c>
      <c r="K508">
        <f ca="1"/>
        <v>0</v>
      </c>
      <c r="L508">
        <f ca="1"/>
        <v>0</v>
      </c>
    </row>
    <row r="509" spans="2:12">
      <c r="B509">
        <v>9.98E-2</v>
      </c>
      <c r="C509">
        <f ca="1"/>
        <v>3.3112444620858855E-2</v>
      </c>
      <c r="D509">
        <f ca="1"/>
        <v>1</v>
      </c>
      <c r="E509">
        <f ca="1"/>
        <v>100.46372076476982</v>
      </c>
      <c r="F509">
        <f ca="1"/>
        <v>1.904735319143865</v>
      </c>
      <c r="G509">
        <f ca="1"/>
        <v>-1.8959434357440297E-2</v>
      </c>
      <c r="H509">
        <f ca="1"/>
        <v>49.204888301800338</v>
      </c>
      <c r="I509">
        <f ca="1"/>
        <v>-0.46079003495132931</v>
      </c>
      <c r="J509">
        <f ca="1"/>
        <v>2.9122068992614629</v>
      </c>
      <c r="K509">
        <f ca="1"/>
        <v>0</v>
      </c>
      <c r="L509">
        <f ca="1"/>
        <v>0</v>
      </c>
    </row>
    <row r="510" spans="2:12">
      <c r="B510">
        <v>0.1</v>
      </c>
      <c r="C510">
        <f ca="1"/>
        <v>2.9667114609118351E-2</v>
      </c>
      <c r="D510">
        <f ca="1"/>
        <v>1</v>
      </c>
      <c r="E510">
        <f ca="1"/>
        <v>100.39411689826123</v>
      </c>
      <c r="F510">
        <f ca="1"/>
        <v>0.35622107943060854</v>
      </c>
      <c r="G510">
        <f ca="1"/>
        <v>-3.5482266335546409E-3</v>
      </c>
      <c r="H510">
        <f ca="1"/>
        <v>49.561109381230949</v>
      </c>
      <c r="I510">
        <f ca="1"/>
        <v>-0.46433826158488395</v>
      </c>
      <c r="J510">
        <f ca="1"/>
        <v>2.9442796673427054</v>
      </c>
      <c r="K510">
        <f ca="1"/>
        <v>0</v>
      </c>
      <c r="L510">
        <f ca="1"/>
        <v>0</v>
      </c>
    </row>
    <row r="511" spans="2:12">
      <c r="B511">
        <v>0.10020000000000001</v>
      </c>
      <c r="C511">
        <f ca="1"/>
        <v>2.0397243711189832E-2</v>
      </c>
      <c r="D511">
        <f ca="1"/>
        <v>1</v>
      </c>
      <c r="E511">
        <f ca="1"/>
        <v>100.20776039767472</v>
      </c>
      <c r="F511">
        <f ca="1"/>
        <v>0.95632238259391655</v>
      </c>
      <c r="G511">
        <f ca="1"/>
        <v>-9.5433964275695726E-3</v>
      </c>
      <c r="H511">
        <f ca="1"/>
        <v>50.517431763824867</v>
      </c>
      <c r="I511">
        <f ca="1"/>
        <v>-0.47388165801245352</v>
      </c>
      <c r="J511">
        <f ca="1"/>
        <v>3.0308121208600909</v>
      </c>
      <c r="K511">
        <f ca="1"/>
        <v>0</v>
      </c>
      <c r="L511">
        <f ca="1"/>
        <v>0</v>
      </c>
    </row>
    <row r="512" spans="2:12">
      <c r="B512">
        <v>0.1004</v>
      </c>
      <c r="C512">
        <f ca="1"/>
        <v>1.0610293972419006E-3</v>
      </c>
      <c r="D512">
        <f ca="1"/>
        <v>1</v>
      </c>
      <c r="E512">
        <f ca="1"/>
        <v>99.820581735294084</v>
      </c>
      <c r="F512">
        <f ca="1"/>
        <v>1.9913717559290838</v>
      </c>
      <c r="G512">
        <f ca="1"/>
        <v>-1.9949510625071665E-2</v>
      </c>
      <c r="H512">
        <f ca="1"/>
        <v>52.508803519753954</v>
      </c>
      <c r="I512">
        <f ca="1"/>
        <v>-0.49383116863752519</v>
      </c>
      <c r="J512">
        <f ca="1"/>
        <v>3.2142889873360758</v>
      </c>
      <c r="K512">
        <f ca="1"/>
        <v>0</v>
      </c>
      <c r="L512">
        <f ca="1"/>
        <v>0.17941826470591593</v>
      </c>
    </row>
    <row r="513" spans="2:12">
      <c r="B513">
        <v>0.10060000000000001</v>
      </c>
      <c r="C513">
        <f ca="1"/>
        <v>-2.2377194421279927E-2</v>
      </c>
      <c r="D513">
        <f ca="1"/>
        <v>1</v>
      </c>
      <c r="E513">
        <f ca="1"/>
        <v>99.353355911509894</v>
      </c>
      <c r="F513">
        <f ca="1"/>
        <v>2.4065429308658781</v>
      </c>
      <c r="G513">
        <f ca="1"/>
        <v>-2.4222059826638276E-2</v>
      </c>
      <c r="H513">
        <f ca="1"/>
        <v>54.915346450619829</v>
      </c>
      <c r="I513">
        <f ca="1"/>
        <v>-0.51805322846416346</v>
      </c>
      <c r="J513">
        <f ca="1"/>
        <v>3.4450196619130509</v>
      </c>
      <c r="K513">
        <f ca="1"/>
        <v>0</v>
      </c>
      <c r="L513">
        <f ca="1"/>
        <v>0.64664408849010613</v>
      </c>
    </row>
    <row r="514" spans="2:12">
      <c r="B514">
        <v>0.1008</v>
      </c>
      <c r="C514">
        <f ca="1"/>
        <v>-3.3246135812667485E-2</v>
      </c>
      <c r="D514">
        <f ca="1"/>
        <v>1</v>
      </c>
      <c r="E514">
        <f ca="1"/>
        <v>99.137220771308819</v>
      </c>
      <c r="F514">
        <f ca="1"/>
        <v>1.1161702878579687</v>
      </c>
      <c r="G514">
        <f ca="1"/>
        <v>-1.1258841827256449E-2</v>
      </c>
      <c r="H514">
        <f ca="1"/>
        <v>56.031516738477798</v>
      </c>
      <c r="I514">
        <f ca="1"/>
        <v>-0.52931207029141991</v>
      </c>
      <c r="J514">
        <f ca="1"/>
        <v>3.5569891690787685</v>
      </c>
      <c r="K514">
        <f ca="1"/>
        <v>0</v>
      </c>
      <c r="L514">
        <f ca="1"/>
        <v>0.86277922869118129</v>
      </c>
    </row>
    <row r="515" spans="2:12">
      <c r="B515">
        <v>0.10100000000000001</v>
      </c>
      <c r="C515">
        <f ca="1"/>
        <v>-3.6122156574004485E-2</v>
      </c>
      <c r="D515">
        <f ca="1"/>
        <v>1</v>
      </c>
      <c r="E515">
        <f ca="1"/>
        <v>99.079816707334743</v>
      </c>
      <c r="F515">
        <f ca="1"/>
        <v>0.29965396434669966</v>
      </c>
      <c r="G515">
        <f ca="1"/>
        <v>-3.0243693852586295E-3</v>
      </c>
      <c r="H515">
        <f ca="1"/>
        <v>56.331170702824501</v>
      </c>
      <c r="I515">
        <f ca="1"/>
        <v>-0.53233643967667854</v>
      </c>
      <c r="J515">
        <f ca="1"/>
        <v>3.5873738330240315</v>
      </c>
      <c r="K515">
        <f ca="1"/>
        <v>0</v>
      </c>
      <c r="L515">
        <f ca="1"/>
        <v>0.92018329266525711</v>
      </c>
    </row>
    <row r="516" spans="2:12">
      <c r="B516">
        <v>0.1012</v>
      </c>
      <c r="C516">
        <f ca="1"/>
        <v>-1.8423981211977278E-2</v>
      </c>
      <c r="D516">
        <f ca="1"/>
        <v>1</v>
      </c>
      <c r="E516">
        <f ca="1"/>
        <v>99.430746797046254</v>
      </c>
      <c r="F516">
        <f ca="1"/>
        <v>-1.8104323151586061</v>
      </c>
      <c r="G516">
        <f ca="1"/>
        <v>1.820797261891216E-2</v>
      </c>
      <c r="H516">
        <f ca="1"/>
        <v>54.520738387665894</v>
      </c>
      <c r="I516">
        <f ca="1"/>
        <v>-0.51412846705776638</v>
      </c>
      <c r="J516">
        <f ca="1"/>
        <v>3.4005609584915888</v>
      </c>
      <c r="K516">
        <f ca="1"/>
        <v>0</v>
      </c>
      <c r="L516">
        <f ca="1"/>
        <v>0.56925320295374604</v>
      </c>
    </row>
    <row r="517" spans="2:12">
      <c r="B517">
        <v>0.1014</v>
      </c>
      <c r="C517">
        <f ca="1"/>
        <v>-2.3458512527646181E-2</v>
      </c>
      <c r="D517">
        <f ca="1"/>
        <v>1</v>
      </c>
      <c r="E517">
        <f ca="1"/>
        <v>99.330282420950198</v>
      </c>
      <c r="F517">
        <f ca="1"/>
        <v>0.52212829654484749</v>
      </c>
      <c r="G517">
        <f ca="1"/>
        <v>-5.2564865801159044E-3</v>
      </c>
      <c r="H517">
        <f ca="1"/>
        <v>55.042866684210743</v>
      </c>
      <c r="I517">
        <f ca="1"/>
        <v>-0.51938495363788229</v>
      </c>
      <c r="J517">
        <f ca="1"/>
        <v>3.4522125541677724</v>
      </c>
      <c r="K517">
        <f ca="1"/>
        <v>0</v>
      </c>
      <c r="L517">
        <f ca="1"/>
        <v>0.66971757904980223</v>
      </c>
    </row>
    <row r="518" spans="2:12">
      <c r="B518">
        <v>0.10160000000000001</v>
      </c>
      <c r="C518">
        <f ca="1"/>
        <v>-3.4260291217829537E-2</v>
      </c>
      <c r="D518">
        <f ca="1"/>
        <v>1</v>
      </c>
      <c r="E518">
        <f ca="1"/>
        <v>99.115528839637875</v>
      </c>
      <c r="F518">
        <f ca="1"/>
        <v>1.1119171429139423</v>
      </c>
      <c r="G518">
        <f ca="1"/>
        <v>-1.1218394896655881E-2</v>
      </c>
      <c r="H518">
        <f ca="1"/>
        <v>56.154783827124689</v>
      </c>
      <c r="I518">
        <f ca="1"/>
        <v>-0.53060334853453817</v>
      </c>
      <c r="J518">
        <f ca="1"/>
        <v>3.5637523330412435</v>
      </c>
      <c r="K518">
        <f ca="1"/>
        <v>0</v>
      </c>
      <c r="L518">
        <f ca="1"/>
        <v>0.88447116036212492</v>
      </c>
    </row>
    <row r="519" spans="2:12">
      <c r="B519">
        <v>0.1018</v>
      </c>
      <c r="C519">
        <f ca="1"/>
        <v>-3.9837085290450248E-2</v>
      </c>
      <c r="D519">
        <f ca="1"/>
        <v>1</v>
      </c>
      <c r="E519">
        <f ca="1"/>
        <v>99.004645069715409</v>
      </c>
      <c r="F519">
        <f ca="1"/>
        <v>0.57627406177813478</v>
      </c>
      <c r="G519">
        <f ca="1"/>
        <v>-5.8206770134102692E-3</v>
      </c>
      <c r="H519">
        <f ca="1"/>
        <v>56.731057888902825</v>
      </c>
      <c r="I519">
        <f ca="1"/>
        <v>-0.53642402554794844</v>
      </c>
      <c r="J519">
        <f ca="1"/>
        <v>3.6225876326602418</v>
      </c>
      <c r="K519">
        <f ca="1"/>
        <v>0</v>
      </c>
      <c r="L519">
        <f ca="1"/>
        <v>0.99535493028459143</v>
      </c>
    </row>
    <row r="520" spans="2:12">
      <c r="B520">
        <v>0.10200000000000001</v>
      </c>
      <c r="C520">
        <f ca="1"/>
        <v>-6.0871904526064474E-2</v>
      </c>
      <c r="D520">
        <f ca="1"/>
        <v>1</v>
      </c>
      <c r="E520">
        <f ca="1"/>
        <v>98.588616643718893</v>
      </c>
      <c r="F520">
        <f ca="1"/>
        <v>2.141599221409821</v>
      </c>
      <c r="G520">
        <f ca="1"/>
        <v>-2.1722581108417072E-2</v>
      </c>
      <c r="H520">
        <f ca="1"/>
        <v>58.872657110312645</v>
      </c>
      <c r="I520">
        <f ca="1"/>
        <v>-0.55814660665636551</v>
      </c>
      <c r="J520">
        <f ca="1"/>
        <v>3.8457552756756641</v>
      </c>
      <c r="K520">
        <f ca="1"/>
        <v>0</v>
      </c>
      <c r="L520">
        <f ca="1"/>
        <v>1.4113833562811067</v>
      </c>
    </row>
    <row r="521" spans="2:12">
      <c r="B521">
        <v>0.1022</v>
      </c>
      <c r="C521">
        <f ca="1"/>
        <v>-4.6963071257620032E-2</v>
      </c>
      <c r="D521">
        <f ca="1"/>
        <v>1</v>
      </c>
      <c r="E521">
        <f ca="1"/>
        <v>98.862853522159199</v>
      </c>
      <c r="F521">
        <f ca="1"/>
        <v>-1.4072027582311004</v>
      </c>
      <c r="G521">
        <f ca="1"/>
        <v>1.423388773535339E-2</v>
      </c>
      <c r="H521">
        <f ca="1"/>
        <v>57.465454352081544</v>
      </c>
      <c r="I521">
        <f ca="1"/>
        <v>-0.54391271892101212</v>
      </c>
      <c r="J521">
        <f ca="1"/>
        <v>3.6926908925541753</v>
      </c>
      <c r="K521">
        <f ca="1"/>
        <v>0</v>
      </c>
      <c r="L521">
        <f ca="1"/>
        <v>1.1371464778408011</v>
      </c>
    </row>
    <row r="522" spans="2:12">
      <c r="B522">
        <v>0.1024</v>
      </c>
      <c r="C522">
        <f ca="1"/>
        <v>-3.6549299341506476E-2</v>
      </c>
      <c r="D522">
        <f ca="1"/>
        <v>1</v>
      </c>
      <c r="E522">
        <f ca="1"/>
        <v>99.068578864402738</v>
      </c>
      <c r="F522">
        <f ca="1"/>
        <v>-1.0592227049097844</v>
      </c>
      <c r="G522">
        <f ca="1"/>
        <v>1.0691812853796612E-2</v>
      </c>
      <c r="H522">
        <f ca="1"/>
        <v>56.406231647171758</v>
      </c>
      <c r="I522">
        <f ca="1"/>
        <v>-0.53322090606721551</v>
      </c>
      <c r="J522">
        <f ca="1"/>
        <v>3.5807942623035345</v>
      </c>
      <c r="K522">
        <f ca="1"/>
        <v>0</v>
      </c>
      <c r="L522">
        <f ca="1"/>
        <v>0.9314211355972617</v>
      </c>
    </row>
    <row r="523" spans="2:12">
      <c r="B523">
        <v>0.10260000000000001</v>
      </c>
      <c r="C523">
        <f ca="1"/>
        <v>-1.3266510815594445E-2</v>
      </c>
      <c r="D523">
        <f ca="1"/>
        <v>1</v>
      </c>
      <c r="E523">
        <f ca="1"/>
        <v>99.530575042904715</v>
      </c>
      <c r="F523">
        <f ca="1"/>
        <v>-2.3978464191599205</v>
      </c>
      <c r="G523">
        <f ca="1"/>
        <v>2.4091555967864942E-2</v>
      </c>
      <c r="H523">
        <f ca="1"/>
        <v>54.008385228011839</v>
      </c>
      <c r="I523">
        <f ca="1"/>
        <v>-0.50912935009935056</v>
      </c>
      <c r="J523">
        <f ca="1"/>
        <v>3.3344482414031233</v>
      </c>
      <c r="K523">
        <f ca="1"/>
        <v>0</v>
      </c>
      <c r="L523">
        <f ca="1"/>
        <v>0.46942495709528487</v>
      </c>
    </row>
    <row r="524" spans="2:12">
      <c r="B524">
        <v>0.1028</v>
      </c>
      <c r="C524">
        <f ca="1"/>
        <v>-5.2761297145280956E-3</v>
      </c>
      <c r="D524">
        <f ca="1"/>
        <v>1</v>
      </c>
      <c r="E524">
        <f ca="1"/>
        <v>99.689360890512702</v>
      </c>
      <c r="F524">
        <f ca="1"/>
        <v>-0.82342718286372918</v>
      </c>
      <c r="G524">
        <f ca="1"/>
        <v>8.2599304028850851E-3</v>
      </c>
      <c r="H524">
        <f ca="1"/>
        <v>53.184958045148107</v>
      </c>
      <c r="I524">
        <f ca="1"/>
        <v>-0.50086941969646548</v>
      </c>
      <c r="J524">
        <f ca="1"/>
        <v>3.2536057060054873</v>
      </c>
      <c r="K524">
        <f ca="1"/>
        <v>0</v>
      </c>
      <c r="L524">
        <f ca="1"/>
        <v>0.31063910948729756</v>
      </c>
    </row>
    <row r="525" spans="2:12">
      <c r="B525">
        <v>0.10300000000000001</v>
      </c>
      <c r="C525">
        <f ca="1"/>
        <v>-1.0083016918394954E-2</v>
      </c>
      <c r="D525">
        <f ca="1"/>
        <v>1</v>
      </c>
      <c r="E525">
        <f ca="1"/>
        <v>99.593169468408831</v>
      </c>
      <c r="F525">
        <f ca="1"/>
        <v>0.50231505108890162</v>
      </c>
      <c r="G525">
        <f ca="1"/>
        <v>-5.0436696991377206E-3</v>
      </c>
      <c r="H525">
        <f ca="1"/>
        <v>53.687273096237007</v>
      </c>
      <c r="I525">
        <f ca="1"/>
        <v>-0.5059130893956032</v>
      </c>
      <c r="J525">
        <f ca="1"/>
        <v>3.3017850477744304</v>
      </c>
      <c r="K525">
        <f ca="1"/>
        <v>0</v>
      </c>
      <c r="L525">
        <f ca="1"/>
        <v>0.40683053159116866</v>
      </c>
    </row>
    <row r="526" spans="2:12">
      <c r="B526">
        <v>0.1032</v>
      </c>
      <c r="C526">
        <f ca="1"/>
        <v>-2.3297282776997913E-2</v>
      </c>
      <c r="D526">
        <f ca="1"/>
        <v>1</v>
      </c>
      <c r="E526">
        <f ca="1"/>
        <v>99.32990953081628</v>
      </c>
      <c r="F526">
        <f ca="1"/>
        <v>1.3704516628412686</v>
      </c>
      <c r="G526">
        <f ca="1"/>
        <v>-1.3796968801387033E-2</v>
      </c>
      <c r="H526">
        <f ca="1"/>
        <v>55.057724759078276</v>
      </c>
      <c r="I526">
        <f ca="1"/>
        <v>-0.51971005819699023</v>
      </c>
      <c r="J526">
        <f ca="1"/>
        <v>3.4349716961159729</v>
      </c>
      <c r="K526">
        <f ca="1"/>
        <v>0</v>
      </c>
      <c r="L526">
        <f ca="1"/>
        <v>0.67009046918371951</v>
      </c>
    </row>
    <row r="527" spans="2:12">
      <c r="B527">
        <v>0.10340000000000001</v>
      </c>
      <c r="C527">
        <f ca="1"/>
        <v>-1.2974362264487331E-2</v>
      </c>
      <c r="D527">
        <f ca="1"/>
        <v>1</v>
      </c>
      <c r="E527">
        <f ca="1"/>
        <v>99.534798185954685</v>
      </c>
      <c r="F527">
        <f ca="1"/>
        <v>-1.0643745749754792</v>
      </c>
      <c r="G527">
        <f ca="1"/>
        <v>1.0693492068843846E-2</v>
      </c>
      <c r="H527">
        <f ca="1"/>
        <v>53.993350184102795</v>
      </c>
      <c r="I527">
        <f ca="1"/>
        <v>-0.50901656612814639</v>
      </c>
      <c r="J527">
        <f ca="1"/>
        <v>3.3284890012300892</v>
      </c>
      <c r="K527">
        <f ca="1"/>
        <v>0</v>
      </c>
      <c r="L527">
        <f ca="1"/>
        <v>0.46520181404531513</v>
      </c>
    </row>
    <row r="528" spans="2:12">
      <c r="B528">
        <v>0.10360000000000001</v>
      </c>
      <c r="C528">
        <f ca="1"/>
        <v>-2.2961008790608133E-2</v>
      </c>
      <c r="D528">
        <f ca="1"/>
        <v>1</v>
      </c>
      <c r="E528">
        <f ca="1"/>
        <v>99.335795478852773</v>
      </c>
      <c r="F528">
        <f ca="1"/>
        <v>1.038406346109189</v>
      </c>
      <c r="G528">
        <f ca="1"/>
        <v>-1.0453496054503852E-2</v>
      </c>
      <c r="H528">
        <f ca="1"/>
        <v>55.031756530211986</v>
      </c>
      <c r="I528">
        <f ca="1"/>
        <v>-0.51947006218265024</v>
      </c>
      <c r="J528">
        <f ca="1"/>
        <v>3.4297846758493122</v>
      </c>
      <c r="K528">
        <f ca="1"/>
        <v>0</v>
      </c>
      <c r="L528">
        <f ca="1"/>
        <v>0.6642045211472265</v>
      </c>
    </row>
    <row r="529" spans="2:12">
      <c r="B529">
        <v>0.1038</v>
      </c>
      <c r="C529">
        <f ca="1"/>
        <v>-2.062737364577746E-2</v>
      </c>
      <c r="D529">
        <f ca="1"/>
        <v>1</v>
      </c>
      <c r="E529">
        <f ca="1"/>
        <v>99.381771472711861</v>
      </c>
      <c r="F529">
        <f ca="1"/>
        <v>-0.23625814659509986</v>
      </c>
      <c r="G529">
        <f ca="1"/>
        <v>2.3772784796854962E-3</v>
      </c>
      <c r="H529">
        <f ca="1"/>
        <v>54.795498383616888</v>
      </c>
      <c r="I529">
        <f ca="1"/>
        <v>-0.51709278370296474</v>
      </c>
      <c r="J529">
        <f ca="1"/>
        <v>3.4059015234604217</v>
      </c>
      <c r="K529">
        <f ca="1"/>
        <v>0</v>
      </c>
      <c r="L529">
        <f ca="1"/>
        <v>0.61822852728813871</v>
      </c>
    </row>
    <row r="530" spans="2:12">
      <c r="B530">
        <v>0.10400000000000001</v>
      </c>
      <c r="C530">
        <f ca="1"/>
        <v>-2.1944525878709265E-2</v>
      </c>
      <c r="D530">
        <f ca="1"/>
        <v>1</v>
      </c>
      <c r="E530">
        <f ca="1"/>
        <v>99.355197314712214</v>
      </c>
      <c r="F530">
        <f ca="1"/>
        <v>0.14180549042958532</v>
      </c>
      <c r="G530">
        <f ca="1"/>
        <v>-1.4272579015711662E-3</v>
      </c>
      <c r="H530">
        <f ca="1"/>
        <v>54.937303874046471</v>
      </c>
      <c r="I530">
        <f ca="1"/>
        <v>-0.51852004160453591</v>
      </c>
      <c r="J530">
        <f ca="1"/>
        <v>3.4196428287950198</v>
      </c>
      <c r="K530">
        <f ca="1"/>
        <v>0</v>
      </c>
      <c r="L530">
        <f ca="1"/>
        <v>0.64480268528778595</v>
      </c>
    </row>
    <row r="531" spans="2:12">
      <c r="B531">
        <v>0.1042</v>
      </c>
      <c r="C531">
        <f ca="1"/>
        <v>-9.7089710159962896E-3</v>
      </c>
      <c r="D531">
        <f ca="1"/>
        <v>1</v>
      </c>
      <c r="E531">
        <f ca="1"/>
        <v>99.598229844286578</v>
      </c>
      <c r="F531">
        <f ca="1"/>
        <v>-1.2671589538670402</v>
      </c>
      <c r="G531">
        <f ca="1"/>
        <v>1.2722705572660642E-2</v>
      </c>
      <c r="H531">
        <f ca="1"/>
        <v>53.670144920179432</v>
      </c>
      <c r="I531">
        <f ca="1"/>
        <v>-0.50579733603187527</v>
      </c>
      <c r="J531">
        <f ca="1"/>
        <v>3.2936255914488655</v>
      </c>
      <c r="K531">
        <f ca="1"/>
        <v>0</v>
      </c>
      <c r="L531">
        <f ca="1"/>
        <v>0.40177015571342167</v>
      </c>
    </row>
    <row r="532" spans="2:12">
      <c r="B532">
        <v>0.10440000000000001</v>
      </c>
      <c r="C532">
        <f ca="1"/>
        <v>-1.8467682803966635E-2</v>
      </c>
      <c r="D532">
        <f ca="1"/>
        <v>1</v>
      </c>
      <c r="E532">
        <f ca="1"/>
        <v>99.423514435911002</v>
      </c>
      <c r="F532">
        <f ca="1"/>
        <v>0.91467811812572242</v>
      </c>
      <c r="G532">
        <f ca="1"/>
        <v>-9.1998167970146483E-3</v>
      </c>
      <c r="H532">
        <f ca="1"/>
        <v>54.584823038305153</v>
      </c>
      <c r="I532">
        <f ca="1"/>
        <v>-0.51499715282888991</v>
      </c>
      <c r="J532">
        <f ca="1"/>
        <v>3.3819961795689508</v>
      </c>
      <c r="K532">
        <f ca="1"/>
        <v>0</v>
      </c>
      <c r="L532">
        <f ca="1"/>
        <v>0.57648556408899765</v>
      </c>
    </row>
    <row r="533" spans="2:12">
      <c r="B533">
        <v>0.1046</v>
      </c>
      <c r="C533">
        <f ca="1"/>
        <v>-3.3257818206443218E-2</v>
      </c>
      <c r="D533">
        <f ca="1"/>
        <v>1</v>
      </c>
      <c r="E533">
        <f ca="1"/>
        <v>99.129455014695012</v>
      </c>
      <c r="F533">
        <f ca="1"/>
        <v>1.5364907713037756</v>
      </c>
      <c r="G533">
        <f ca="1"/>
        <v>-1.5499840799851117E-2</v>
      </c>
      <c r="H533">
        <f ca="1"/>
        <v>56.121313809608928</v>
      </c>
      <c r="I533">
        <f ca="1"/>
        <v>-0.53049699362874103</v>
      </c>
      <c r="J533">
        <f ca="1"/>
        <v>3.5334359442576968</v>
      </c>
      <c r="K533">
        <f ca="1"/>
        <v>0</v>
      </c>
      <c r="L533">
        <f ca="1"/>
        <v>0.87054498530498847</v>
      </c>
    </row>
    <row r="534" spans="2:12">
      <c r="B534">
        <v>0.1048</v>
      </c>
      <c r="C534">
        <f ca="1"/>
        <v>-3.2660320294024471E-2</v>
      </c>
      <c r="D534">
        <f ca="1"/>
        <v>1</v>
      </c>
      <c r="E534">
        <f ca="1"/>
        <v>99.14090508658758</v>
      </c>
      <c r="F534">
        <f ca="1"/>
        <v>-5.5622221360002763E-2</v>
      </c>
      <c r="G534">
        <f ca="1"/>
        <v>5.6104209772367408E-4</v>
      </c>
      <c r="H534">
        <f ca="1"/>
        <v>56.065691588248924</v>
      </c>
      <c r="I534">
        <f ca="1"/>
        <v>-0.52993595153101736</v>
      </c>
      <c r="J534">
        <f ca="1"/>
        <v>3.5273617155418577</v>
      </c>
      <c r="K534">
        <f ca="1"/>
        <v>0</v>
      </c>
      <c r="L534">
        <f ca="1"/>
        <v>0.85909491341242017</v>
      </c>
    </row>
    <row r="535" spans="2:12">
      <c r="B535">
        <v>0.10500000000000001</v>
      </c>
      <c r="C535">
        <f ca="1"/>
        <v>-2.2739641048838473E-2</v>
      </c>
      <c r="D535">
        <f ca="1"/>
        <v>1</v>
      </c>
      <c r="E535">
        <f ca="1"/>
        <v>99.337412037877314</v>
      </c>
      <c r="F535">
        <f ca="1"/>
        <v>-1.0242524980464545</v>
      </c>
      <c r="G535">
        <f ca="1"/>
        <v>1.0310843387543733E-2</v>
      </c>
      <c r="H535">
        <f ca="1"/>
        <v>55.041439090202473</v>
      </c>
      <c r="I535">
        <f ca="1"/>
        <v>-0.51962510814347362</v>
      </c>
      <c r="J535">
        <f ca="1"/>
        <v>3.4232256173276738</v>
      </c>
      <c r="K535">
        <f ca="1"/>
        <v>0</v>
      </c>
      <c r="L535">
        <f ca="1"/>
        <v>0.66258796212268578</v>
      </c>
    </row>
    <row r="536" spans="2:12">
      <c r="B536">
        <v>0.1052</v>
      </c>
      <c r="C536">
        <f ca="1"/>
        <v>-1.6982865437350003E-2</v>
      </c>
      <c r="D536">
        <f ca="1"/>
        <v>1</v>
      </c>
      <c r="E536">
        <f ca="1"/>
        <v>99.451452736494133</v>
      </c>
      <c r="F536">
        <f ca="1"/>
        <v>-0.5941865590683858</v>
      </c>
      <c r="G536">
        <f ca="1"/>
        <v>5.9746393111294038E-3</v>
      </c>
      <c r="H536">
        <f ca="1"/>
        <v>54.44725253113409</v>
      </c>
      <c r="I536">
        <f ca="1"/>
        <v>-0.51365046883234422</v>
      </c>
      <c r="J536">
        <f ca="1"/>
        <v>3.3639672069761559</v>
      </c>
      <c r="K536">
        <f ca="1"/>
        <v>0</v>
      </c>
      <c r="L536">
        <f ca="1"/>
        <v>0.54854726350586702</v>
      </c>
    </row>
    <row r="537" spans="2:12">
      <c r="B537">
        <v>0.10540000000000001</v>
      </c>
      <c r="C537">
        <f ca="1"/>
        <v>1.4805633408227742E-2</v>
      </c>
      <c r="D537">
        <f ca="1"/>
        <v>1</v>
      </c>
      <c r="E537">
        <f ca="1"/>
        <v>100.08534906977229</v>
      </c>
      <c r="F537">
        <f ca="1"/>
        <v>-3.3316413387958028</v>
      </c>
      <c r="G537">
        <f ca="1"/>
        <v>3.3288002387574456E-2</v>
      </c>
      <c r="H537">
        <f ca="1"/>
        <v>51.115611192338285</v>
      </c>
      <c r="I537">
        <f ca="1"/>
        <v>-0.48036246644476976</v>
      </c>
      <c r="J537">
        <f ca="1"/>
        <v>3.038366058196722</v>
      </c>
      <c r="K537">
        <f ca="1"/>
        <v>0</v>
      </c>
      <c r="L537">
        <f ca="1"/>
        <v>0</v>
      </c>
    </row>
    <row r="538" spans="2:12">
      <c r="B538">
        <v>0.1056</v>
      </c>
      <c r="C538">
        <f ca="1"/>
        <v>1.0387915467648797E-2</v>
      </c>
      <c r="D538">
        <f ca="1"/>
        <v>1</v>
      </c>
      <c r="E538">
        <f ca="1"/>
        <v>99.996558368578476</v>
      </c>
      <c r="F538">
        <f ca="1"/>
        <v>0.46617479005471452</v>
      </c>
      <c r="G538">
        <f ca="1"/>
        <v>-4.6619083462496325E-3</v>
      </c>
      <c r="H538">
        <f ca="1"/>
        <v>51.581785982393001</v>
      </c>
      <c r="I538">
        <f ca="1"/>
        <v>-0.4850243747910194</v>
      </c>
      <c r="J538">
        <f ca="1"/>
        <v>3.0810177784195432</v>
      </c>
      <c r="K538">
        <f ca="1"/>
        <v>0</v>
      </c>
      <c r="L538">
        <f ca="1"/>
        <v>3.4416314215235388E-3</v>
      </c>
    </row>
    <row r="539" spans="2:12">
      <c r="B539">
        <v>0.10580000000000001</v>
      </c>
      <c r="C539">
        <f ca="1"/>
        <v>1.6677153595485487E-2</v>
      </c>
      <c r="D539">
        <f ca="1"/>
        <v>1</v>
      </c>
      <c r="E539">
        <f ca="1"/>
        <v>100.12201745270464</v>
      </c>
      <c r="F539">
        <f ca="1"/>
        <v>-0.65767342875272539</v>
      </c>
      <c r="G539">
        <f ca="1"/>
        <v>6.5687193035577351E-3</v>
      </c>
      <c r="H539">
        <f ca="1"/>
        <v>50.924112553640278</v>
      </c>
      <c r="I539">
        <f ca="1"/>
        <v>-0.47845565548746166</v>
      </c>
      <c r="J539">
        <f ca="1"/>
        <v>3.0201670645794039</v>
      </c>
      <c r="K539">
        <f ca="1"/>
        <v>0</v>
      </c>
      <c r="L539">
        <f ca="1"/>
        <v>0</v>
      </c>
    </row>
    <row r="540" spans="2:12">
      <c r="B540">
        <v>0.10600000000000001</v>
      </c>
      <c r="C540">
        <f ca="1"/>
        <v>2.1283937979906686E-2</v>
      </c>
      <c r="D540">
        <f ca="1"/>
        <v>1</v>
      </c>
      <c r="E540">
        <f ca="1"/>
        <v>100.21390721535116</v>
      </c>
      <c r="F540">
        <f ca="1"/>
        <v>-0.48176217198752619</v>
      </c>
      <c r="G540">
        <f ca="1"/>
        <v>4.8073384760087268E-3</v>
      </c>
      <c r="H540">
        <f ca="1"/>
        <v>50.442350381652751</v>
      </c>
      <c r="I540">
        <f ca="1"/>
        <v>-0.47364831701145294</v>
      </c>
      <c r="J540">
        <f ca="1"/>
        <v>2.9762018879597747</v>
      </c>
      <c r="K540">
        <f ca="1"/>
        <v>0</v>
      </c>
      <c r="L540">
        <f ca="1"/>
        <v>0</v>
      </c>
    </row>
    <row r="541" spans="2:12">
      <c r="B541">
        <v>0.1062</v>
      </c>
      <c r="C541">
        <f ca="1"/>
        <v>3.2480484231361011E-2</v>
      </c>
      <c r="D541">
        <f ca="1"/>
        <v>1</v>
      </c>
      <c r="E541">
        <f ca="1"/>
        <v>100.43816684058669</v>
      </c>
      <c r="F541">
        <f ca="1"/>
        <v>-1.1767994220143265</v>
      </c>
      <c r="G541">
        <f ca="1"/>
        <v>1.1716655719952729E-2</v>
      </c>
      <c r="H541">
        <f ca="1"/>
        <v>49.265550959638425</v>
      </c>
      <c r="I541">
        <f ca="1"/>
        <v>-0.46193166129150021</v>
      </c>
      <c r="J541">
        <f ca="1"/>
        <v>2.8699816938933438</v>
      </c>
      <c r="K541">
        <f ca="1"/>
        <v>0</v>
      </c>
      <c r="L541">
        <f ca="1"/>
        <v>0</v>
      </c>
    </row>
    <row r="542" spans="2:12">
      <c r="B542">
        <v>0.10640000000000001</v>
      </c>
      <c r="C542">
        <f ca="1"/>
        <v>1.5599831973776648E-2</v>
      </c>
      <c r="D542">
        <f ca="1"/>
        <v>1</v>
      </c>
      <c r="E542">
        <f ca="1"/>
        <v>100.09924585561419</v>
      </c>
      <c r="F542">
        <f ca="1"/>
        <v>1.7755441745994693</v>
      </c>
      <c r="G542">
        <f ca="1"/>
        <v>-1.7737837677224477E-2</v>
      </c>
      <c r="H542">
        <f ca="1"/>
        <v>51.041095134237892</v>
      </c>
      <c r="I542">
        <f ca="1"/>
        <v>-0.47966949896872468</v>
      </c>
      <c r="J542">
        <f ca="1"/>
        <v>3.0265400275282417</v>
      </c>
      <c r="K542">
        <f ca="1"/>
        <v>0</v>
      </c>
      <c r="L542">
        <f ca="1"/>
        <v>0</v>
      </c>
    </row>
    <row r="543" spans="2:12">
      <c r="B543">
        <v>0.1066</v>
      </c>
      <c r="C543">
        <f ca="1"/>
        <v>-4.4365401558159115E-3</v>
      </c>
      <c r="D543">
        <f ca="1"/>
        <v>1</v>
      </c>
      <c r="E543">
        <f ca="1"/>
        <v>99.69852454953444</v>
      </c>
      <c r="F543">
        <f ca="1"/>
        <v>2.1063823021112942</v>
      </c>
      <c r="G543">
        <f ca="1"/>
        <v>-2.1127517299062482E-2</v>
      </c>
      <c r="H543">
        <f ca="1"/>
        <v>53.147477436349185</v>
      </c>
      <c r="I543">
        <f ca="1"/>
        <v>-0.50079701626778717</v>
      </c>
      <c r="J543">
        <f ca="1"/>
        <v>3.2187538156416053</v>
      </c>
      <c r="K543">
        <f ca="1"/>
        <v>0</v>
      </c>
      <c r="L543">
        <f ca="1"/>
        <v>0.3014754504655599</v>
      </c>
    </row>
    <row r="544" spans="2:12">
      <c r="B544">
        <v>0.10680000000000001</v>
      </c>
      <c r="C544">
        <f ca="1"/>
        <v>-1.0092827643561944E-2</v>
      </c>
      <c r="D544">
        <f ca="1"/>
        <v>1</v>
      </c>
      <c r="E544">
        <f ca="1"/>
        <v>99.585405273946961</v>
      </c>
      <c r="F544">
        <f ca="1"/>
        <v>0.5980570104247761</v>
      </c>
      <c r="G544">
        <f ca="1"/>
        <v>-6.005468459756691E-3</v>
      </c>
      <c r="H544">
        <f ca="1"/>
        <v>53.745534446773959</v>
      </c>
      <c r="I544">
        <f ca="1"/>
        <v>-0.50680248472754386</v>
      </c>
      <c r="J544">
        <f ca="1"/>
        <v>3.2754036113381915</v>
      </c>
      <c r="K544">
        <f ca="1"/>
        <v>0</v>
      </c>
      <c r="L544">
        <f ca="1"/>
        <v>0.41459472605303915</v>
      </c>
    </row>
    <row r="545" spans="2:12">
      <c r="B545">
        <v>0.10700000000000001</v>
      </c>
      <c r="C545">
        <f ca="1"/>
        <v>-2.3336299947772889E-2</v>
      </c>
      <c r="D545">
        <f ca="1"/>
        <v>1</v>
      </c>
      <c r="E545">
        <f ca="1"/>
        <v>99.321585692071295</v>
      </c>
      <c r="F545">
        <f ca="1"/>
        <v>1.3914322222552296</v>
      </c>
      <c r="G545">
        <f ca="1"/>
        <v>-1.4009363750686732E-2</v>
      </c>
      <c r="H545">
        <f ca="1"/>
        <v>55.136966669029192</v>
      </c>
      <c r="I545">
        <f ca="1"/>
        <v>-0.52081184847823059</v>
      </c>
      <c r="J545">
        <f ca="1"/>
        <v>3.4091080309525594</v>
      </c>
      <c r="K545">
        <f ca="1"/>
        <v>0</v>
      </c>
      <c r="L545">
        <f ca="1"/>
        <v>0.67841430792870483</v>
      </c>
    </row>
    <row r="546" spans="2:12">
      <c r="B546">
        <v>0.1072</v>
      </c>
      <c r="C546">
        <f ca="1"/>
        <v>5.1148048782021054E-3</v>
      </c>
      <c r="D546">
        <f ca="1"/>
        <v>1</v>
      </c>
      <c r="E546">
        <f ca="1"/>
        <v>99.887958910514627</v>
      </c>
      <c r="F546">
        <f ca="1"/>
        <v>-2.9935572663807726</v>
      </c>
      <c r="G546">
        <f ca="1"/>
        <v>2.9969150426455038E-2</v>
      </c>
      <c r="H546">
        <f ca="1"/>
        <v>52.143409402648416</v>
      </c>
      <c r="I546">
        <f ca="1"/>
        <v>-0.49084269805177555</v>
      </c>
      <c r="J546">
        <f ca="1"/>
        <v>3.1141341481265243</v>
      </c>
      <c r="K546">
        <f ca="1"/>
        <v>0</v>
      </c>
      <c r="L546">
        <f ca="1"/>
        <v>0.11204108948537339</v>
      </c>
    </row>
    <row r="547" spans="2:12">
      <c r="B547">
        <v>0.10740000000000001</v>
      </c>
      <c r="C547">
        <f ca="1"/>
        <v>2.3476213645128842E-2</v>
      </c>
      <c r="D547">
        <f ca="1"/>
        <v>1</v>
      </c>
      <c r="E547">
        <f ca="1"/>
        <v>100.25504897081487</v>
      </c>
      <c r="F547">
        <f ca="1"/>
        <v>-1.938798526336649</v>
      </c>
      <c r="G547">
        <f ca="1"/>
        <v>1.933866220444469E-2</v>
      </c>
      <c r="H547">
        <f ca="1"/>
        <v>50.204610876311769</v>
      </c>
      <c r="I547">
        <f ca="1"/>
        <v>-0.47150403584733086</v>
      </c>
      <c r="J547">
        <f ca="1"/>
        <v>2.9339506725007638</v>
      </c>
      <c r="K547">
        <f ca="1"/>
        <v>0</v>
      </c>
      <c r="L547">
        <f ca="1"/>
        <v>0</v>
      </c>
    </row>
    <row r="548" spans="2:12">
      <c r="B548">
        <v>0.1076</v>
      </c>
      <c r="C548">
        <f ca="1"/>
        <v>2.8027075756355269E-4</v>
      </c>
      <c r="D548">
        <f ca="1"/>
        <v>1</v>
      </c>
      <c r="E548">
        <f ca="1"/>
        <v>99.790624911223858</v>
      </c>
      <c r="F548">
        <f ca="1"/>
        <v>2.4469350546967594</v>
      </c>
      <c r="G548">
        <f ca="1"/>
        <v>-2.4520690765025388E-2</v>
      </c>
      <c r="H548">
        <f ca="1"/>
        <v>52.651545931008528</v>
      </c>
      <c r="I548">
        <f ca="1"/>
        <v>-0.49602472661235625</v>
      </c>
      <c r="J548">
        <f ca="1"/>
        <v>3.1529284909425286</v>
      </c>
      <c r="K548">
        <f ca="1"/>
        <v>0</v>
      </c>
      <c r="L548">
        <f ca="1"/>
        <v>0.20937508877614164</v>
      </c>
    </row>
    <row r="549" spans="2:12">
      <c r="B549">
        <v>0.10780000000000001</v>
      </c>
      <c r="C549">
        <f ca="1"/>
        <v>-1.1813324336173018E-2</v>
      </c>
      <c r="D549">
        <f ca="1"/>
        <v>1</v>
      </c>
      <c r="E549">
        <f ca="1"/>
        <v>99.549152893894529</v>
      </c>
      <c r="F549">
        <f ca="1"/>
        <v>1.277514729739526</v>
      </c>
      <c r="G549">
        <f ca="1"/>
        <v>-1.2833004526931313E-2</v>
      </c>
      <c r="H549">
        <f ca="1"/>
        <v>53.929060660748057</v>
      </c>
      <c r="I549">
        <f ca="1"/>
        <v>-0.50885773113928756</v>
      </c>
      <c r="J549">
        <f ca="1"/>
        <v>3.2727045823228451</v>
      </c>
      <c r="K549">
        <f ca="1"/>
        <v>0</v>
      </c>
      <c r="L549">
        <f ca="1"/>
        <v>0.45084710610547063</v>
      </c>
    </row>
    <row r="550" spans="2:12">
      <c r="B550">
        <v>0.108</v>
      </c>
      <c r="C550">
        <f ca="1"/>
        <v>-7.6055198685809631E-3</v>
      </c>
      <c r="D550">
        <f ca="1"/>
        <v>1</v>
      </c>
      <c r="E550">
        <f ca="1"/>
        <v>99.632566298367877</v>
      </c>
      <c r="F550">
        <f ca="1"/>
        <v>-0.43893243051015973</v>
      </c>
      <c r="G550">
        <f ca="1"/>
        <v>4.4055116395947946E-3</v>
      </c>
      <c r="H550">
        <f ca="1"/>
        <v>53.4901282302379</v>
      </c>
      <c r="I550">
        <f ca="1"/>
        <v>-0.50445221949969277</v>
      </c>
      <c r="J550">
        <f ca="1"/>
        <v>3.2302590265759363</v>
      </c>
      <c r="K550">
        <f ca="1"/>
        <v>0</v>
      </c>
      <c r="L550">
        <f ca="1"/>
        <v>0.36743370163212319</v>
      </c>
    </row>
    <row r="551" spans="2:12">
      <c r="B551">
        <v>0.1082</v>
      </c>
      <c r="C551">
        <f ca="1"/>
        <v>-1.1874298109635802E-2</v>
      </c>
      <c r="D551">
        <f ca="1"/>
        <v>1</v>
      </c>
      <c r="E551">
        <f ca="1"/>
        <v>99.547142543471324</v>
      </c>
      <c r="F551">
        <f ca="1"/>
        <v>0.45466248556719346</v>
      </c>
      <c r="G551">
        <f ca="1"/>
        <v>-4.5673082516521912E-3</v>
      </c>
      <c r="H551">
        <f ca="1"/>
        <v>53.944790715805091</v>
      </c>
      <c r="I551">
        <f ca="1"/>
        <v>-0.50901952775134496</v>
      </c>
      <c r="J551">
        <f ca="1"/>
        <v>3.2733512293314959</v>
      </c>
      <c r="K551">
        <f ca="1"/>
        <v>0</v>
      </c>
      <c r="L551">
        <f ca="1"/>
        <v>0.45285745652867604</v>
      </c>
    </row>
    <row r="552" spans="2:12">
      <c r="B552">
        <v>0.10840000000000001</v>
      </c>
      <c r="C552">
        <f ca="1"/>
        <v>-3.1900035476920899E-3</v>
      </c>
      <c r="D552">
        <f ca="1"/>
        <v>1</v>
      </c>
      <c r="E552">
        <f ca="1"/>
        <v>99.719793243079422</v>
      </c>
      <c r="F552">
        <f ca="1"/>
        <v>-0.91316875116678808</v>
      </c>
      <c r="G552">
        <f ca="1"/>
        <v>9.1573470167635174E-3</v>
      </c>
      <c r="H552">
        <f ca="1"/>
        <v>53.031621964638305</v>
      </c>
      <c r="I552">
        <f ca="1"/>
        <v>-0.49986218073458144</v>
      </c>
      <c r="J552">
        <f ca="1"/>
        <v>3.1854686517510444</v>
      </c>
      <c r="K552">
        <f ca="1"/>
        <v>0</v>
      </c>
      <c r="L552">
        <f ca="1"/>
        <v>0.2802067569205775</v>
      </c>
    </row>
    <row r="553" spans="2:12">
      <c r="B553">
        <v>0.1086</v>
      </c>
      <c r="C553">
        <f ca="1"/>
        <v>5.3676786019568115E-3</v>
      </c>
      <c r="D553">
        <f ca="1"/>
        <v>1</v>
      </c>
      <c r="E553">
        <f ca="1"/>
        <v>99.890213881143325</v>
      </c>
      <c r="F553">
        <f ca="1"/>
        <v>-0.9026004652435301</v>
      </c>
      <c r="G553">
        <f ca="1"/>
        <v>9.0359248436239215E-3</v>
      </c>
      <c r="H553">
        <f ca="1"/>
        <v>52.129021499394774</v>
      </c>
      <c r="I553">
        <f ca="1"/>
        <v>-0.49082625589095752</v>
      </c>
      <c r="J553">
        <f ca="1"/>
        <v>3.1002818199662414</v>
      </c>
      <c r="K553">
        <f ca="1"/>
        <v>0</v>
      </c>
      <c r="L553">
        <f ca="1"/>
        <v>0.10978611885667533</v>
      </c>
    </row>
    <row r="554" spans="2:12">
      <c r="B554">
        <v>0.10880000000000001</v>
      </c>
      <c r="C554">
        <f ca="1"/>
        <v>-7.6712715177945957E-3</v>
      </c>
      <c r="D554">
        <f ca="1"/>
        <v>1</v>
      </c>
      <c r="E554">
        <f ca="1"/>
        <v>99.629662018527767</v>
      </c>
      <c r="F554">
        <f ca="1"/>
        <v>1.3826821152366731</v>
      </c>
      <c r="G554">
        <f ca="1"/>
        <v>-1.3878217462782727E-2</v>
      </c>
      <c r="H554">
        <f ca="1"/>
        <v>53.51170361463145</v>
      </c>
      <c r="I554">
        <f ca="1"/>
        <v>-0.50470447335374025</v>
      </c>
      <c r="J554">
        <f ca="1"/>
        <v>3.2281675151592566</v>
      </c>
      <c r="K554">
        <f ca="1"/>
        <v>0</v>
      </c>
      <c r="L554">
        <f ca="1"/>
        <v>0.37033798147223251</v>
      </c>
    </row>
    <row r="555" spans="2:12">
      <c r="B555">
        <v>0.109</v>
      </c>
      <c r="C555">
        <f ca="1"/>
        <v>-1.7091054208209465E-2</v>
      </c>
      <c r="D555">
        <f ca="1"/>
        <v>1</v>
      </c>
      <c r="E555">
        <f ca="1"/>
        <v>99.441742994026256</v>
      </c>
      <c r="F555">
        <f ca="1"/>
        <v>0.99943328601190629</v>
      </c>
      <c r="G555">
        <f ca="1"/>
        <v>-1.0050440146367356E-2</v>
      </c>
      <c r="H555">
        <f ca="1"/>
        <v>54.511136900643358</v>
      </c>
      <c r="I555">
        <f ca="1"/>
        <v>-0.5147549135001076</v>
      </c>
      <c r="J555">
        <f ca="1"/>
        <v>3.3230110874534375</v>
      </c>
      <c r="K555">
        <f ca="1"/>
        <v>0</v>
      </c>
      <c r="L555">
        <f ca="1"/>
        <v>0.5582570059737435</v>
      </c>
    </row>
    <row r="556" spans="2:12">
      <c r="B556">
        <v>0.10920000000000001</v>
      </c>
      <c r="C556">
        <f ca="1"/>
        <v>4.4556663010695205E-3</v>
      </c>
      <c r="D556">
        <f ca="1"/>
        <v>1</v>
      </c>
      <c r="E556">
        <f ca="1"/>
        <v>99.870796865236173</v>
      </c>
      <c r="F556">
        <f ca="1"/>
        <v>-2.2821693436917676</v>
      </c>
      <c r="G556">
        <f ca="1"/>
        <v>2.285121792681083E-2</v>
      </c>
      <c r="H556">
        <f ca="1"/>
        <v>52.228967556951588</v>
      </c>
      <c r="I556">
        <f ca="1"/>
        <v>-0.49190369557329677</v>
      </c>
      <c r="J556">
        <f ca="1"/>
        <v>3.1021534990918909</v>
      </c>
      <c r="K556">
        <f ca="1"/>
        <v>0</v>
      </c>
      <c r="L556">
        <f ca="1"/>
        <v>0.12920313476382717</v>
      </c>
    </row>
    <row r="557" spans="2:12">
      <c r="B557">
        <v>0.10940000000000001</v>
      </c>
      <c r="C557">
        <f ca="1"/>
        <v>1.489790220052262E-2</v>
      </c>
      <c r="D557">
        <f ca="1"/>
        <v>1</v>
      </c>
      <c r="E557">
        <f ca="1"/>
        <v>100.07918938225848</v>
      </c>
      <c r="F557">
        <f ca="1"/>
        <v>-1.1075062947813388</v>
      </c>
      <c r="G557">
        <f ca="1"/>
        <v>1.1066299613510577E-2</v>
      </c>
      <c r="H557">
        <f ca="1"/>
        <v>51.12146126217025</v>
      </c>
      <c r="I557">
        <f ca="1"/>
        <v>-0.4808373959597862</v>
      </c>
      <c r="J557">
        <f ca="1"/>
        <v>2.9996444498387973</v>
      </c>
      <c r="K557">
        <f ca="1"/>
        <v>0</v>
      </c>
      <c r="L557">
        <f ca="1"/>
        <v>0</v>
      </c>
    </row>
    <row r="558" spans="2:12">
      <c r="B558">
        <v>0.1096</v>
      </c>
      <c r="C558">
        <f ca="1"/>
        <v>2.1185395618592593E-2</v>
      </c>
      <c r="D558">
        <f ca="1"/>
        <v>1</v>
      </c>
      <c r="E558">
        <f ca="1"/>
        <v>100.20471717242978</v>
      </c>
      <c r="F558">
        <f ca="1"/>
        <v>-0.66682951100050225</v>
      </c>
      <c r="G558">
        <f ca="1"/>
        <v>6.6546718539511329E-3</v>
      </c>
      <c r="H558">
        <f ca="1"/>
        <v>50.45463175116975</v>
      </c>
      <c r="I558">
        <f ca="1"/>
        <v>-0.47418272410583506</v>
      </c>
      <c r="J558">
        <f ca="1"/>
        <v>2.9392859940922449</v>
      </c>
      <c r="K558">
        <f ca="1"/>
        <v>0</v>
      </c>
      <c r="L558">
        <f ca="1"/>
        <v>0</v>
      </c>
    </row>
    <row r="559" spans="2:12">
      <c r="B559">
        <v>0.10980000000000001</v>
      </c>
      <c r="C559">
        <f ca="1"/>
        <v>-1.2246615277371333E-2</v>
      </c>
      <c r="D559">
        <f ca="1"/>
        <v>1</v>
      </c>
      <c r="E559">
        <f ca="1"/>
        <v>99.536544977013008</v>
      </c>
      <c r="F559">
        <f ca="1"/>
        <v>3.5460434879393872</v>
      </c>
      <c r="G559">
        <f ca="1"/>
        <v>-3.5625543249047986E-2</v>
      </c>
      <c r="H559">
        <f ca="1"/>
        <v>54.000675239109135</v>
      </c>
      <c r="I559">
        <f ca="1"/>
        <v>-0.50980826735488305</v>
      </c>
      <c r="J559">
        <f ca="1"/>
        <v>3.2561217058867484</v>
      </c>
      <c r="K559">
        <f ca="1"/>
        <v>0</v>
      </c>
      <c r="L559">
        <f ca="1"/>
        <v>0.46345502298699159</v>
      </c>
    </row>
    <row r="560" spans="2:12">
      <c r="B560">
        <v>0.11</v>
      </c>
      <c r="C560">
        <f ca="1"/>
        <v>-6.3141812580957274E-4</v>
      </c>
      <c r="D560">
        <f ca="1"/>
        <v>1</v>
      </c>
      <c r="E560">
        <f ca="1"/>
        <v>99.767642007565911</v>
      </c>
      <c r="F560">
        <f ca="1"/>
        <v>-1.2305017057090968</v>
      </c>
      <c r="G560">
        <f ca="1"/>
        <v>1.2333675337498518E-2</v>
      </c>
      <c r="H560">
        <f ca="1"/>
        <v>52.77017353340004</v>
      </c>
      <c r="I560">
        <f ca="1"/>
        <v>-0.49747459201738453</v>
      </c>
      <c r="J560">
        <f ca="1"/>
        <v>3.1383065291497161</v>
      </c>
      <c r="K560">
        <f ca="1"/>
        <v>0</v>
      </c>
      <c r="L560">
        <f ca="1"/>
        <v>0.23235799243408906</v>
      </c>
    </row>
    <row r="561" spans="2:12">
      <c r="B561">
        <v>0.11020000000000001</v>
      </c>
      <c r="C561">
        <f ca="1"/>
        <v>-8.1782002878300428E-3</v>
      </c>
      <c r="D561">
        <f ca="1"/>
        <v>1</v>
      </c>
      <c r="E561">
        <f ca="1"/>
        <v>99.616772193483868</v>
      </c>
      <c r="F561">
        <f ca="1"/>
        <v>0.80619307522468864</v>
      </c>
      <c r="G561">
        <f ca="1"/>
        <v>-8.0929451684986775E-3</v>
      </c>
      <c r="H561">
        <f ca="1"/>
        <v>53.576366608624731</v>
      </c>
      <c r="I561">
        <f ca="1"/>
        <v>-0.50556753718588321</v>
      </c>
      <c r="J561">
        <f ca="1"/>
        <v>3.213360428357916</v>
      </c>
      <c r="K561">
        <f ca="1"/>
        <v>0</v>
      </c>
      <c r="L561">
        <f ca="1"/>
        <v>0.38322780651613186</v>
      </c>
    </row>
    <row r="562" spans="2:12">
      <c r="B562">
        <v>0.11040000000000001</v>
      </c>
      <c r="C562">
        <f ca="1"/>
        <v>-1.3298030324120098E-3</v>
      </c>
      <c r="D562">
        <f ca="1"/>
        <v>1</v>
      </c>
      <c r="E562">
        <f ca="1"/>
        <v>99.752909711198072</v>
      </c>
      <c r="F562">
        <f ca="1"/>
        <v>-0.72475039425826249</v>
      </c>
      <c r="G562">
        <f ca="1"/>
        <v>7.2654561792386829E-3</v>
      </c>
      <c r="H562">
        <f ca="1"/>
        <v>52.851616214366466</v>
      </c>
      <c r="I562">
        <f ca="1"/>
        <v>-0.49830208100664453</v>
      </c>
      <c r="J562">
        <f ca="1"/>
        <v>3.144533718808546</v>
      </c>
      <c r="K562">
        <f ca="1"/>
        <v>0</v>
      </c>
      <c r="L562">
        <f ca="1"/>
        <v>0.24709028880192818</v>
      </c>
    </row>
    <row r="563" spans="2:12">
      <c r="B563">
        <v>0.1106</v>
      </c>
      <c r="C563">
        <f ca="1"/>
        <v>1.2393522424968995E-2</v>
      </c>
      <c r="D563">
        <f ca="1"/>
        <v>1</v>
      </c>
      <c r="E563">
        <f ca="1"/>
        <v>100.0266740053797</v>
      </c>
      <c r="F563">
        <f ca="1"/>
        <v>-1.4621344167176578</v>
      </c>
      <c r="G563">
        <f ca="1"/>
        <v>1.4617445109081806E-2</v>
      </c>
      <c r="H563">
        <f ca="1"/>
        <v>51.389481797648806</v>
      </c>
      <c r="I563">
        <f ca="1"/>
        <v>-0.48368463589756272</v>
      </c>
      <c r="J563">
        <f ca="1"/>
        <v>3.0081164013125203</v>
      </c>
      <c r="K563">
        <f ca="1"/>
        <v>0</v>
      </c>
      <c r="L563">
        <f ca="1"/>
        <v>0</v>
      </c>
    </row>
    <row r="564" spans="2:12">
      <c r="B564">
        <v>0.11080000000000001</v>
      </c>
      <c r="C564">
        <f ca="1"/>
        <v>2.9961433720174322E-2</v>
      </c>
      <c r="D564">
        <f ca="1"/>
        <v>1</v>
      </c>
      <c r="E564">
        <f ca="1"/>
        <v>100.37834258984908</v>
      </c>
      <c r="F564">
        <f ca="1"/>
        <v>-1.8784142068283003</v>
      </c>
      <c r="G564">
        <f ca="1"/>
        <v>1.8713341527301308E-2</v>
      </c>
      <c r="H564">
        <f ca="1"/>
        <v>49.511067590820502</v>
      </c>
      <c r="I564">
        <f ca="1"/>
        <v>-0.46497129437026141</v>
      </c>
      <c r="J564">
        <f ca="1"/>
        <v>2.8380197100768356</v>
      </c>
      <c r="K564">
        <f ca="1"/>
        <v>0</v>
      </c>
      <c r="L564">
        <f ca="1"/>
        <v>0</v>
      </c>
    </row>
    <row r="565" spans="2:12">
      <c r="B565">
        <v>0.111</v>
      </c>
      <c r="C565">
        <f ca="1"/>
        <v>4.3261941006040562E-2</v>
      </c>
      <c r="D565">
        <f ca="1"/>
        <v>1</v>
      </c>
      <c r="E565">
        <f ca="1"/>
        <v>100.6453120438956</v>
      </c>
      <c r="F565">
        <f ca="1"/>
        <v>-1.4225823616637396</v>
      </c>
      <c r="G565">
        <f ca="1"/>
        <v>1.413461126776866E-2</v>
      </c>
      <c r="H565">
        <f ca="1"/>
        <v>48.08848522915676</v>
      </c>
      <c r="I565">
        <f ca="1"/>
        <v>-0.45083668310249275</v>
      </c>
      <c r="J565">
        <f ca="1"/>
        <v>2.7138865774714986</v>
      </c>
      <c r="K565">
        <f ca="1"/>
        <v>0</v>
      </c>
      <c r="L565">
        <f ca="1"/>
        <v>0</v>
      </c>
    </row>
    <row r="566" spans="2:12">
      <c r="B566">
        <v>0.11120000000000001</v>
      </c>
      <c r="C566">
        <f ca="1"/>
        <v>4.7754786206125416E-2</v>
      </c>
      <c r="D566">
        <f ca="1"/>
        <v>1</v>
      </c>
      <c r="E566">
        <f ca="1"/>
        <v>100.73538650697901</v>
      </c>
      <c r="F566">
        <f ca="1"/>
        <v>-0.47985294253238309</v>
      </c>
      <c r="G566">
        <f ca="1"/>
        <v>4.7634992942538479E-3</v>
      </c>
      <c r="H566">
        <f ca="1"/>
        <v>47.608632286624378</v>
      </c>
      <c r="I566">
        <f ca="1"/>
        <v>-0.4460731838082389</v>
      </c>
      <c r="J566">
        <f ca="1"/>
        <v>2.6732777053027377</v>
      </c>
      <c r="K566">
        <f ca="1"/>
        <v>0</v>
      </c>
      <c r="L566">
        <f ca="1"/>
        <v>0</v>
      </c>
    </row>
    <row r="567" spans="2:12">
      <c r="B567">
        <v>0.1114</v>
      </c>
      <c r="C567">
        <f ca="1"/>
        <v>4.2177092082211751E-2</v>
      </c>
      <c r="D567">
        <f ca="1"/>
        <v>1</v>
      </c>
      <c r="E567">
        <f ca="1"/>
        <v>100.62267243641669</v>
      </c>
      <c r="F567">
        <f ca="1"/>
        <v>0.59688649311080622</v>
      </c>
      <c r="G567">
        <f ca="1"/>
        <v>-5.9319284477161727E-3</v>
      </c>
      <c r="H567">
        <f ca="1"/>
        <v>48.205518779735186</v>
      </c>
      <c r="I567">
        <f ca="1"/>
        <v>-0.45200511225595508</v>
      </c>
      <c r="J567">
        <f ca="1"/>
        <v>2.723556429618462</v>
      </c>
      <c r="K567">
        <f ca="1"/>
        <v>0</v>
      </c>
      <c r="L567">
        <f ca="1"/>
        <v>0</v>
      </c>
    </row>
    <row r="568" spans="2:12">
      <c r="B568">
        <v>0.1116</v>
      </c>
      <c r="C568">
        <f ca="1"/>
        <v>4.1344379359088149E-2</v>
      </c>
      <c r="D568">
        <f ca="1"/>
        <v>1</v>
      </c>
      <c r="E568">
        <f ca="1"/>
        <v>100.60551345302238</v>
      </c>
      <c r="F568">
        <f ca="1"/>
        <v>9.0012503284949905E-2</v>
      </c>
      <c r="G568">
        <f ca="1"/>
        <v>-8.9470745882114233E-4</v>
      </c>
      <c r="H568">
        <f ca="1"/>
        <v>48.295531283020139</v>
      </c>
      <c r="I568">
        <f ca="1"/>
        <v>-0.45289981971477622</v>
      </c>
      <c r="J568">
        <f ca="1"/>
        <v>2.7313123778338095</v>
      </c>
      <c r="K568">
        <f ca="1"/>
        <v>0</v>
      </c>
      <c r="L568">
        <f ca="1"/>
        <v>0</v>
      </c>
    </row>
    <row r="569" spans="2:12">
      <c r="B569">
        <v>0.11180000000000001</v>
      </c>
      <c r="C569">
        <f ca="1"/>
        <v>4.3169843408289478E-2</v>
      </c>
      <c r="D569">
        <f ca="1"/>
        <v>1</v>
      </c>
      <c r="E569">
        <f ca="1"/>
        <v>100.6418479402268</v>
      </c>
      <c r="F569">
        <f ca="1"/>
        <v>-0.19484508157597139</v>
      </c>
      <c r="G569">
        <f ca="1"/>
        <v>1.9360244824965234E-3</v>
      </c>
      <c r="H569">
        <f ca="1"/>
        <v>48.100686201444169</v>
      </c>
      <c r="I569">
        <f ca="1"/>
        <v>-0.4509637952322797</v>
      </c>
      <c r="J569">
        <f ca="1"/>
        <v>2.7148564951295029</v>
      </c>
      <c r="K569">
        <f ca="1"/>
        <v>0</v>
      </c>
      <c r="L569">
        <f ca="1"/>
        <v>0</v>
      </c>
    </row>
    <row r="570" spans="2:12">
      <c r="B570">
        <v>0.112</v>
      </c>
      <c r="C570">
        <f ca="1"/>
        <v>3.6281684224878985E-2</v>
      </c>
      <c r="D570">
        <f ca="1"/>
        <v>1</v>
      </c>
      <c r="E570">
        <f ca="1"/>
        <v>100.50289397272689</v>
      </c>
      <c r="F570">
        <f ca="1"/>
        <v>0.73936314494158939</v>
      </c>
      <c r="G570">
        <f ca="1"/>
        <v>-7.3566353735269319E-3</v>
      </c>
      <c r="H570">
        <f ca="1"/>
        <v>48.840049346385761</v>
      </c>
      <c r="I570">
        <f ca="1"/>
        <v>-0.45832043060580663</v>
      </c>
      <c r="J570">
        <f ca="1"/>
        <v>2.7775197036758428</v>
      </c>
      <c r="K570">
        <f ca="1"/>
        <v>0</v>
      </c>
      <c r="L570">
        <f ca="1"/>
        <v>0</v>
      </c>
    </row>
    <row r="571" spans="2:12">
      <c r="B571">
        <v>0.11220000000000001</v>
      </c>
      <c r="C571">
        <f ca="1"/>
        <v>2.1236049486061767E-2</v>
      </c>
      <c r="D571">
        <f ca="1"/>
        <v>1</v>
      </c>
      <c r="E571">
        <f ca="1"/>
        <v>100.20052176625931</v>
      </c>
      <c r="F571">
        <f ca="1"/>
        <v>1.6155895564200338</v>
      </c>
      <c r="G571">
        <f ca="1"/>
        <v>-1.6123564308265448E-2</v>
      </c>
      <c r="H571">
        <f ca="1"/>
        <v>50.455638902805795</v>
      </c>
      <c r="I571">
        <f ca="1"/>
        <v>-0.47444399491407208</v>
      </c>
      <c r="J571">
        <f ca="1"/>
        <v>2.9161030635472898</v>
      </c>
      <c r="K571">
        <f ca="1"/>
        <v>0</v>
      </c>
      <c r="L571">
        <f ca="1"/>
        <v>0</v>
      </c>
    </row>
    <row r="572" spans="2:12">
      <c r="B572">
        <v>0.1124</v>
      </c>
      <c r="C572">
        <f ca="1"/>
        <v>-8.1462610780945813E-4</v>
      </c>
      <c r="D572">
        <f ca="1"/>
        <v>1</v>
      </c>
      <c r="E572">
        <f ca="1"/>
        <v>99.759197872444901</v>
      </c>
      <c r="F572">
        <f ca="1"/>
        <v>2.3664799430498906</v>
      </c>
      <c r="G572">
        <f ca="1"/>
        <v>-2.3721922324152434E-2</v>
      </c>
      <c r="H572">
        <f ca="1"/>
        <v>52.822118845855684</v>
      </c>
      <c r="I572">
        <f ca="1"/>
        <v>-0.49816591723822451</v>
      </c>
      <c r="J572">
        <f ca="1"/>
        <v>3.1254865347796326</v>
      </c>
      <c r="K572">
        <f ca="1"/>
        <v>0</v>
      </c>
      <c r="L572">
        <f ca="1"/>
        <v>0.24080212755509933</v>
      </c>
    </row>
    <row r="573" spans="2:12">
      <c r="B573">
        <v>0.11260000000000001</v>
      </c>
      <c r="C573">
        <f ca="1"/>
        <v>2.7878474643152622E-2</v>
      </c>
      <c r="D573">
        <f ca="1"/>
        <v>1</v>
      </c>
      <c r="E573">
        <f ca="1"/>
        <v>100.33292245271555</v>
      </c>
      <c r="F573">
        <f ca="1"/>
        <v>-3.0905550968700242</v>
      </c>
      <c r="G573">
        <f ca="1"/>
        <v>3.0803000862718088E-2</v>
      </c>
      <c r="H573">
        <f ca="1"/>
        <v>49.731563748985657</v>
      </c>
      <c r="I573">
        <f ca="1"/>
        <v>-0.46736291637550642</v>
      </c>
      <c r="J573">
        <f ca="1"/>
        <v>2.8396765030069915</v>
      </c>
      <c r="K573">
        <f ca="1"/>
        <v>0</v>
      </c>
      <c r="L573">
        <f ca="1"/>
        <v>0</v>
      </c>
    </row>
    <row r="574" spans="2:12">
      <c r="B574">
        <v>0.11280000000000001</v>
      </c>
      <c r="C574">
        <f ca="1"/>
        <v>2.9359463402496219E-2</v>
      </c>
      <c r="D574">
        <f ca="1"/>
        <v>1</v>
      </c>
      <c r="E574">
        <f ca="1"/>
        <v>100.36224379070056</v>
      </c>
      <c r="F574">
        <f ca="1"/>
        <v>-0.15759665880390081</v>
      </c>
      <c r="G574">
        <f ca="1"/>
        <v>1.5702783522114072E-3</v>
      </c>
      <c r="H574">
        <f ca="1"/>
        <v>49.573967090181753</v>
      </c>
      <c r="I574">
        <f ca="1"/>
        <v>-0.46579263802329501</v>
      </c>
      <c r="J574">
        <f ca="1"/>
        <v>2.8259727969742769</v>
      </c>
      <c r="K574">
        <f ca="1"/>
        <v>0</v>
      </c>
      <c r="L574">
        <f ca="1"/>
        <v>0</v>
      </c>
    </row>
    <row r="575" spans="2:12">
      <c r="B575">
        <v>0.113</v>
      </c>
      <c r="C575">
        <f ca="1"/>
        <v>3.1239374786310271E-2</v>
      </c>
      <c r="D575">
        <f ca="1"/>
        <v>1</v>
      </c>
      <c r="E575">
        <f ca="1"/>
        <v>100.39958371111058</v>
      </c>
      <c r="F575">
        <f ca="1"/>
        <v>-0.20082654631054761</v>
      </c>
      <c r="G575">
        <f ca="1"/>
        <v>2.0002726992215947E-3</v>
      </c>
      <c r="H575">
        <f ca="1"/>
        <v>49.373140543871209</v>
      </c>
      <c r="I575">
        <f ca="1"/>
        <v>-0.46379236532407342</v>
      </c>
      <c r="J575">
        <f ca="1"/>
        <v>2.808580136942922</v>
      </c>
      <c r="K575">
        <f ca="1"/>
        <v>0</v>
      </c>
      <c r="L575">
        <f ca="1"/>
        <v>0</v>
      </c>
    </row>
    <row r="576" spans="2:12">
      <c r="B576">
        <v>0.11320000000000001</v>
      </c>
      <c r="C576">
        <f ca="1"/>
        <v>4.1098709464588712E-2</v>
      </c>
      <c r="D576">
        <f ca="1"/>
        <v>1</v>
      </c>
      <c r="E576">
        <f ca="1"/>
        <v>100.59735125853679</v>
      </c>
      <c r="F576">
        <f ca="1"/>
        <v>-1.0623085230276801</v>
      </c>
      <c r="G576">
        <f ca="1"/>
        <v>1.0560004908056975E-2</v>
      </c>
      <c r="H576">
        <f ca="1"/>
        <v>48.310832020843527</v>
      </c>
      <c r="I576">
        <f ca="1"/>
        <v>-0.45323236041601644</v>
      </c>
      <c r="J576">
        <f ca="1"/>
        <v>2.7168570583377729</v>
      </c>
      <c r="K576">
        <f ca="1"/>
        <v>0</v>
      </c>
      <c r="L576">
        <f ca="1"/>
        <v>0</v>
      </c>
    </row>
    <row r="577" spans="2:12">
      <c r="B577">
        <v>0.1134</v>
      </c>
      <c r="C577">
        <f ca="1"/>
        <v>3.7081935653915064E-2</v>
      </c>
      <c r="D577">
        <f ca="1"/>
        <v>1</v>
      </c>
      <c r="E577">
        <f ca="1"/>
        <v>100.51616628488746</v>
      </c>
      <c r="F577">
        <f ca="1"/>
        <v>0.43396754828894119</v>
      </c>
      <c r="G577">
        <f ca="1"/>
        <v>-4.3173905683884795E-3</v>
      </c>
      <c r="H577">
        <f ca="1"/>
        <v>48.744799569132468</v>
      </c>
      <c r="I577">
        <f ca="1"/>
        <v>-0.45754975098440492</v>
      </c>
      <c r="J577">
        <f ca="1"/>
        <v>2.7536527155751713</v>
      </c>
      <c r="K577">
        <f ca="1"/>
        <v>0</v>
      </c>
      <c r="L577">
        <f ca="1"/>
        <v>0</v>
      </c>
    </row>
    <row r="578" spans="2:12">
      <c r="B578">
        <v>0.11360000000000001</v>
      </c>
      <c r="C578">
        <f ca="1"/>
        <v>4.1426871355675209E-2</v>
      </c>
      <c r="D578">
        <f ca="1"/>
        <v>1</v>
      </c>
      <c r="E578">
        <f ca="1"/>
        <v>100.60314909020201</v>
      </c>
      <c r="F578">
        <f ca="1"/>
        <v>-0.46798601417849456</v>
      </c>
      <c r="G578">
        <f ca="1"/>
        <v>4.6518028353058072E-3</v>
      </c>
      <c r="H578">
        <f ca="1"/>
        <v>48.276813554953975</v>
      </c>
      <c r="I578">
        <f ca="1"/>
        <v>-0.45289794814909912</v>
      </c>
      <c r="J578">
        <f ca="1"/>
        <v>2.7138537546635746</v>
      </c>
      <c r="K578">
        <f ca="1"/>
        <v>0</v>
      </c>
      <c r="L578">
        <f ca="1"/>
        <v>0</v>
      </c>
    </row>
    <row r="579" spans="2:12">
      <c r="B579">
        <v>0.11380000000000001</v>
      </c>
      <c r="C579">
        <f ca="1"/>
        <v>2.7406122867839576E-2</v>
      </c>
      <c r="D579">
        <f ca="1"/>
        <v>1</v>
      </c>
      <c r="E579">
        <f ca="1"/>
        <v>100.32103667983787</v>
      </c>
      <c r="F579">
        <f ca="1"/>
        <v>1.5137777059741093</v>
      </c>
      <c r="G579">
        <f ca="1"/>
        <v>-1.5089334760416628E-2</v>
      </c>
      <c r="H579">
        <f ca="1"/>
        <v>49.790591260928082</v>
      </c>
      <c r="I579">
        <f ca="1"/>
        <v>-0.46798728290951574</v>
      </c>
      <c r="J579">
        <f ca="1"/>
        <v>2.8416218864648854</v>
      </c>
      <c r="K579">
        <f ca="1"/>
        <v>0</v>
      </c>
      <c r="L579">
        <f ca="1"/>
        <v>0</v>
      </c>
    </row>
    <row r="580" spans="2:12">
      <c r="B580">
        <v>0.114</v>
      </c>
      <c r="C580">
        <f ca="1"/>
        <v>3.2934211946003857E-2</v>
      </c>
      <c r="D580">
        <f ca="1"/>
        <v>1</v>
      </c>
      <c r="E580">
        <f ca="1"/>
        <v>100.43161301637571</v>
      </c>
      <c r="F580">
        <f ca="1"/>
        <v>-0.59631250601961283</v>
      </c>
      <c r="G580">
        <f ca="1"/>
        <v>5.9374980457834736E-3</v>
      </c>
      <c r="H580">
        <f ca="1"/>
        <v>49.194278754908467</v>
      </c>
      <c r="I580">
        <f ca="1"/>
        <v>-0.46204978486373227</v>
      </c>
      <c r="J580">
        <f ca="1"/>
        <v>2.7898735671744603</v>
      </c>
      <c r="K580">
        <f ca="1"/>
        <v>0</v>
      </c>
      <c r="L580">
        <f ca="1"/>
        <v>0</v>
      </c>
    </row>
    <row r="581" spans="2:12">
      <c r="B581">
        <v>0.11420000000000001</v>
      </c>
      <c r="C581">
        <f ca="1"/>
        <v>2.9967843848010919E-2</v>
      </c>
      <c r="D581">
        <f ca="1"/>
        <v>1</v>
      </c>
      <c r="E581">
        <f ca="1"/>
        <v>100.37164577355608</v>
      </c>
      <c r="F581">
        <f ca="1"/>
        <v>0.32251920934345873</v>
      </c>
      <c r="G581">
        <f ca="1"/>
        <v>-3.2132501849285178E-3</v>
      </c>
      <c r="H581">
        <f ca="1"/>
        <v>49.516797964251928</v>
      </c>
      <c r="I581">
        <f ca="1"/>
        <v>-0.46526303504866079</v>
      </c>
      <c r="J581">
        <f ca="1"/>
        <v>2.8175814188181363</v>
      </c>
      <c r="K581">
        <f ca="1"/>
        <v>0</v>
      </c>
      <c r="L581">
        <f ca="1"/>
        <v>0</v>
      </c>
    </row>
    <row r="582" spans="2:12">
      <c r="B582">
        <v>0.1144</v>
      </c>
      <c r="C582">
        <f ca="1"/>
        <v>2.3049625675475034E-2</v>
      </c>
      <c r="D582">
        <f ca="1"/>
        <v>1</v>
      </c>
      <c r="E582">
        <f ca="1"/>
        <v>100.2324622890853</v>
      </c>
      <c r="F582">
        <f ca="1"/>
        <v>0.75073619742499886</v>
      </c>
      <c r="G582">
        <f ca="1"/>
        <v>-7.4899506634862889E-3</v>
      </c>
      <c r="H582">
        <f ca="1"/>
        <v>50.267534161676927</v>
      </c>
      <c r="I582">
        <f ca="1"/>
        <v>-0.47275298571214708</v>
      </c>
      <c r="J582">
        <f ca="1"/>
        <v>2.8823383492316594</v>
      </c>
      <c r="K582">
        <f ca="1"/>
        <v>0</v>
      </c>
      <c r="L582">
        <f ca="1"/>
        <v>0</v>
      </c>
    </row>
    <row r="583" spans="2:12">
      <c r="B583">
        <v>0.11460000000000001</v>
      </c>
      <c r="C583">
        <f ca="1"/>
        <v>1.2650734601398797E-2</v>
      </c>
      <c r="D583">
        <f ca="1"/>
        <v>1</v>
      </c>
      <c r="E583">
        <f ca="1"/>
        <v>100.02381752795087</v>
      </c>
      <c r="F583">
        <f ca="1"/>
        <v>1.1283222195153844</v>
      </c>
      <c r="G583">
        <f ca="1"/>
        <v>-1.128053545046992E-2</v>
      </c>
      <c r="H583">
        <f ca="1"/>
        <v>51.39585638119231</v>
      </c>
      <c r="I583">
        <f ca="1"/>
        <v>-0.484033521162617</v>
      </c>
      <c r="J583">
        <f ca="1"/>
        <v>2.9809757830111607</v>
      </c>
      <c r="K583">
        <f ca="1"/>
        <v>0</v>
      </c>
      <c r="L583">
        <f ca="1"/>
        <v>0</v>
      </c>
    </row>
    <row r="584" spans="2:12">
      <c r="B584">
        <v>0.1148</v>
      </c>
      <c r="C584">
        <f ca="1"/>
        <v>8.7896966047235625E-3</v>
      </c>
      <c r="D584">
        <f ca="1"/>
        <v>1</v>
      </c>
      <c r="E584">
        <f ca="1"/>
        <v>99.946208404963315</v>
      </c>
      <c r="F584">
        <f ca="1"/>
        <v>0.42159045155225511</v>
      </c>
      <c r="G584">
        <f ca="1"/>
        <v>-4.218173538350245E-3</v>
      </c>
      <c r="H584">
        <f ca="1"/>
        <v>51.817446832744565</v>
      </c>
      <c r="I584">
        <f ca="1"/>
        <v>-0.48825169470096724</v>
      </c>
      <c r="J584">
        <f ca="1"/>
        <v>3.0185412000851741</v>
      </c>
      <c r="K584">
        <f ca="1"/>
        <v>0</v>
      </c>
      <c r="L584">
        <f ca="1"/>
        <v>5.379159503668518E-2</v>
      </c>
    </row>
    <row r="585" spans="2:12">
      <c r="B585">
        <v>0.115</v>
      </c>
      <c r="C585">
        <f ca="1"/>
        <v>1.817882354479735E-2</v>
      </c>
      <c r="D585">
        <f ca="1"/>
        <v>1</v>
      </c>
      <c r="E585">
        <f ca="1"/>
        <v>100.1336657239998</v>
      </c>
      <c r="F585">
        <f ca="1"/>
        <v>-1.0164084252862702</v>
      </c>
      <c r="G585">
        <f ca="1"/>
        <v>1.0150516491504613E-2</v>
      </c>
      <c r="H585">
        <f ca="1"/>
        <v>50.801038407458293</v>
      </c>
      <c r="I585">
        <f ca="1"/>
        <v>-0.47810117820946263</v>
      </c>
      <c r="J585">
        <f ca="1"/>
        <v>2.9270148463815033</v>
      </c>
      <c r="K585">
        <f ca="1"/>
        <v>0</v>
      </c>
      <c r="L585">
        <f ca="1"/>
        <v>0</v>
      </c>
    </row>
    <row r="586" spans="2:12">
      <c r="B586">
        <v>0.11520000000000001</v>
      </c>
      <c r="C586">
        <f ca="1"/>
        <v>4.4624708316504585E-2</v>
      </c>
      <c r="D586">
        <f ca="1"/>
        <v>1</v>
      </c>
      <c r="E586">
        <f ca="1"/>
        <v>100.66429085512894</v>
      </c>
      <c r="F586">
        <f ca="1"/>
        <v>-2.8773980242599122</v>
      </c>
      <c r="G586">
        <f ca="1"/>
        <v>2.8584098688987147E-2</v>
      </c>
      <c r="H586">
        <f ca="1"/>
        <v>47.923640383198382</v>
      </c>
      <c r="I586">
        <f ca="1"/>
        <v>-0.44951707952047548</v>
      </c>
      <c r="J586">
        <f ca="1"/>
        <v>2.6733223460011146</v>
      </c>
      <c r="K586">
        <f ca="1"/>
        <v>0</v>
      </c>
      <c r="L586">
        <f ca="1"/>
        <v>0</v>
      </c>
    </row>
    <row r="587" spans="2:12">
      <c r="B587">
        <v>0.1154</v>
      </c>
      <c r="C587">
        <f ca="1"/>
        <v>3.5642285148305662E-2</v>
      </c>
      <c r="D587">
        <f ca="1"/>
        <v>1</v>
      </c>
      <c r="E587">
        <f ca="1"/>
        <v>100.48320941238389</v>
      </c>
      <c r="F587">
        <f ca="1"/>
        <v>0.97560222283627362</v>
      </c>
      <c r="G587">
        <f ca="1"/>
        <v>-9.7091069099156102E-3</v>
      </c>
      <c r="H587">
        <f ca="1"/>
        <v>48.899242606034655</v>
      </c>
      <c r="I587">
        <f ca="1"/>
        <v>-0.45922618643039109</v>
      </c>
      <c r="J587">
        <f ca="1"/>
        <v>2.7547215472992264</v>
      </c>
      <c r="K587">
        <f ca="1"/>
        <v>0</v>
      </c>
      <c r="L587">
        <f ca="1"/>
        <v>0</v>
      </c>
    </row>
    <row r="588" spans="2:12">
      <c r="B588">
        <v>0.11560000000000001</v>
      </c>
      <c r="C588">
        <f ca="1"/>
        <v>3.5640902476149934E-2</v>
      </c>
      <c r="D588">
        <f ca="1"/>
        <v>1</v>
      </c>
      <c r="E588">
        <f ca="1"/>
        <v>100.48277969339794</v>
      </c>
      <c r="F588">
        <f ca="1"/>
        <v>1.4647230135826121E-3</v>
      </c>
      <c r="G588">
        <f ca="1"/>
        <v>-1.4576856034953511E-5</v>
      </c>
      <c r="H588">
        <f ca="1"/>
        <v>48.900707329048238</v>
      </c>
      <c r="I588">
        <f ca="1"/>
        <v>-0.45924076328642605</v>
      </c>
      <c r="J588">
        <f ca="1"/>
        <v>2.7549188855103779</v>
      </c>
      <c r="K588">
        <f ca="1"/>
        <v>0</v>
      </c>
      <c r="L588">
        <f ca="1"/>
        <v>0</v>
      </c>
    </row>
    <row r="589" spans="2:12">
      <c r="B589">
        <v>0.1158</v>
      </c>
      <c r="C589">
        <f ca="1"/>
        <v>4.170453878825376E-2</v>
      </c>
      <c r="D589">
        <f ca="1"/>
        <v>1</v>
      </c>
      <c r="E589">
        <f ca="1"/>
        <v>100.60430940195668</v>
      </c>
      <c r="F589">
        <f ca="1"/>
        <v>-0.65895631233117857</v>
      </c>
      <c r="G589">
        <f ca="1"/>
        <v>6.549980972468783E-3</v>
      </c>
      <c r="H589">
        <f ca="1"/>
        <v>48.24175101671706</v>
      </c>
      <c r="I589">
        <f ca="1"/>
        <v>-0.45269078231395726</v>
      </c>
      <c r="J589">
        <f ca="1"/>
        <v>2.6991074893898812</v>
      </c>
      <c r="K589">
        <f ca="1"/>
        <v>0</v>
      </c>
      <c r="L589">
        <f ca="1"/>
        <v>0</v>
      </c>
    </row>
    <row r="590" spans="2:12">
      <c r="B590">
        <v>0.11600000000000001</v>
      </c>
      <c r="C590">
        <f ca="1"/>
        <v>3.3035447751236936E-2</v>
      </c>
      <c r="D590">
        <f ca="1"/>
        <v>1</v>
      </c>
      <c r="E590">
        <f ca="1"/>
        <v>100.42962922649077</v>
      </c>
      <c r="F590">
        <f ca="1"/>
        <v>0.94422138155194835</v>
      </c>
      <c r="G590">
        <f ca="1"/>
        <v>-9.4018208453455765E-3</v>
      </c>
      <c r="H590">
        <f ca="1"/>
        <v>49.185972398269008</v>
      </c>
      <c r="I590">
        <f ca="1"/>
        <v>-0.46209260315930284</v>
      </c>
      <c r="J590">
        <f ca="1"/>
        <v>2.7781835946762854</v>
      </c>
      <c r="K590">
        <f ca="1"/>
        <v>0</v>
      </c>
      <c r="L590">
        <f ca="1"/>
        <v>0</v>
      </c>
    </row>
    <row r="591" spans="2:12">
      <c r="B591">
        <v>0.11620000000000001</v>
      </c>
      <c r="C591">
        <f ca="1"/>
        <v>2.6256407535451533E-2</v>
      </c>
      <c r="D591">
        <f ca="1"/>
        <v>1</v>
      </c>
      <c r="E591">
        <f ca="1"/>
        <v>100.29315701792972</v>
      </c>
      <c r="F591">
        <f ca="1"/>
        <v>0.74030288698119451</v>
      </c>
      <c r="G591">
        <f ca="1"/>
        <v>-7.3813898075703044E-3</v>
      </c>
      <c r="H591">
        <f ca="1"/>
        <v>49.926275285250206</v>
      </c>
      <c r="I591">
        <f ca="1"/>
        <v>-0.46947399296687314</v>
      </c>
      <c r="J591">
        <f ca="1"/>
        <v>2.8412463927891665</v>
      </c>
      <c r="K591">
        <f ca="1"/>
        <v>0</v>
      </c>
      <c r="L591">
        <f ca="1"/>
        <v>0</v>
      </c>
    </row>
    <row r="592" spans="2:12">
      <c r="B592">
        <v>0.1164</v>
      </c>
      <c r="C592">
        <f ca="1"/>
        <v>4.4994077034440944E-2</v>
      </c>
      <c r="D592">
        <f ca="1"/>
        <v>1</v>
      </c>
      <c r="E592">
        <f ca="1"/>
        <v>100.6693114853572</v>
      </c>
      <c r="F592">
        <f ca="1"/>
        <v>-2.0457979241306607</v>
      </c>
      <c r="G592">
        <f ca="1"/>
        <v>2.0321962015487027E-2</v>
      </c>
      <c r="H592">
        <f ca="1"/>
        <v>47.880477361119546</v>
      </c>
      <c r="I592">
        <f ca="1"/>
        <v>-0.44915203095138612</v>
      </c>
      <c r="J592">
        <f ca="1"/>
        <v>2.6646516529936619</v>
      </c>
      <c r="K592">
        <f ca="1"/>
        <v>0</v>
      </c>
      <c r="L592">
        <f ca="1"/>
        <v>0</v>
      </c>
    </row>
    <row r="593" spans="2:12">
      <c r="B593">
        <v>0.11660000000000001</v>
      </c>
      <c r="C593">
        <f ca="1"/>
        <v>5.470178771987224E-2</v>
      </c>
      <c r="D593">
        <f ca="1"/>
        <v>1</v>
      </c>
      <c r="E593">
        <f ca="1"/>
        <v>100.86455160016745</v>
      </c>
      <c r="F593">
        <f ca="1"/>
        <v>-1.0583465876790819</v>
      </c>
      <c r="G593">
        <f ca="1"/>
        <v>1.0492750633289138E-2</v>
      </c>
      <c r="H593">
        <f ca="1"/>
        <v>46.822130773440463</v>
      </c>
      <c r="I593">
        <f ca="1"/>
        <v>-0.43865928031809698</v>
      </c>
      <c r="J593">
        <f ca="1"/>
        <v>2.5769591589034562</v>
      </c>
      <c r="K593">
        <f ca="1"/>
        <v>0</v>
      </c>
      <c r="L593">
        <f ca="1"/>
        <v>0</v>
      </c>
    </row>
    <row r="594" spans="2:12">
      <c r="B594">
        <v>0.1168</v>
      </c>
      <c r="C594">
        <f ca="1"/>
        <v>4.4452209198451047E-2</v>
      </c>
      <c r="D594">
        <f ca="1"/>
        <v>1</v>
      </c>
      <c r="E594">
        <f ca="1"/>
        <v>100.65759692011838</v>
      </c>
      <c r="F594">
        <f ca="1"/>
        <v>1.1164098519832533</v>
      </c>
      <c r="G594">
        <f ca="1"/>
        <v>-1.1091163371098889E-2</v>
      </c>
      <c r="H594">
        <f ca="1"/>
        <v>47.93854062542372</v>
      </c>
      <c r="I594">
        <f ca="1"/>
        <v>-0.44975044368919587</v>
      </c>
      <c r="J594">
        <f ca="1"/>
        <v>2.6677417499122456</v>
      </c>
      <c r="K594">
        <f ca="1"/>
        <v>0</v>
      </c>
      <c r="L594">
        <f ca="1"/>
        <v>0</v>
      </c>
    </row>
    <row r="595" spans="2:12">
      <c r="B595">
        <v>0.11700000000000001</v>
      </c>
      <c r="C595">
        <f ca="1"/>
        <v>4.5861044873085982E-2</v>
      </c>
      <c r="D595">
        <f ca="1"/>
        <v>1</v>
      </c>
      <c r="E595">
        <f ca="1"/>
        <v>100.68556017588044</v>
      </c>
      <c r="F595">
        <f ca="1"/>
        <v>-0.1533130454154451</v>
      </c>
      <c r="G595">
        <f ca="1"/>
        <v>1.5226914877131681E-3</v>
      </c>
      <c r="H595">
        <f ca="1"/>
        <v>47.785227580008275</v>
      </c>
      <c r="I595">
        <f ca="1"/>
        <v>-0.4482277522014827</v>
      </c>
      <c r="J595">
        <f ca="1"/>
        <v>2.6551652632262659</v>
      </c>
      <c r="K595">
        <f ca="1"/>
        <v>0</v>
      </c>
      <c r="L595">
        <f ca="1"/>
        <v>0</v>
      </c>
    </row>
    <row r="596" spans="2:12">
      <c r="B596">
        <v>0.11720000000000001</v>
      </c>
      <c r="C596">
        <f ca="1"/>
        <v>3.6693867092985132E-2</v>
      </c>
      <c r="D596">
        <f ca="1"/>
        <v>1</v>
      </c>
      <c r="E596">
        <f ca="1"/>
        <v>100.50072680933768</v>
      </c>
      <c r="F596">
        <f ca="1"/>
        <v>1.0020916663029336</v>
      </c>
      <c r="G596">
        <f ca="1"/>
        <v>-9.9709892467148564E-3</v>
      </c>
      <c r="H596">
        <f ca="1"/>
        <v>48.787319246311206</v>
      </c>
      <c r="I596">
        <f ca="1"/>
        <v>-0.45819874144819756</v>
      </c>
      <c r="J596">
        <f ca="1"/>
        <v>2.7380127076435556</v>
      </c>
      <c r="K596">
        <f ca="1"/>
        <v>0</v>
      </c>
      <c r="L596">
        <f ca="1"/>
        <v>0</v>
      </c>
    </row>
    <row r="597" spans="2:12">
      <c r="B597">
        <v>0.1174</v>
      </c>
      <c r="C597">
        <f ca="1"/>
        <v>6.0142171576154826E-2</v>
      </c>
      <c r="D597">
        <f ca="1"/>
        <v>1</v>
      </c>
      <c r="E597">
        <f ca="1"/>
        <v>100.97274412796655</v>
      </c>
      <c r="F597">
        <f ca="1"/>
        <v>-2.5679607367865191</v>
      </c>
      <c r="G597">
        <f ca="1"/>
        <v>2.5432216970671273E-2</v>
      </c>
      <c r="H597">
        <f ca="1"/>
        <v>46.219358509524689</v>
      </c>
      <c r="I597">
        <f ca="1"/>
        <v>-0.43276652447752628</v>
      </c>
      <c r="J597">
        <f ca="1"/>
        <v>2.521734966306056</v>
      </c>
      <c r="K597">
        <f ca="1"/>
        <v>0</v>
      </c>
      <c r="L597">
        <f ca="1"/>
        <v>0</v>
      </c>
    </row>
    <row r="598" spans="2:12">
      <c r="B598">
        <v>0.11760000000000001</v>
      </c>
      <c r="C598">
        <f ca="1"/>
        <v>6.45538735883526E-2</v>
      </c>
      <c r="D598">
        <f ca="1"/>
        <v>1</v>
      </c>
      <c r="E598">
        <f ca="1"/>
        <v>101.06147152940579</v>
      </c>
      <c r="F598">
        <f ca="1"/>
        <v>-0.48207608095914412</v>
      </c>
      <c r="G598">
        <f ca="1"/>
        <v>4.7701272667385886E-3</v>
      </c>
      <c r="H598">
        <f ca="1"/>
        <v>45.737282428565543</v>
      </c>
      <c r="I598">
        <f ca="1"/>
        <v>-0.42799639721078769</v>
      </c>
      <c r="J598">
        <f ca="1"/>
        <v>2.4833367171592684</v>
      </c>
      <c r="K598">
        <f ca="1"/>
        <v>0</v>
      </c>
      <c r="L598">
        <f ca="1"/>
        <v>0</v>
      </c>
    </row>
    <row r="599" spans="2:12">
      <c r="B599">
        <v>0.1178</v>
      </c>
      <c r="C599">
        <f ca="1"/>
        <v>5.8352062755574613E-2</v>
      </c>
      <c r="D599">
        <f ca="1"/>
        <v>1</v>
      </c>
      <c r="E599">
        <f ca="1"/>
        <v>100.93579266896484</v>
      </c>
      <c r="F599">
        <f ca="1"/>
        <v>0.67555920106221912</v>
      </c>
      <c r="G599">
        <f ca="1"/>
        <v>-6.6929597836302146E-3</v>
      </c>
      <c r="H599">
        <f ca="1"/>
        <v>46.412841629627763</v>
      </c>
      <c r="I599">
        <f ca="1"/>
        <v>-0.43468935699441791</v>
      </c>
      <c r="J599">
        <f ca="1"/>
        <v>2.5371268166335597</v>
      </c>
      <c r="K599">
        <f ca="1"/>
        <v>0</v>
      </c>
      <c r="L599">
        <f ca="1"/>
        <v>0</v>
      </c>
    </row>
    <row r="600" spans="2:12">
      <c r="B600">
        <v>0.11800000000000001</v>
      </c>
      <c r="C600">
        <f ca="1"/>
        <v>4.3119958201723214E-2</v>
      </c>
      <c r="D600">
        <f ca="1"/>
        <v>1</v>
      </c>
      <c r="E600">
        <f ca="1"/>
        <v>100.62836514642004</v>
      </c>
      <c r="F600">
        <f ca="1"/>
        <v>1.6651433760131344</v>
      </c>
      <c r="G600">
        <f ca="1"/>
        <v>-1.6547455318291771E-2</v>
      </c>
      <c r="H600">
        <f ca="1"/>
        <v>48.077985005640897</v>
      </c>
      <c r="I600">
        <f ca="1"/>
        <v>-0.45123681231270968</v>
      </c>
      <c r="J600">
        <f ca="1"/>
        <v>2.6707622887309412</v>
      </c>
      <c r="K600">
        <f ca="1"/>
        <v>0</v>
      </c>
      <c r="L600">
        <f ca="1"/>
        <v>0</v>
      </c>
    </row>
    <row r="601" spans="2:12">
      <c r="B601">
        <v>0.1182</v>
      </c>
      <c r="C601">
        <f ca="1"/>
        <v>2.4685030823600001E-2</v>
      </c>
      <c r="D601">
        <f ca="1"/>
        <v>1</v>
      </c>
      <c r="E601">
        <f ca="1"/>
        <v>100.25763191859471</v>
      </c>
      <c r="F601">
        <f ca="1"/>
        <v>2.0219175128803797</v>
      </c>
      <c r="G601">
        <f ca="1"/>
        <v>-2.0167217938302173E-2</v>
      </c>
      <c r="H601">
        <f ca="1"/>
        <v>50.099902518521276</v>
      </c>
      <c r="I601">
        <f ca="1"/>
        <v>-0.47140403025101185</v>
      </c>
      <c r="J601">
        <f ca="1"/>
        <v>2.8380507686732415</v>
      </c>
      <c r="K601">
        <f ca="1"/>
        <v>0</v>
      </c>
      <c r="L601">
        <f ca="1"/>
        <v>0</v>
      </c>
    </row>
    <row r="602" spans="2:12">
      <c r="B602">
        <v>0.11840000000000001</v>
      </c>
      <c r="C602">
        <f ca="1"/>
        <v>1.5808914489546105E-2</v>
      </c>
      <c r="D602">
        <f ca="1"/>
        <v>1</v>
      </c>
      <c r="E602">
        <f ca="1"/>
        <v>100.07940980269296</v>
      </c>
      <c r="F602">
        <f ca="1"/>
        <v>0.97737122493764494</v>
      </c>
      <c r="G602">
        <f ca="1"/>
        <v>-9.765957122094715E-3</v>
      </c>
      <c r="H602">
        <f ca="1"/>
        <v>51.077273743458917</v>
      </c>
      <c r="I602">
        <f ca="1"/>
        <v>-0.48116998737310657</v>
      </c>
      <c r="J602">
        <f ca="1"/>
        <v>2.9220653923891859</v>
      </c>
      <c r="K602">
        <f ca="1"/>
        <v>0</v>
      </c>
      <c r="L602">
        <f ca="1"/>
        <v>0</v>
      </c>
    </row>
    <row r="603" spans="2:12">
      <c r="B603">
        <v>0.11860000000000001</v>
      </c>
      <c r="C603">
        <f ca="1"/>
        <v>1.4623941734088573E-2</v>
      </c>
      <c r="D603">
        <f ca="1"/>
        <v>1</v>
      </c>
      <c r="E603">
        <f ca="1"/>
        <v>100.05529411624528</v>
      </c>
      <c r="F603">
        <f ca="1"/>
        <v>0.13331750915716062</v>
      </c>
      <c r="G603">
        <f ca="1"/>
        <v>-1.3324383315716504E-3</v>
      </c>
      <c r="H603">
        <f ca="1"/>
        <v>51.210591252616076</v>
      </c>
      <c r="I603">
        <f ca="1"/>
        <v>-0.48250242570467822</v>
      </c>
      <c r="J603">
        <f ca="1"/>
        <v>2.9336691369327141</v>
      </c>
      <c r="K603">
        <f ca="1"/>
        <v>0</v>
      </c>
      <c r="L603">
        <f ca="1"/>
        <v>0</v>
      </c>
    </row>
    <row r="604" spans="2:12">
      <c r="B604">
        <v>0.1188</v>
      </c>
      <c r="C604">
        <f ca="1"/>
        <v>4.8189187828233306E-3</v>
      </c>
      <c r="D604">
        <f ca="1"/>
        <v>1</v>
      </c>
      <c r="E604">
        <f ca="1"/>
        <v>99.85887804646795</v>
      </c>
      <c r="F604">
        <f ca="1"/>
        <v>1.0809345981131486</v>
      </c>
      <c r="G604">
        <f ca="1"/>
        <v>-1.0824621899017839E-2</v>
      </c>
      <c r="H604">
        <f ca="1"/>
        <v>52.291525850729222</v>
      </c>
      <c r="I604">
        <f ca="1"/>
        <v>-0.49332704760369606</v>
      </c>
      <c r="J604">
        <f ca="1"/>
        <v>3.0284403670476507</v>
      </c>
      <c r="K604">
        <f ca="1"/>
        <v>0</v>
      </c>
      <c r="L604">
        <f ca="1"/>
        <v>0.14112195353204982</v>
      </c>
    </row>
    <row r="605" spans="2:12">
      <c r="B605">
        <v>0.11900000000000001</v>
      </c>
      <c r="C605">
        <f ca="1"/>
        <v>-5.9030238536443552E-3</v>
      </c>
      <c r="D605">
        <f ca="1"/>
        <v>1</v>
      </c>
      <c r="E605">
        <f ca="1"/>
        <v>99.64457266656278</v>
      </c>
      <c r="F605">
        <f ca="1"/>
        <v>1.1814504892075077</v>
      </c>
      <c r="G605">
        <f ca="1"/>
        <v>-1.1856646655116432E-2</v>
      </c>
      <c r="H605">
        <f ca="1"/>
        <v>53.472976339936729</v>
      </c>
      <c r="I605">
        <f ca="1"/>
        <v>-0.50518369425881249</v>
      </c>
      <c r="J605">
        <f ca="1"/>
        <v>3.1341630074018525</v>
      </c>
      <c r="K605">
        <f ca="1"/>
        <v>0</v>
      </c>
      <c r="L605">
        <f ca="1"/>
        <v>0.35542733343721977</v>
      </c>
    </row>
    <row r="606" spans="2:12">
      <c r="B606">
        <v>0.1192</v>
      </c>
      <c r="C606">
        <f ca="1"/>
        <v>8.490977406763231E-3</v>
      </c>
      <c r="D606">
        <f ca="1"/>
        <v>1</v>
      </c>
      <c r="E606">
        <f ca="1"/>
        <v>99.931443059152187</v>
      </c>
      <c r="F606">
        <f ca="1"/>
        <v>-1.5817359737855075</v>
      </c>
      <c r="G606">
        <f ca="1"/>
        <v>1.5828211075159138E-2</v>
      </c>
      <c r="H606">
        <f ca="1"/>
        <v>51.891240366151223</v>
      </c>
      <c r="I606">
        <f ca="1"/>
        <v>-0.48935548318365335</v>
      </c>
      <c r="J606">
        <f ca="1"/>
        <v>2.9892407627000637</v>
      </c>
      <c r="K606">
        <f ca="1"/>
        <v>0</v>
      </c>
      <c r="L606">
        <f ca="1"/>
        <v>6.8556940847813053E-2</v>
      </c>
    </row>
    <row r="607" spans="2:12">
      <c r="B607">
        <v>0.11940000000000001</v>
      </c>
      <c r="C607">
        <f ca="1"/>
        <v>5.4443644556109814E-3</v>
      </c>
      <c r="D607">
        <f ca="1"/>
        <v>1</v>
      </c>
      <c r="E607">
        <f ca="1"/>
        <v>99.870171639143379</v>
      </c>
      <c r="F607">
        <f ca="1"/>
        <v>0.33939554243447007</v>
      </c>
      <c r="G607">
        <f ca="1"/>
        <v>-3.3983674691257515E-3</v>
      </c>
      <c r="H607">
        <f ca="1"/>
        <v>52.23063590858569</v>
      </c>
      <c r="I607">
        <f ca="1"/>
        <v>-0.4927538506527791</v>
      </c>
      <c r="J607">
        <f ca="1"/>
        <v>3.0192242680438213</v>
      </c>
      <c r="K607">
        <f ca="1"/>
        <v>0</v>
      </c>
      <c r="L607">
        <f ca="1"/>
        <v>0.12982836085662086</v>
      </c>
    </row>
    <row r="608" spans="2:12">
      <c r="B608">
        <v>0.11960000000000001</v>
      </c>
      <c r="C608">
        <f ca="1"/>
        <v>4.0227633418182196E-2</v>
      </c>
      <c r="D608">
        <f ca="1"/>
        <v>1</v>
      </c>
      <c r="E608">
        <f ca="1"/>
        <v>100.56695380249118</v>
      </c>
      <c r="F608">
        <f ca="1"/>
        <v>-3.8506977296012015</v>
      </c>
      <c r="G608">
        <f ca="1"/>
        <v>3.8289891301309498E-2</v>
      </c>
      <c r="H608">
        <f ca="1"/>
        <v>48.379938178984489</v>
      </c>
      <c r="I608">
        <f ca="1"/>
        <v>-0.4544639593514696</v>
      </c>
      <c r="J608">
        <f ca="1"/>
        <v>2.6758821739880148</v>
      </c>
      <c r="K608">
        <f ca="1"/>
        <v>0</v>
      </c>
      <c r="L608">
        <f ca="1"/>
        <v>0</v>
      </c>
    </row>
    <row r="609" spans="2:12">
      <c r="B609">
        <v>0.1198</v>
      </c>
      <c r="C609">
        <f ca="1"/>
        <v>5.4843987639252523E-2</v>
      </c>
      <c r="D609">
        <f ca="1"/>
        <v>1</v>
      </c>
      <c r="E609">
        <f ca="1"/>
        <v>100.8609649188578</v>
      </c>
      <c r="F609">
        <f ca="1"/>
        <v>-1.6141898681553521</v>
      </c>
      <c r="G609">
        <f ca="1"/>
        <v>1.6004108918192095E-2</v>
      </c>
      <c r="H609">
        <f ca="1"/>
        <v>46.765748310829139</v>
      </c>
      <c r="I609">
        <f ca="1"/>
        <v>-0.43845985043327751</v>
      </c>
      <c r="J609">
        <f ca="1"/>
        <v>2.5422647179506939</v>
      </c>
      <c r="K609">
        <f ca="1"/>
        <v>0</v>
      </c>
      <c r="L609">
        <f ca="1"/>
        <v>0</v>
      </c>
    </row>
    <row r="610" spans="2:12">
      <c r="B610">
        <v>0.12000000000000001</v>
      </c>
      <c r="C610">
        <f ca="1"/>
        <v>4.2961144688408469E-2</v>
      </c>
      <c r="D610">
        <f ca="1"/>
        <v>1</v>
      </c>
      <c r="E610">
        <f ca="1"/>
        <v>100.62114404207864</v>
      </c>
      <c r="F610">
        <f ca="1"/>
        <v>1.3099717444347079</v>
      </c>
      <c r="G610">
        <f ca="1"/>
        <v>-1.3018851623142869E-2</v>
      </c>
      <c r="H610">
        <f ca="1"/>
        <v>48.075720055263844</v>
      </c>
      <c r="I610">
        <f ca="1"/>
        <v>-0.45147870205642038</v>
      </c>
      <c r="J610">
        <f ca="1"/>
        <v>2.6474165437140655</v>
      </c>
      <c r="K610">
        <f ca="1"/>
        <v>0</v>
      </c>
      <c r="L610">
        <f ca="1"/>
        <v>0</v>
      </c>
    </row>
    <row r="611" spans="2:12">
      <c r="B611">
        <v>0.1202</v>
      </c>
      <c r="C611">
        <f ca="1"/>
        <v>4.1862638955267678E-2</v>
      </c>
      <c r="D611">
        <f ca="1"/>
        <v>1</v>
      </c>
      <c r="E611">
        <f ca="1"/>
        <v>100.59863749424554</v>
      </c>
      <c r="F611">
        <f ca="1"/>
        <v>0.12216654787706052</v>
      </c>
      <c r="G611">
        <f ca="1"/>
        <v>-1.2143956510747844E-3</v>
      </c>
      <c r="H611">
        <f ca="1"/>
        <v>48.197886603140901</v>
      </c>
      <c r="I611">
        <f ca="1"/>
        <v>-0.45269309770749516</v>
      </c>
      <c r="J611">
        <f ca="1"/>
        <v>2.6575777707175234</v>
      </c>
      <c r="K611">
        <f ca="1"/>
        <v>0</v>
      </c>
      <c r="L611">
        <f ca="1"/>
        <v>0</v>
      </c>
    </row>
    <row r="612" spans="2:12">
      <c r="B612">
        <v>0.12040000000000001</v>
      </c>
      <c r="C612">
        <f ca="1"/>
        <v>3.0680886989974634E-2</v>
      </c>
      <c r="D612">
        <f ca="1"/>
        <v>1</v>
      </c>
      <c r="E612">
        <f ca="1"/>
        <v>100.37351356959195</v>
      </c>
      <c r="F612">
        <f ca="1"/>
        <v>1.2378637139193278</v>
      </c>
      <c r="G612">
        <f ca="1"/>
        <v>-1.233257330442139E-2</v>
      </c>
      <c r="H612">
        <f ca="1"/>
        <v>49.435750317060226</v>
      </c>
      <c r="I612">
        <f ca="1"/>
        <v>-0.46502567101191655</v>
      </c>
      <c r="J612">
        <f ca="1"/>
        <v>2.7594898175370162</v>
      </c>
      <c r="K612">
        <f ca="1"/>
        <v>0</v>
      </c>
      <c r="L612">
        <f ca="1"/>
        <v>0</v>
      </c>
    </row>
    <row r="613" spans="2:12">
      <c r="B613">
        <v>0.1206</v>
      </c>
      <c r="C613">
        <f ca="1"/>
        <v>3.7791880546854506E-2</v>
      </c>
      <c r="D613">
        <f ca="1"/>
        <v>1</v>
      </c>
      <c r="E613">
        <f ca="1"/>
        <v>100.51596414492805</v>
      </c>
      <c r="F613">
        <f ca="1"/>
        <v>-0.78718489133299507</v>
      </c>
      <c r="G613">
        <f ca="1"/>
        <v>7.8314414832453827E-3</v>
      </c>
      <c r="H613">
        <f ca="1"/>
        <v>48.648565425727227</v>
      </c>
      <c r="I613">
        <f ca="1"/>
        <v>-0.45719422952867117</v>
      </c>
      <c r="J613">
        <f ca="1"/>
        <v>2.6932466431553124</v>
      </c>
      <c r="K613">
        <f ca="1"/>
        <v>0</v>
      </c>
      <c r="L613">
        <f ca="1"/>
        <v>0</v>
      </c>
    </row>
    <row r="614" spans="2:12">
      <c r="B614">
        <v>0.1208</v>
      </c>
      <c r="C614">
        <f ca="1"/>
        <v>2.8749383233474462E-2</v>
      </c>
      <c r="D614">
        <f ca="1"/>
        <v>1</v>
      </c>
      <c r="E614">
        <f ca="1"/>
        <v>100.33394401944517</v>
      </c>
      <c r="F614">
        <f ca="1"/>
        <v>1.0035349924145303</v>
      </c>
      <c r="G614">
        <f ca="1"/>
        <v>-1.0001949013586475E-2</v>
      </c>
      <c r="H614">
        <f ca="1"/>
        <v>49.652100418141757</v>
      </c>
      <c r="I614">
        <f ca="1"/>
        <v>-0.46719617854225765</v>
      </c>
      <c r="J614">
        <f ca="1"/>
        <v>2.7764651941841691</v>
      </c>
      <c r="K614">
        <f ca="1"/>
        <v>0</v>
      </c>
      <c r="L614">
        <f ca="1"/>
        <v>0</v>
      </c>
    </row>
    <row r="615" spans="2:12">
      <c r="B615">
        <v>0.12100000000000001</v>
      </c>
      <c r="C615">
        <f ca="1"/>
        <v>4.2183640766082497E-2</v>
      </c>
      <c r="D615">
        <f ca="1"/>
        <v>1</v>
      </c>
      <c r="E615">
        <f ca="1"/>
        <v>100.60348650186688</v>
      </c>
      <c r="F615">
        <f ca="1"/>
        <v>-1.4915886939406073</v>
      </c>
      <c r="G615">
        <f ca="1"/>
        <v>1.4826411547008644E-2</v>
      </c>
      <c r="H615">
        <f ca="1"/>
        <v>48.16051172420115</v>
      </c>
      <c r="I615">
        <f ca="1"/>
        <v>-0.452369766995249</v>
      </c>
      <c r="J615">
        <f ca="1"/>
        <v>2.6505359764419509</v>
      </c>
      <c r="K615">
        <f ca="1"/>
        <v>0</v>
      </c>
      <c r="L615">
        <f ca="1"/>
        <v>0</v>
      </c>
    </row>
    <row r="616" spans="2:12">
      <c r="B616">
        <v>0.1212</v>
      </c>
      <c r="C616">
        <f ca="1"/>
        <v>3.160900452021518E-2</v>
      </c>
      <c r="D616">
        <f ca="1"/>
        <v>1</v>
      </c>
      <c r="E616">
        <f ca="1"/>
        <v>100.39054072093971</v>
      </c>
      <c r="F616">
        <f ca="1"/>
        <v>1.1742956291786446</v>
      </c>
      <c r="G616">
        <f ca="1"/>
        <v>-1.1697273674846409E-2</v>
      </c>
      <c r="H616">
        <f ca="1"/>
        <v>49.334807353379794</v>
      </c>
      <c r="I616">
        <f ca="1"/>
        <v>-0.46406704067009541</v>
      </c>
      <c r="J616">
        <f ca="1"/>
        <v>2.7468662097425991</v>
      </c>
      <c r="K616">
        <f ca="1"/>
        <v>0</v>
      </c>
      <c r="L616">
        <f ca="1"/>
        <v>0</v>
      </c>
    </row>
    <row r="617" spans="2:12">
      <c r="B617">
        <v>0.12140000000000001</v>
      </c>
      <c r="C617">
        <f ca="1"/>
        <v>2.6378580609628437E-2</v>
      </c>
      <c r="D617">
        <f ca="1"/>
        <v>1</v>
      </c>
      <c r="E617">
        <f ca="1"/>
        <v>100.28517747171423</v>
      </c>
      <c r="F617">
        <f ca="1"/>
        <v>0.58317624186144679</v>
      </c>
      <c r="G617">
        <f ca="1"/>
        <v>-5.8151788386268111E-3</v>
      </c>
      <c r="H617">
        <f ca="1"/>
        <v>49.917983595241239</v>
      </c>
      <c r="I617">
        <f ca="1"/>
        <v>-0.46988221950872222</v>
      </c>
      <c r="J617">
        <f ca="1"/>
        <v>2.795761821006046</v>
      </c>
      <c r="K617">
        <f ca="1"/>
        <v>0</v>
      </c>
      <c r="L617">
        <f ca="1"/>
        <v>0</v>
      </c>
    </row>
    <row r="618" spans="2:12">
      <c r="B618">
        <v>0.1216</v>
      </c>
      <c r="C618">
        <f ca="1"/>
        <v>7.1759854822607584E-3</v>
      </c>
      <c r="D618">
        <f ca="1"/>
        <v>1</v>
      </c>
      <c r="E618">
        <f ca="1"/>
        <v>99.900369373943434</v>
      </c>
      <c r="F618">
        <f ca="1"/>
        <v>2.1350810283054855</v>
      </c>
      <c r="G618">
        <f ca="1"/>
        <v>-2.1372103443517088E-2</v>
      </c>
      <c r="H618">
        <f ca="1"/>
        <v>52.053064623546724</v>
      </c>
      <c r="I618">
        <f ca="1"/>
        <v>-0.49125432295223931</v>
      </c>
      <c r="J618">
        <f ca="1"/>
        <v>2.9765763040715214</v>
      </c>
      <c r="K618">
        <f ca="1"/>
        <v>0</v>
      </c>
      <c r="L618">
        <f ca="1"/>
        <v>9.963062605656603E-2</v>
      </c>
    </row>
    <row r="619" spans="2:12">
      <c r="B619">
        <v>0.12180000000000001</v>
      </c>
      <c r="C619">
        <f ca="1"/>
        <v>1.0922979680476884E-2</v>
      </c>
      <c r="D619">
        <f ca="1"/>
        <v>1</v>
      </c>
      <c r="E619">
        <f ca="1"/>
        <v>99.974862753544897</v>
      </c>
      <c r="F619">
        <f ca="1"/>
        <v>-0.41346022565010238</v>
      </c>
      <c r="G619">
        <f ca="1"/>
        <v>4.1356418429835951E-3</v>
      </c>
      <c r="H619">
        <f ca="1"/>
        <v>51.639604397896619</v>
      </c>
      <c r="I619">
        <f ca="1"/>
        <v>-0.48711868110925571</v>
      </c>
      <c r="J619">
        <f ca="1"/>
        <v>2.9399811093109776</v>
      </c>
      <c r="K619">
        <f ca="1"/>
        <v>0</v>
      </c>
      <c r="L619">
        <f ca="1"/>
        <v>2.5137246455102513E-2</v>
      </c>
    </row>
    <row r="620" spans="2:12">
      <c r="B620">
        <v>0.12200000000000001</v>
      </c>
      <c r="C620">
        <f ca="1"/>
        <v>1.0209084262744365E-2</v>
      </c>
      <c r="D620">
        <f ca="1"/>
        <v>1</v>
      </c>
      <c r="E620">
        <f ca="1"/>
        <v>99.960189611693735</v>
      </c>
      <c r="F620">
        <f ca="1"/>
        <v>8.2985432342987289E-2</v>
      </c>
      <c r="G620">
        <f ca="1"/>
        <v>-8.301848232316611E-4</v>
      </c>
      <c r="H620">
        <f ca="1"/>
        <v>51.722589830239606</v>
      </c>
      <c r="I620">
        <f ca="1"/>
        <v>-0.48794886593248737</v>
      </c>
      <c r="J620">
        <f ca="1"/>
        <v>2.9471286708172428</v>
      </c>
      <c r="K620">
        <f ca="1"/>
        <v>0</v>
      </c>
      <c r="L620">
        <f ca="1"/>
        <v>3.9810388306264599E-2</v>
      </c>
    </row>
    <row r="621" spans="2:12">
      <c r="B621">
        <v>0.1222</v>
      </c>
      <c r="C621">
        <f ca="1"/>
        <v>-4.5399749569167806E-3</v>
      </c>
      <c r="D621">
        <f ca="1"/>
        <v>1</v>
      </c>
      <c r="E621">
        <f ca="1"/>
        <v>99.665361667198766</v>
      </c>
      <c r="F621">
        <f ca="1"/>
        <v>1.6437304166388982</v>
      </c>
      <c r="G621">
        <f ca="1"/>
        <v>-1.6492494374601485E-2</v>
      </c>
      <c r="H621">
        <f ca="1"/>
        <v>53.366320246878502</v>
      </c>
      <c r="I621">
        <f ca="1"/>
        <v>-0.50444136030708886</v>
      </c>
      <c r="J621">
        <f ca="1"/>
        <v>3.0909896319787649</v>
      </c>
      <c r="K621">
        <f ca="1"/>
        <v>0</v>
      </c>
      <c r="L621">
        <f ca="1"/>
        <v>0.33463833280123367</v>
      </c>
    </row>
    <row r="622" spans="2:12">
      <c r="B622">
        <v>0.12240000000000001</v>
      </c>
      <c r="C622">
        <f ca="1"/>
        <v>-8.4527010126881855E-3</v>
      </c>
      <c r="D622">
        <f ca="1"/>
        <v>1</v>
      </c>
      <c r="E622">
        <f ca="1"/>
        <v>99.587001175336098</v>
      </c>
      <c r="F622">
        <f ca="1"/>
        <v>0.43990986644549585</v>
      </c>
      <c r="G622">
        <f ca="1"/>
        <v>-4.4173422359709003E-3</v>
      </c>
      <c r="H622">
        <f ca="1"/>
        <v>53.806230113323998</v>
      </c>
      <c r="I622">
        <f ca="1"/>
        <v>-0.50885870254305976</v>
      </c>
      <c r="J622">
        <f ca="1"/>
        <v>3.1305179050883041</v>
      </c>
      <c r="K622">
        <f ca="1"/>
        <v>0</v>
      </c>
      <c r="L622">
        <f ca="1"/>
        <v>0.41299882466390159</v>
      </c>
    </row>
    <row r="623" spans="2:12">
      <c r="B623">
        <v>0.1226</v>
      </c>
      <c r="C623">
        <f ca="1"/>
        <v>1.6719908784198472E-3</v>
      </c>
      <c r="D623">
        <f ca="1"/>
        <v>1</v>
      </c>
      <c r="E623">
        <f ca="1"/>
        <v>99.788463871262636</v>
      </c>
      <c r="F623">
        <f ca="1"/>
        <v>-1.1240141371083863</v>
      </c>
      <c r="G623">
        <f ca="1"/>
        <v>1.1263968734486984E-2</v>
      </c>
      <c r="H623">
        <f ca="1"/>
        <v>52.682215976215609</v>
      </c>
      <c r="I623">
        <f ca="1"/>
        <v>-0.49759473380857278</v>
      </c>
      <c r="J623">
        <f ca="1"/>
        <v>3.0280018590282936</v>
      </c>
      <c r="K623">
        <f ca="1"/>
        <v>0</v>
      </c>
      <c r="L623">
        <f ca="1"/>
        <v>0.21153612873736449</v>
      </c>
    </row>
    <row r="624" spans="2:12">
      <c r="B624">
        <v>0.12280000000000001</v>
      </c>
      <c r="C624">
        <f ca="1"/>
        <v>-1.7152570151643648E-2</v>
      </c>
      <c r="D624">
        <f ca="1"/>
        <v>1</v>
      </c>
      <c r="E624">
        <f ca="1"/>
        <v>99.413077754770981</v>
      </c>
      <c r="F624">
        <f ca="1"/>
        <v>2.0968952282027837</v>
      </c>
      <c r="G624">
        <f ca="1"/>
        <v>-2.1092750325820697E-2</v>
      </c>
      <c r="H624">
        <f ca="1"/>
        <v>54.779111204418392</v>
      </c>
      <c r="I624">
        <f ca="1"/>
        <v>-0.51868748413439347</v>
      </c>
      <c r="J624">
        <f ca="1"/>
        <v>3.2147920137393911</v>
      </c>
      <c r="K624">
        <f ca="1"/>
        <v>0</v>
      </c>
      <c r="L624">
        <f ca="1"/>
        <v>0.58692224522901881</v>
      </c>
    </row>
    <row r="625" spans="2:12">
      <c r="B625">
        <v>0.12300000000000001</v>
      </c>
      <c r="C625">
        <f ca="1"/>
        <v>7.9849589341982052E-4</v>
      </c>
      <c r="D625">
        <f ca="1"/>
        <v>1</v>
      </c>
      <c r="E625">
        <f ca="1"/>
        <v>99.770234284315521</v>
      </c>
      <c r="F625">
        <f ca="1"/>
        <v>-1.9983128543372912</v>
      </c>
      <c r="G625">
        <f ca="1"/>
        <v>2.0029148660137386E-2</v>
      </c>
      <c r="H625">
        <f ca="1"/>
        <v>52.780798350081099</v>
      </c>
      <c r="I625">
        <f ca="1"/>
        <v>-0.49865833547425609</v>
      </c>
      <c r="J625">
        <f ca="1"/>
        <v>3.0295393919877611</v>
      </c>
      <c r="K625">
        <f ca="1"/>
        <v>0</v>
      </c>
      <c r="L625">
        <f ca="1"/>
        <v>0.22976571568447923</v>
      </c>
    </row>
    <row r="626" spans="2:12">
      <c r="B626">
        <v>0.1232</v>
      </c>
      <c r="C626">
        <f ca="1"/>
        <v>-2.1149990307713525E-2</v>
      </c>
      <c r="D626">
        <f ca="1"/>
        <v>1</v>
      </c>
      <c r="E626">
        <f ca="1"/>
        <v>99.332835683445808</v>
      </c>
      <c r="F626">
        <f ca="1"/>
        <v>2.4456070473914622</v>
      </c>
      <c r="G626">
        <f ca="1"/>
        <v>-2.4620328520421286E-2</v>
      </c>
      <c r="H626">
        <f ca="1"/>
        <v>55.226405397472561</v>
      </c>
      <c r="I626">
        <f ca="1"/>
        <v>-0.52327866399467737</v>
      </c>
      <c r="J626">
        <f ca="1"/>
        <v>3.2476518502362239</v>
      </c>
      <c r="K626">
        <f ca="1"/>
        <v>0</v>
      </c>
      <c r="L626">
        <f ca="1"/>
        <v>0.66716431655419228</v>
      </c>
    </row>
    <row r="627" spans="2:12">
      <c r="B627">
        <v>0.12340000000000001</v>
      </c>
      <c r="C627">
        <f ca="1"/>
        <v>-1.509814386449973E-2</v>
      </c>
      <c r="D627">
        <f ca="1"/>
        <v>1</v>
      </c>
      <c r="E627">
        <f ca="1"/>
        <v>99.452740075714658</v>
      </c>
      <c r="F627">
        <f ca="1"/>
        <v>-0.66770437091167878</v>
      </c>
      <c r="G627">
        <f ca="1"/>
        <v>6.713785566927033E-3</v>
      </c>
      <c r="H627">
        <f ca="1"/>
        <v>54.558701026560882</v>
      </c>
      <c r="I627">
        <f ca="1"/>
        <v>-0.51656487842775034</v>
      </c>
      <c r="J627">
        <f ca="1"/>
        <v>3.1849084400426833</v>
      </c>
      <c r="K627">
        <f ca="1"/>
        <v>0</v>
      </c>
      <c r="L627">
        <f ca="1"/>
        <v>0.54725992428534198</v>
      </c>
    </row>
    <row r="628" spans="2:12">
      <c r="B628">
        <v>0.1236</v>
      </c>
      <c r="C628">
        <f ca="1"/>
        <v>-2.28573836910517E-2</v>
      </c>
      <c r="D628">
        <f ca="1"/>
        <v>1</v>
      </c>
      <c r="E628">
        <f ca="1"/>
        <v>99.29812704080004</v>
      </c>
      <c r="F628">
        <f ca="1"/>
        <v>0.86910447408911029</v>
      </c>
      <c r="G628">
        <f ca="1"/>
        <v>-8.752476003218157E-3</v>
      </c>
      <c r="H628">
        <f ca="1"/>
        <v>55.427805500649995</v>
      </c>
      <c r="I628">
        <f ca="1"/>
        <v>-0.5253173544309685</v>
      </c>
      <c r="J628">
        <f ca="1"/>
        <v>3.2647761036267013</v>
      </c>
      <c r="K628">
        <f ca="1"/>
        <v>0</v>
      </c>
      <c r="L628">
        <f ca="1"/>
        <v>0.70187295919996018</v>
      </c>
    </row>
    <row r="629" spans="2:12">
      <c r="B629">
        <v>0.12380000000000001</v>
      </c>
      <c r="C629">
        <f ca="1"/>
        <v>-3.6345737328389513E-2</v>
      </c>
      <c r="D629">
        <f ca="1"/>
        <v>1</v>
      </c>
      <c r="E629">
        <f ca="1"/>
        <v>99.030218261291211</v>
      </c>
      <c r="F629">
        <f ca="1"/>
        <v>1.501273224629611</v>
      </c>
      <c r="G629">
        <f ca="1"/>
        <v>-1.5159748721026767E-2</v>
      </c>
      <c r="H629">
        <f ca="1"/>
        <v>56.929078725279609</v>
      </c>
      <c r="I629">
        <f ca="1"/>
        <v>-0.54047710315199526</v>
      </c>
      <c r="J629">
        <f ca="1"/>
        <v>3.4055132349071116</v>
      </c>
      <c r="K629">
        <f ca="1"/>
        <v>0</v>
      </c>
      <c r="L629">
        <f ca="1"/>
        <v>0.96978173870878948</v>
      </c>
    </row>
    <row r="630" spans="2:12">
      <c r="B630">
        <v>0.124</v>
      </c>
      <c r="C630">
        <f ca="1"/>
        <v>-3.6075319417348095E-2</v>
      </c>
      <c r="D630">
        <f ca="1"/>
        <v>1</v>
      </c>
      <c r="E630">
        <f ca="1"/>
        <v>99.03517817357266</v>
      </c>
      <c r="F630">
        <f ca="1"/>
        <v>-2.2345888359949152E-2</v>
      </c>
      <c r="G630">
        <f ca="1"/>
        <v>2.2563586769930311E-4</v>
      </c>
      <c r="H630">
        <f ca="1"/>
        <v>56.906732836919659</v>
      </c>
      <c r="I630">
        <f ca="1"/>
        <v>-0.54025146728429596</v>
      </c>
      <c r="J630">
        <f ca="1"/>
        <v>3.4028325158853505</v>
      </c>
      <c r="K630">
        <f ca="1"/>
        <v>0</v>
      </c>
      <c r="L630">
        <f ca="1"/>
        <v>0.9648218264273396</v>
      </c>
    </row>
    <row r="631" spans="2:12">
      <c r="B631">
        <v>0.1242</v>
      </c>
      <c r="C631">
        <f ca="1"/>
        <v>-1.5188881538674096E-2</v>
      </c>
      <c r="D631">
        <f ca="1"/>
        <v>1</v>
      </c>
      <c r="E631">
        <f ca="1"/>
        <v>99.449344067791472</v>
      </c>
      <c r="F631">
        <f ca="1"/>
        <v>-2.3223664354784623</v>
      </c>
      <c r="G631">
        <f ca="1"/>
        <v>2.335225493187143E-2</v>
      </c>
      <c r="H631">
        <f ca="1"/>
        <v>54.584366401441194</v>
      </c>
      <c r="I631">
        <f ca="1"/>
        <v>-0.51689921235242453</v>
      </c>
      <c r="J631">
        <f ca="1"/>
        <v>3.1790787838345196</v>
      </c>
      <c r="K631">
        <f ca="1"/>
        <v>0</v>
      </c>
      <c r="L631">
        <f ca="1"/>
        <v>0.55065593220852804</v>
      </c>
    </row>
    <row r="632" spans="2:12">
      <c r="B632">
        <v>0.12440000000000001</v>
      </c>
      <c r="C632">
        <f ca="1"/>
        <v>-2.4012452073025447E-3</v>
      </c>
      <c r="D632">
        <f ca="1"/>
        <v>1</v>
      </c>
      <c r="E632">
        <f ca="1"/>
        <v>99.703615185433051</v>
      </c>
      <c r="F632">
        <f ca="1"/>
        <v>-1.4288800503450094</v>
      </c>
      <c r="G632">
        <f ca="1"/>
        <v>1.4331276229929246E-2</v>
      </c>
      <c r="H632">
        <f ca="1"/>
        <v>53.155486351096187</v>
      </c>
      <c r="I632">
        <f ca="1"/>
        <v>-0.50256793612249528</v>
      </c>
      <c r="J632">
        <f ca="1"/>
        <v>3.0476462434016156</v>
      </c>
      <c r="K632">
        <f ca="1"/>
        <v>0</v>
      </c>
      <c r="L632">
        <f ca="1"/>
        <v>0.29638481456694876</v>
      </c>
    </row>
    <row r="633" spans="2:12">
      <c r="B633">
        <v>0.1246</v>
      </c>
      <c r="C633">
        <f ca="1"/>
        <v>-5.0050243578221177E-3</v>
      </c>
      <c r="D633">
        <f ca="1"/>
        <v>1</v>
      </c>
      <c r="E633">
        <f ca="1"/>
        <v>99.651308857307669</v>
      </c>
      <c r="F633">
        <f ca="1"/>
        <v>0.29699174316124333</v>
      </c>
      <c r="G633">
        <f ca="1"/>
        <v>-2.9803095068877683E-3</v>
      </c>
      <c r="H633">
        <f ca="1"/>
        <v>53.45247809425743</v>
      </c>
      <c r="I633">
        <f ca="1"/>
        <v>-0.50554824562938305</v>
      </c>
      <c r="J633">
        <f ca="1"/>
        <v>3.0739337267737383</v>
      </c>
      <c r="K633">
        <f ca="1"/>
        <v>0</v>
      </c>
      <c r="L633">
        <f ca="1"/>
        <v>0.34869114269233137</v>
      </c>
    </row>
    <row r="634" spans="2:12">
      <c r="B634">
        <v>0.12480000000000001</v>
      </c>
      <c r="C634">
        <f ca="1"/>
        <v>-3.7092681447397843E-3</v>
      </c>
      <c r="D634">
        <f ca="1"/>
        <v>1</v>
      </c>
      <c r="E634">
        <f ca="1"/>
        <v>99.676738256624418</v>
      </c>
      <c r="F634">
        <f ca="1"/>
        <v>-0.1406740132319024</v>
      </c>
      <c r="G634">
        <f ca="1"/>
        <v>1.4113023328444774E-3</v>
      </c>
      <c r="H634">
        <f ca="1"/>
        <v>53.311804081025528</v>
      </c>
      <c r="I634">
        <f ca="1"/>
        <v>-0.50413694329653858</v>
      </c>
      <c r="J634">
        <f ca="1"/>
        <v>3.0610779385617448</v>
      </c>
      <c r="K634">
        <f ca="1"/>
        <v>0</v>
      </c>
      <c r="L634">
        <f ca="1"/>
        <v>0.323261743375582</v>
      </c>
    </row>
    <row r="635" spans="2:12">
      <c r="B635">
        <v>0.125</v>
      </c>
      <c r="C635">
        <f ca="1"/>
        <v>-3.5384042591000238E-3</v>
      </c>
      <c r="D635">
        <f ca="1"/>
        <v>1</v>
      </c>
      <c r="E635">
        <f ca="1"/>
        <v>99.679745826005814</v>
      </c>
      <c r="F635">
        <f ca="1"/>
        <v>-1.4388601581366536E-2</v>
      </c>
      <c r="G635">
        <f ca="1"/>
        <v>1.4434829726073239E-4</v>
      </c>
      <c r="H635">
        <f ca="1"/>
        <v>53.297415479444162</v>
      </c>
      <c r="I635">
        <f ca="1"/>
        <v>-0.50399259499927784</v>
      </c>
      <c r="J635">
        <f ca="1"/>
        <v>3.0595617117270564</v>
      </c>
      <c r="K635">
        <f ca="1"/>
        <v>0</v>
      </c>
      <c r="L635">
        <f ca="1"/>
        <v>0.32025417399418643</v>
      </c>
    </row>
    <row r="636" spans="2:12">
      <c r="B636">
        <v>0.12520000000000001</v>
      </c>
      <c r="C636">
        <f ca="1"/>
        <v>-2.6110974902623279E-3</v>
      </c>
      <c r="D636">
        <f ca="1"/>
        <v>1</v>
      </c>
      <c r="E636">
        <f ca="1"/>
        <v>99.697835488864314</v>
      </c>
      <c r="F636">
        <f ca="1"/>
        <v>-9.9576592096277491E-2</v>
      </c>
      <c r="G636">
        <f ca="1"/>
        <v>9.9878389142560309E-4</v>
      </c>
      <c r="H636">
        <f ca="1"/>
        <v>53.197838887347885</v>
      </c>
      <c r="I636">
        <f ca="1"/>
        <v>-0.50299381110785224</v>
      </c>
      <c r="J636">
        <f ca="1"/>
        <v>3.0504446556003373</v>
      </c>
      <c r="K636">
        <f ca="1"/>
        <v>0</v>
      </c>
      <c r="L636">
        <f ca="1"/>
        <v>0.3021645111356861</v>
      </c>
    </row>
    <row r="637" spans="2:12">
      <c r="B637">
        <v>0.12540000000000001</v>
      </c>
      <c r="C637">
        <f ca="1"/>
        <v>1.561637203698835E-3</v>
      </c>
      <c r="D637">
        <f ca="1"/>
        <v>1</v>
      </c>
      <c r="E637">
        <f ca="1"/>
        <v>99.78067361664867</v>
      </c>
      <c r="F637">
        <f ca="1"/>
        <v>-0.46580972465674148</v>
      </c>
      <c r="G637">
        <f ca="1"/>
        <v>4.6683361393846101E-3</v>
      </c>
      <c r="H637">
        <f ca="1"/>
        <v>52.732029162691141</v>
      </c>
      <c r="I637">
        <f ca="1"/>
        <v>-0.49832547496846763</v>
      </c>
      <c r="J637">
        <f ca="1"/>
        <v>3.0087775900010456</v>
      </c>
      <c r="K637">
        <f ca="1"/>
        <v>0</v>
      </c>
      <c r="L637">
        <f ca="1"/>
        <v>0.21932638335132992</v>
      </c>
    </row>
    <row r="638" spans="2:12">
      <c r="B638">
        <v>0.12560000000000002</v>
      </c>
      <c r="C638">
        <f ca="1"/>
        <v>-7.5321393292141162E-3</v>
      </c>
      <c r="D638">
        <f ca="1"/>
        <v>1</v>
      </c>
      <c r="E638">
        <f ca="1"/>
        <v>99.598963521149969</v>
      </c>
      <c r="F638">
        <f ca="1"/>
        <v>1.0287734714949368</v>
      </c>
      <c r="G638">
        <f ca="1"/>
        <v>-1.0329158408124151E-2</v>
      </c>
      <c r="H638">
        <f ca="1"/>
        <v>53.760802634186078</v>
      </c>
      <c r="I638">
        <f ca="1"/>
        <v>-0.50865463337659178</v>
      </c>
      <c r="J638">
        <f ca="1"/>
        <v>3.0993283596470036</v>
      </c>
      <c r="K638">
        <f ca="1"/>
        <v>0</v>
      </c>
      <c r="L638">
        <f ca="1"/>
        <v>0.40103647885003113</v>
      </c>
    </row>
    <row r="639" spans="2:12">
      <c r="B639">
        <v>0.1258</v>
      </c>
      <c r="C639">
        <f ca="1"/>
        <v>-2.7098142524721669E-3</v>
      </c>
      <c r="D639">
        <f ca="1"/>
        <v>1</v>
      </c>
      <c r="E639">
        <f ca="1"/>
        <v>99.694670795563951</v>
      </c>
      <c r="F639">
        <f ca="1"/>
        <v>-0.53895121415581326</v>
      </c>
      <c r="G639">
        <f ca="1"/>
        <v>5.4060182942075041E-3</v>
      </c>
      <c r="H639">
        <f ca="1"/>
        <v>53.221851420030262</v>
      </c>
      <c r="I639">
        <f ca="1"/>
        <v>-0.50324861508238428</v>
      </c>
      <c r="J639">
        <f ca="1"/>
        <v>3.0506464110684846</v>
      </c>
      <c r="K639">
        <f ca="1"/>
        <v>0</v>
      </c>
      <c r="L639">
        <f ca="1"/>
        <v>0.30532920443604894</v>
      </c>
    </row>
    <row r="640" spans="2:12">
      <c r="B640">
        <v>0.126</v>
      </c>
      <c r="C640">
        <f ca="1"/>
        <v>-3.5520327154896286E-3</v>
      </c>
      <c r="D640">
        <f ca="1"/>
        <v>1</v>
      </c>
      <c r="E640">
        <f ca="1"/>
        <v>99.677480560615479</v>
      </c>
      <c r="F640">
        <f ca="1"/>
        <v>9.9882536221899215E-2</v>
      </c>
      <c r="G640">
        <f ca="1"/>
        <v>-1.0020571914551857E-3</v>
      </c>
      <c r="H640">
        <f ca="1"/>
        <v>53.32173395625216</v>
      </c>
      <c r="I640">
        <f ca="1"/>
        <v>-0.50425067227383946</v>
      </c>
      <c r="J640">
        <f ca="1"/>
        <v>3.0592973729992394</v>
      </c>
      <c r="K640">
        <f ca="1"/>
        <v>0</v>
      </c>
      <c r="L640">
        <f ca="1"/>
        <v>0.32251943938452143</v>
      </c>
    </row>
    <row r="641" spans="2:12">
      <c r="B641">
        <v>0.12620000000000001</v>
      </c>
      <c r="C641">
        <f ca="1"/>
        <v>-1.6451495072392127E-2</v>
      </c>
      <c r="D641">
        <f ca="1"/>
        <v>1</v>
      </c>
      <c r="E641">
        <f ca="1"/>
        <v>99.420257130983032</v>
      </c>
      <c r="F641">
        <f ca="1"/>
        <v>1.4582593426921164</v>
      </c>
      <c r="G641">
        <f ca="1"/>
        <v>-1.4667627954038642E-2</v>
      </c>
      <c r="H641">
        <f ca="1"/>
        <v>54.779993298944277</v>
      </c>
      <c r="I641">
        <f ca="1"/>
        <v>-0.5189183002278781</v>
      </c>
      <c r="J641">
        <f ca="1"/>
        <v>3.189002460315983</v>
      </c>
      <c r="K641">
        <f ca="1"/>
        <v>0</v>
      </c>
      <c r="L641">
        <f ca="1"/>
        <v>0.57974286901696814</v>
      </c>
    </row>
    <row r="642" spans="2:12">
      <c r="B642">
        <v>0.12640000000000001</v>
      </c>
      <c r="C642">
        <f ca="1"/>
        <v>8.5872050063905553E-3</v>
      </c>
      <c r="D642">
        <f ca="1"/>
        <v>1</v>
      </c>
      <c r="E642">
        <f ca="1"/>
        <v>99.918976941548436</v>
      </c>
      <c r="F642">
        <f ca="1"/>
        <v>-2.8321072651991761</v>
      </c>
      <c r="G642">
        <f ca="1"/>
        <v>2.8344037858353266E-2</v>
      </c>
      <c r="H642">
        <f ca="1"/>
        <v>51.9478860337451</v>
      </c>
      <c r="I642">
        <f ca="1"/>
        <v>-0.49057426236952484</v>
      </c>
      <c r="J642">
        <f ca="1"/>
        <v>2.9302076239274157</v>
      </c>
      <c r="K642">
        <f ca="1"/>
        <v>0</v>
      </c>
      <c r="L642">
        <f ca="1"/>
        <v>8.1023058451563656E-2</v>
      </c>
    </row>
    <row r="643" spans="2:12">
      <c r="B643">
        <v>0.12660000000000002</v>
      </c>
      <c r="C643">
        <f ca="1"/>
        <v>9.8334590747764534E-3</v>
      </c>
      <c r="D643">
        <f ca="1"/>
        <v>1</v>
      </c>
      <c r="E643">
        <f ca="1"/>
        <v>99.943485157152196</v>
      </c>
      <c r="F643">
        <f ca="1"/>
        <v>-0.13763218942145825</v>
      </c>
      <c r="G643">
        <f ca="1"/>
        <v>1.3771001602059796E-3</v>
      </c>
      <c r="H643">
        <f ca="1"/>
        <v>51.81025384432364</v>
      </c>
      <c r="I643">
        <f ca="1"/>
        <v>-0.48919716220931886</v>
      </c>
      <c r="J643">
        <f ca="1"/>
        <v>2.9181845241356044</v>
      </c>
      <c r="K643">
        <f ca="1"/>
        <v>0</v>
      </c>
      <c r="L643">
        <f ca="1"/>
        <v>5.6514842847803948E-2</v>
      </c>
    </row>
    <row r="644" spans="2:12">
      <c r="B644">
        <v>0.1268</v>
      </c>
      <c r="C644">
        <f ca="1"/>
        <v>7.9754417126848571E-3</v>
      </c>
      <c r="D644">
        <f ca="1"/>
        <v>1</v>
      </c>
      <c r="E644">
        <f ca="1"/>
        <v>99.905953086110927</v>
      </c>
      <c r="F644">
        <f ca="1"/>
        <v>0.21458443746103881</v>
      </c>
      <c r="G644">
        <f ca="1"/>
        <v>-2.1478643747693815E-3</v>
      </c>
      <c r="H644">
        <f ca="1"/>
        <v>52.024838281784682</v>
      </c>
      <c r="I644">
        <f ca="1"/>
        <v>-0.49134502658408824</v>
      </c>
      <c r="J644">
        <f ca="1"/>
        <v>2.9365451067808337</v>
      </c>
      <c r="K644">
        <f ca="1"/>
        <v>0</v>
      </c>
      <c r="L644">
        <f ca="1"/>
        <v>9.404691388907338E-2</v>
      </c>
    </row>
    <row r="645" spans="2:12">
      <c r="B645">
        <v>0.127</v>
      </c>
      <c r="C645">
        <f ca="1"/>
        <v>3.6349573431902635E-2</v>
      </c>
      <c r="D645">
        <f ca="1"/>
        <v>1</v>
      </c>
      <c r="E645">
        <f ca="1"/>
        <v>100.47411183900736</v>
      </c>
      <c r="F645">
        <f ca="1"/>
        <v>-3.2319248807835539</v>
      </c>
      <c r="G645">
        <f ca="1"/>
        <v>3.2166742473545451E-2</v>
      </c>
      <c r="H645">
        <f ca="1"/>
        <v>48.79291340100113</v>
      </c>
      <c r="I645">
        <f ca="1"/>
        <v>-0.45917828411054279</v>
      </c>
      <c r="J645">
        <f ca="1"/>
        <v>2.6573831292349581</v>
      </c>
      <c r="K645">
        <f ca="1"/>
        <v>0</v>
      </c>
      <c r="L645">
        <f ca="1"/>
        <v>0</v>
      </c>
    </row>
    <row r="646" spans="2:12">
      <c r="B646">
        <v>0.12720000000000001</v>
      </c>
      <c r="C646">
        <f ca="1"/>
        <v>5.6856335285133008E-2</v>
      </c>
      <c r="D646">
        <f ca="1"/>
        <v>1</v>
      </c>
      <c r="E646">
        <f ca="1"/>
        <v>100.88663422700282</v>
      </c>
      <c r="F646">
        <f ca="1"/>
        <v>-2.3333703053554791</v>
      </c>
      <c r="G646">
        <f ca="1"/>
        <v>2.3128636644822675E-2</v>
      </c>
      <c r="H646">
        <f ca="1"/>
        <v>46.45954309564565</v>
      </c>
      <c r="I646">
        <f ca="1"/>
        <v>-0.43604964746572011</v>
      </c>
      <c r="J646">
        <f ca="1"/>
        <v>2.4679618069580158</v>
      </c>
      <c r="K646">
        <f ca="1"/>
        <v>0</v>
      </c>
      <c r="L646">
        <f ca="1"/>
        <v>0</v>
      </c>
    </row>
    <row r="647" spans="2:12">
      <c r="B647">
        <v>0.12740000000000001</v>
      </c>
      <c r="C647">
        <f ca="1"/>
        <v>5.6440403905619677E-2</v>
      </c>
      <c r="D647">
        <f ca="1"/>
        <v>1</v>
      </c>
      <c r="E647">
        <f ca="1"/>
        <v>100.87783868050725</v>
      </c>
      <c r="F647">
        <f ca="1"/>
        <v>4.6518578864702266E-2</v>
      </c>
      <c r="G647">
        <f ca="1"/>
        <v>-4.6113774316708378E-4</v>
      </c>
      <c r="H647">
        <f ca="1"/>
        <v>46.506061674510349</v>
      </c>
      <c r="I647">
        <f ca="1"/>
        <v>-0.4365107852088872</v>
      </c>
      <c r="J647">
        <f ca="1"/>
        <v>2.4717971019066738</v>
      </c>
      <c r="K647">
        <f ca="1"/>
        <v>0</v>
      </c>
      <c r="L647">
        <f ca="1"/>
        <v>0</v>
      </c>
    </row>
    <row r="648" spans="2:12">
      <c r="B648">
        <v>0.12760000000000002</v>
      </c>
      <c r="C648">
        <f ca="1"/>
        <v>4.7504172144667331E-2</v>
      </c>
      <c r="D648">
        <f ca="1"/>
        <v>1</v>
      </c>
      <c r="E648">
        <f ca="1"/>
        <v>100.69730335984282</v>
      </c>
      <c r="F648">
        <f ca="1"/>
        <v>1.0143987256293059</v>
      </c>
      <c r="G648">
        <f ca="1"/>
        <v>-1.0073742709914901E-2</v>
      </c>
      <c r="H648">
        <f ca="1"/>
        <v>47.520460400139655</v>
      </c>
      <c r="I648">
        <f ca="1"/>
        <v>-0.4465845279188021</v>
      </c>
      <c r="J648">
        <f ca="1"/>
        <v>2.5506027164878446</v>
      </c>
      <c r="K648">
        <f ca="1"/>
        <v>0</v>
      </c>
      <c r="L648">
        <f ca="1"/>
        <v>0</v>
      </c>
    </row>
    <row r="649" spans="2:12">
      <c r="B649">
        <v>0.1278</v>
      </c>
      <c r="C649">
        <f ca="1"/>
        <v>6.6576462203434938E-2</v>
      </c>
      <c r="D649">
        <f ca="1"/>
        <v>1</v>
      </c>
      <c r="E649">
        <f ca="1"/>
        <v>101.08173817740472</v>
      </c>
      <c r="F649">
        <f ca="1"/>
        <v>-2.1711627384447509</v>
      </c>
      <c r="G649">
        <f ca="1"/>
        <v>2.1479277835866117E-2</v>
      </c>
      <c r="H649">
        <f ca="1"/>
        <v>45.349297661694905</v>
      </c>
      <c r="I649">
        <f ca="1"/>
        <v>-0.42510525008293598</v>
      </c>
      <c r="J649">
        <f ca="1"/>
        <v>2.3789200749714183</v>
      </c>
      <c r="K649">
        <f ca="1"/>
        <v>0</v>
      </c>
      <c r="L649">
        <f ca="1"/>
        <v>0</v>
      </c>
    </row>
    <row r="650" spans="2:12">
      <c r="B650">
        <v>0.128</v>
      </c>
      <c r="C650">
        <f ca="1"/>
        <v>4.5784903328182844E-2</v>
      </c>
      <c r="D650">
        <f ca="1"/>
        <v>1</v>
      </c>
      <c r="E650">
        <f ca="1"/>
        <v>100.66187886718781</v>
      </c>
      <c r="F650">
        <f ca="1"/>
        <v>2.358464055982946</v>
      </c>
      <c r="G650">
        <f ca="1"/>
        <v>-2.3429565218971105E-2</v>
      </c>
      <c r="H650">
        <f ca="1"/>
        <v>47.707761717677855</v>
      </c>
      <c r="I650">
        <f ca="1"/>
        <v>-0.44853481530190709</v>
      </c>
      <c r="J650">
        <f ca="1"/>
        <v>2.5574044720408295</v>
      </c>
      <c r="K650">
        <f ca="1"/>
        <v>0</v>
      </c>
      <c r="L650">
        <f ca="1"/>
        <v>0</v>
      </c>
    </row>
    <row r="651" spans="2:12">
      <c r="B651">
        <v>0.12820000000000001</v>
      </c>
      <c r="C651">
        <f ca="1"/>
        <v>4.582376317395527E-2</v>
      </c>
      <c r="D651">
        <f ca="1"/>
        <v>1</v>
      </c>
      <c r="E651">
        <f ca="1"/>
        <v>100.66225856140602</v>
      </c>
      <c r="F651">
        <f ca="1"/>
        <v>-4.0978299166830028E-3</v>
      </c>
      <c r="G651">
        <f ca="1"/>
        <v>4.0708702300606969E-5</v>
      </c>
      <c r="H651">
        <f ca="1"/>
        <v>47.703663887761174</v>
      </c>
      <c r="I651">
        <f ca="1"/>
        <v>-0.44849410659960648</v>
      </c>
      <c r="J651">
        <f ca="1"/>
        <v>2.5572341659647932</v>
      </c>
      <c r="K651">
        <f ca="1"/>
        <v>0</v>
      </c>
      <c r="L651">
        <f ca="1"/>
        <v>0</v>
      </c>
    </row>
    <row r="652" spans="2:12">
      <c r="B652">
        <v>0.12840000000000001</v>
      </c>
      <c r="C652">
        <f ca="1"/>
        <v>5.7083832346993817E-2</v>
      </c>
      <c r="D652">
        <f ca="1"/>
        <v>1</v>
      </c>
      <c r="E652">
        <f ca="1"/>
        <v>100.88880325367123</v>
      </c>
      <c r="F652">
        <f ca="1"/>
        <v>-1.2855635663092324</v>
      </c>
      <c r="G652">
        <f ca="1"/>
        <v>1.2742380966467182E-2</v>
      </c>
      <c r="H652">
        <f ca="1"/>
        <v>46.418100321451938</v>
      </c>
      <c r="I652">
        <f ca="1"/>
        <v>-0.4357517256331393</v>
      </c>
      <c r="J652">
        <f ca="1"/>
        <v>2.4556302066024216</v>
      </c>
      <c r="K652">
        <f ca="1"/>
        <v>0</v>
      </c>
      <c r="L652">
        <f ca="1"/>
        <v>0</v>
      </c>
    </row>
    <row r="653" spans="2:12">
      <c r="B653">
        <v>0.12860000000000002</v>
      </c>
      <c r="C653">
        <f ca="1"/>
        <v>7.4919698788852476E-2</v>
      </c>
      <c r="D653">
        <f ca="1"/>
        <v>1</v>
      </c>
      <c r="E653">
        <f ca="1"/>
        <v>101.24892875628737</v>
      </c>
      <c r="F653">
        <f ca="1"/>
        <v>-2.0322323030779548</v>
      </c>
      <c r="G653">
        <f ca="1"/>
        <v>2.0071642515543719E-2</v>
      </c>
      <c r="H653">
        <f ca="1"/>
        <v>44.385868018373984</v>
      </c>
      <c r="I653">
        <f ca="1"/>
        <v>-0.41568008311759558</v>
      </c>
      <c r="J653">
        <f ca="1"/>
        <v>2.2987048973929376</v>
      </c>
      <c r="K653">
        <f ca="1"/>
        <v>0</v>
      </c>
      <c r="L653">
        <f ca="1"/>
        <v>0</v>
      </c>
    </row>
    <row r="654" spans="2:12">
      <c r="B654">
        <v>0.1288</v>
      </c>
      <c r="C654">
        <f ca="1"/>
        <v>7.0767533045867026E-2</v>
      </c>
      <c r="D654">
        <f ca="1"/>
        <v>1</v>
      </c>
      <c r="E654">
        <f ca="1"/>
        <v>101.16447853280619</v>
      </c>
      <c r="F654">
        <f ca="1"/>
        <v>0.46874320120956564</v>
      </c>
      <c r="G654">
        <f ca="1"/>
        <v>-4.6334761766953503E-3</v>
      </c>
      <c r="H654">
        <f ca="1"/>
        <v>44.854611219583546</v>
      </c>
      <c r="I654">
        <f ca="1"/>
        <v>-0.42031355929429093</v>
      </c>
      <c r="J654">
        <f ca="1"/>
        <v>2.333809173308893</v>
      </c>
      <c r="K654">
        <f ca="1"/>
        <v>0</v>
      </c>
      <c r="L654">
        <f ca="1"/>
        <v>0</v>
      </c>
    </row>
    <row r="655" spans="2:12">
      <c r="B655">
        <v>0.129</v>
      </c>
      <c r="C655">
        <f ca="1"/>
        <v>6.3895669519224943E-2</v>
      </c>
      <c r="D655">
        <f ca="1"/>
        <v>1</v>
      </c>
      <c r="E655">
        <f ca="1"/>
        <v>101.02513223447703</v>
      </c>
      <c r="F655">
        <f ca="1"/>
        <v>0.77973575232642134</v>
      </c>
      <c r="G655">
        <f ca="1"/>
        <v>-7.7182354042029111E-3</v>
      </c>
      <c r="H655">
        <f ca="1"/>
        <v>45.63434697190997</v>
      </c>
      <c r="I655">
        <f ca="1"/>
        <v>-0.42803179469849384</v>
      </c>
      <c r="J655">
        <f ca="1"/>
        <v>2.3923783119341095</v>
      </c>
      <c r="K655">
        <f ca="1"/>
        <v>0</v>
      </c>
      <c r="L655">
        <f ca="1"/>
        <v>0</v>
      </c>
    </row>
    <row r="656" spans="2:12">
      <c r="B656">
        <v>0.12920000000000001</v>
      </c>
      <c r="C656">
        <f ca="1"/>
        <v>5.2472011254274975E-2</v>
      </c>
      <c r="D656">
        <f ca="1"/>
        <v>1</v>
      </c>
      <c r="E656">
        <f ca="1"/>
        <v>100.79417721443436</v>
      </c>
      <c r="F656">
        <f ca="1"/>
        <v>1.3023440588927016</v>
      </c>
      <c r="G656">
        <f ca="1"/>
        <v>-1.2920826330295176E-2</v>
      </c>
      <c r="H656">
        <f ca="1"/>
        <v>46.93669103080267</v>
      </c>
      <c r="I656">
        <f ca="1"/>
        <v>-0.44095262102878902</v>
      </c>
      <c r="J656">
        <f ca="1"/>
        <v>2.4912344036576002</v>
      </c>
      <c r="K656">
        <f ca="1"/>
        <v>0</v>
      </c>
      <c r="L656">
        <f ca="1"/>
        <v>0</v>
      </c>
    </row>
    <row r="657" spans="2:12">
      <c r="B657">
        <v>0.12940000000000002</v>
      </c>
      <c r="C657">
        <f ca="1"/>
        <v>5.2051971453532658E-2</v>
      </c>
      <c r="D657">
        <f ca="1"/>
        <v>1</v>
      </c>
      <c r="E657">
        <f ca="1"/>
        <v>100.78530691483709</v>
      </c>
      <c r="F657">
        <f ca="1"/>
        <v>4.7786821462373917E-2</v>
      </c>
      <c r="G657">
        <f ca="1"/>
        <v>-4.7414472332513169E-4</v>
      </c>
      <c r="H657">
        <f ca="1"/>
        <v>46.984477852265044</v>
      </c>
      <c r="I657">
        <f ca="1"/>
        <v>-0.44142676575211415</v>
      </c>
      <c r="J657">
        <f ca="1"/>
        <v>2.4951457855143175</v>
      </c>
      <c r="K657">
        <f ca="1"/>
        <v>0</v>
      </c>
      <c r="L657">
        <f ca="1"/>
        <v>0</v>
      </c>
    </row>
    <row r="658" spans="2:12">
      <c r="B658">
        <v>0.12959999999999999</v>
      </c>
      <c r="C658">
        <f ca="1"/>
        <v>6.2637972553232002E-2</v>
      </c>
      <c r="D658">
        <f ca="1"/>
        <v>1</v>
      </c>
      <c r="E658">
        <f ca="1"/>
        <v>100.99851164037183</v>
      </c>
      <c r="F658">
        <f ca="1"/>
        <v>-1.2133495351547243</v>
      </c>
      <c r="G658">
        <f ca="1"/>
        <v>1.2013538768522958E-2</v>
      </c>
      <c r="H658">
        <f ca="1"/>
        <v>45.771128317110318</v>
      </c>
      <c r="I658">
        <f ca="1"/>
        <v>-0.42941322698359119</v>
      </c>
      <c r="J658">
        <f ca="1"/>
        <v>2.4010315130784505</v>
      </c>
      <c r="K658">
        <f ca="1"/>
        <v>0</v>
      </c>
      <c r="L658">
        <f ca="1"/>
        <v>0</v>
      </c>
    </row>
    <row r="659" spans="2:12">
      <c r="B659">
        <v>0.1298</v>
      </c>
      <c r="C659">
        <f ca="1"/>
        <v>4.2186418829513975E-2</v>
      </c>
      <c r="D659">
        <f ca="1"/>
        <v>1</v>
      </c>
      <c r="E659">
        <f ca="1"/>
        <v>100.58583773304994</v>
      </c>
      <c r="F659">
        <f ca="1"/>
        <v>2.3395823756072271</v>
      </c>
      <c r="G659">
        <f ca="1"/>
        <v>-2.3259560474272412E-2</v>
      </c>
      <c r="H659">
        <f ca="1"/>
        <v>48.110710692717547</v>
      </c>
      <c r="I659">
        <f ca="1"/>
        <v>-0.4526727874578636</v>
      </c>
      <c r="J659">
        <f ca="1"/>
        <v>2.5782391473134751</v>
      </c>
      <c r="K659">
        <f ca="1"/>
        <v>0</v>
      </c>
      <c r="L659">
        <f ca="1"/>
        <v>0</v>
      </c>
    </row>
    <row r="660" spans="2:12">
      <c r="B660">
        <v>0.13</v>
      </c>
      <c r="C660">
        <f ca="1"/>
        <v>3.0769137329381756E-2</v>
      </c>
      <c r="D660">
        <f ca="1"/>
        <v>1</v>
      </c>
      <c r="E660">
        <f ca="1"/>
        <v>100.35601497979789</v>
      </c>
      <c r="F660">
        <f ca="1"/>
        <v>1.3132408113825338</v>
      </c>
      <c r="G660">
        <f ca="1"/>
        <v>-1.3085820632145417E-2</v>
      </c>
      <c r="H660">
        <f ca="1"/>
        <v>49.423951504100081</v>
      </c>
      <c r="I660">
        <f ca="1"/>
        <v>-0.46575860809000902</v>
      </c>
      <c r="J660">
        <f ca="1"/>
        <v>2.6822736536493181</v>
      </c>
      <c r="K660">
        <f ca="1"/>
        <v>0</v>
      </c>
      <c r="L660">
        <f ca="1"/>
        <v>0</v>
      </c>
    </row>
    <row r="661" spans="2:12">
      <c r="B661">
        <v>0.13020000000000001</v>
      </c>
      <c r="C661">
        <f ca="1"/>
        <v>2.0070008848024262E-2</v>
      </c>
      <c r="D661">
        <f ca="1"/>
        <v>1</v>
      </c>
      <c r="E661">
        <f ca="1"/>
        <v>100.14109962894699</v>
      </c>
      <c r="F661">
        <f ca="1"/>
        <v>1.2335676878493991</v>
      </c>
      <c r="G661">
        <f ca="1"/>
        <v>-1.2318295808815161E-2</v>
      </c>
      <c r="H661">
        <f ca="1"/>
        <v>50.657519191949483</v>
      </c>
      <c r="I661">
        <f ca="1"/>
        <v>-0.47807690389882418</v>
      </c>
      <c r="J661">
        <f ca="1"/>
        <v>2.7823723283188144</v>
      </c>
      <c r="K661">
        <f ca="1"/>
        <v>0</v>
      </c>
      <c r="L661">
        <f ca="1"/>
        <v>0</v>
      </c>
    </row>
    <row r="662" spans="2:12">
      <c r="B662">
        <v>0.13040000000000002</v>
      </c>
      <c r="C662">
        <f ca="1"/>
        <v>2.4432692862844423E-2</v>
      </c>
      <c r="D662">
        <f ca="1"/>
        <v>1</v>
      </c>
      <c r="E662">
        <f ca="1"/>
        <v>100.22811364143016</v>
      </c>
      <c r="F662">
        <f ca="1"/>
        <v>-0.50068389213386888</v>
      </c>
      <c r="G662">
        <f ca="1"/>
        <v>4.9954436329619489E-3</v>
      </c>
      <c r="H662">
        <f ca="1"/>
        <v>50.156835299815612</v>
      </c>
      <c r="I662">
        <f ca="1"/>
        <v>-0.47308146026586223</v>
      </c>
      <c r="J662">
        <f ca="1"/>
        <v>2.7407729386350468</v>
      </c>
      <c r="K662">
        <f ca="1"/>
        <v>0</v>
      </c>
      <c r="L662">
        <f ca="1"/>
        <v>0</v>
      </c>
    </row>
    <row r="663" spans="2:12">
      <c r="B663">
        <v>0.13059999999999999</v>
      </c>
      <c r="C663">
        <f ca="1"/>
        <v>1.1294651889746796E-2</v>
      </c>
      <c r="D663">
        <f ca="1"/>
        <v>1</v>
      </c>
      <c r="E663">
        <f ca="1"/>
        <v>99.964699269969344</v>
      </c>
      <c r="F663">
        <f ca="1"/>
        <v>1.5167867421895682</v>
      </c>
      <c r="G663">
        <f ca="1"/>
        <v>-1.5173223680624126E-2</v>
      </c>
      <c r="H663">
        <f ca="1"/>
        <v>51.673622042005178</v>
      </c>
      <c r="I663">
        <f ca="1"/>
        <v>-0.48825468394648636</v>
      </c>
      <c r="J663">
        <f ca="1"/>
        <v>2.8653893941407418</v>
      </c>
      <c r="K663">
        <f ca="1"/>
        <v>0</v>
      </c>
      <c r="L663">
        <f ca="1"/>
        <v>3.5300730030655814E-2</v>
      </c>
    </row>
    <row r="664" spans="2:12">
      <c r="B664">
        <v>0.1308</v>
      </c>
      <c r="C664">
        <f ca="1"/>
        <v>2.2989012341059937E-2</v>
      </c>
      <c r="D664">
        <f ca="1"/>
        <v>1</v>
      </c>
      <c r="E664">
        <f ca="1"/>
        <v>100.1983767536635</v>
      </c>
      <c r="F664">
        <f ca="1"/>
        <v>-1.3488132285293224</v>
      </c>
      <c r="G664">
        <f ca="1"/>
        <v>1.3461427941546034E-2</v>
      </c>
      <c r="H664">
        <f ca="1"/>
        <v>50.324808813475855</v>
      </c>
      <c r="I664">
        <f ca="1"/>
        <v>-0.47479325600494032</v>
      </c>
      <c r="J664">
        <f ca="1"/>
        <v>2.7512952681942409</v>
      </c>
      <c r="K664">
        <f ca="1"/>
        <v>0</v>
      </c>
      <c r="L664">
        <f ca="1"/>
        <v>0</v>
      </c>
    </row>
    <row r="665" spans="2:12">
      <c r="B665">
        <v>0.13100000000000001</v>
      </c>
      <c r="C665">
        <f ca="1"/>
        <v>3.2444698851035222E-2</v>
      </c>
      <c r="D665">
        <f ca="1"/>
        <v>1</v>
      </c>
      <c r="E665">
        <f ca="1"/>
        <v>100.38764337791861</v>
      </c>
      <c r="F665">
        <f ca="1"/>
        <v>-1.0919819720059061</v>
      </c>
      <c r="G665">
        <f ca="1"/>
        <v>1.0877653217687744E-2</v>
      </c>
      <c r="H665">
        <f ca="1"/>
        <v>49.232826841469951</v>
      </c>
      <c r="I665">
        <f ca="1"/>
        <v>-0.46391560278725258</v>
      </c>
      <c r="J665">
        <f ca="1"/>
        <v>2.6614327514110983</v>
      </c>
      <c r="K665">
        <f ca="1"/>
        <v>0</v>
      </c>
      <c r="L665">
        <f ca="1"/>
        <v>0</v>
      </c>
    </row>
    <row r="666" spans="2:12">
      <c r="B666">
        <v>0.13120000000000001</v>
      </c>
      <c r="C666">
        <f ca="1"/>
        <v>7.8139358929504264E-3</v>
      </c>
      <c r="D666">
        <f ca="1"/>
        <v>1</v>
      </c>
      <c r="E666">
        <f ca="1"/>
        <v>99.893935006578431</v>
      </c>
      <c r="F666">
        <f ca="1"/>
        <v>2.8445660393425016</v>
      </c>
      <c r="G666">
        <f ca="1"/>
        <v>-2.8475863315977845E-2</v>
      </c>
      <c r="H666">
        <f ca="1"/>
        <v>52.077392880812454</v>
      </c>
      <c r="I666">
        <f ca="1"/>
        <v>-0.49239146610323042</v>
      </c>
      <c r="J666">
        <f ca="1"/>
        <v>2.8904717681024863</v>
      </c>
      <c r="K666">
        <f ca="1"/>
        <v>0</v>
      </c>
      <c r="L666">
        <f ca="1"/>
        <v>0.10606499342156894</v>
      </c>
    </row>
    <row r="667" spans="2:12">
      <c r="B667">
        <v>0.13140000000000002</v>
      </c>
      <c r="C667">
        <f ca="1"/>
        <v>7.8337104425948382E-3</v>
      </c>
      <c r="D667">
        <f ca="1"/>
        <v>1</v>
      </c>
      <c r="E667">
        <f ca="1"/>
        <v>99.893930502353896</v>
      </c>
      <c r="F667">
        <f ca="1"/>
        <v>1.6995545916783583E-3</v>
      </c>
      <c r="G667">
        <f ca="1"/>
        <v>-1.7013592148507062E-5</v>
      </c>
      <c r="H667">
        <f ca="1"/>
        <v>52.079092435404135</v>
      </c>
      <c r="I667">
        <f ca="1"/>
        <v>-0.49240847969537893</v>
      </c>
      <c r="J667">
        <f ca="1"/>
        <v>2.8904739859442117</v>
      </c>
      <c r="K667">
        <f ca="1"/>
        <v>0</v>
      </c>
      <c r="L667">
        <f ca="1"/>
        <v>0.10606949764610363</v>
      </c>
    </row>
    <row r="668" spans="2:12">
      <c r="B668">
        <v>0.13159999999999999</v>
      </c>
      <c r="C668">
        <f ca="1"/>
        <v>5.3812226499724957E-3</v>
      </c>
      <c r="D668">
        <f ca="1"/>
        <v>1</v>
      </c>
      <c r="E668">
        <f ca="1"/>
        <v>99.844545409019446</v>
      </c>
      <c r="F668">
        <f ca="1"/>
        <v>0.28785563080398657</v>
      </c>
      <c r="G668">
        <f ca="1"/>
        <v>-2.8830381231620406E-3</v>
      </c>
      <c r="H668">
        <f ca="1"/>
        <v>52.366948066208124</v>
      </c>
      <c r="I668">
        <f ca="1"/>
        <v>-0.49529151781854097</v>
      </c>
      <c r="J668">
        <f ca="1"/>
        <v>2.9147916246726453</v>
      </c>
      <c r="K668">
        <f ca="1"/>
        <v>0</v>
      </c>
      <c r="L668">
        <f ca="1"/>
        <v>0.15545459098055403</v>
      </c>
    </row>
    <row r="669" spans="2:12">
      <c r="B669">
        <v>0.1318</v>
      </c>
      <c r="C669">
        <f ca="1"/>
        <v>1.0322840526413208E-2</v>
      </c>
      <c r="D669">
        <f ca="1"/>
        <v>1</v>
      </c>
      <c r="E669">
        <f ca="1"/>
        <v>99.942873134139347</v>
      </c>
      <c r="F669">
        <f ca="1"/>
        <v>-0.5687416031478344</v>
      </c>
      <c r="G669">
        <f ca="1"/>
        <v>5.6906669311426739E-3</v>
      </c>
      <c r="H669">
        <f ca="1"/>
        <v>51.798206463060289</v>
      </c>
      <c r="I669">
        <f ca="1"/>
        <v>-0.4896008508873983</v>
      </c>
      <c r="J669">
        <f ca="1"/>
        <v>2.8660907364543675</v>
      </c>
      <c r="K669">
        <f ca="1"/>
        <v>0</v>
      </c>
      <c r="L669">
        <f ca="1"/>
        <v>5.7126865860652742E-2</v>
      </c>
    </row>
    <row r="670" spans="2:12">
      <c r="B670">
        <v>0.13200000000000001</v>
      </c>
      <c r="C670">
        <f ca="1"/>
        <v>-1.3008465769231963E-3</v>
      </c>
      <c r="D670">
        <f ca="1"/>
        <v>1</v>
      </c>
      <c r="E670">
        <f ca="1"/>
        <v>99.710403211304495</v>
      </c>
      <c r="F670">
        <f ca="1"/>
        <v>1.3496588646613081</v>
      </c>
      <c r="G670">
        <f ca="1"/>
        <v>-1.3535787853561632E-2</v>
      </c>
      <c r="H670">
        <f ca="1"/>
        <v>53.147865327721597</v>
      </c>
      <c r="I670">
        <f ca="1"/>
        <v>-0.50313663874095993</v>
      </c>
      <c r="J670">
        <f ca="1"/>
        <v>2.9799082084800332</v>
      </c>
      <c r="K670">
        <f ca="1"/>
        <v>0</v>
      </c>
      <c r="L670">
        <f ca="1"/>
        <v>0.28959678869550487</v>
      </c>
    </row>
    <row r="671" spans="2:12">
      <c r="B671">
        <v>0.13220000000000001</v>
      </c>
      <c r="C671">
        <f ca="1"/>
        <v>-5.2155226362555545E-3</v>
      </c>
      <c r="D671">
        <f ca="1"/>
        <v>1</v>
      </c>
      <c r="E671">
        <f ca="1"/>
        <v>99.631968449613694</v>
      </c>
      <c r="F671">
        <f ca="1"/>
        <v>0.45820065918149938</v>
      </c>
      <c r="G671">
        <f ca="1"/>
        <v>-4.5989321129715766E-3</v>
      </c>
      <c r="H671">
        <f ca="1"/>
        <v>53.606065986903097</v>
      </c>
      <c r="I671">
        <f ca="1"/>
        <v>-0.50773557085393151</v>
      </c>
      <c r="J671">
        <f ca="1"/>
        <v>3.0193716108375952</v>
      </c>
      <c r="K671">
        <f ca="1"/>
        <v>0</v>
      </c>
      <c r="L671">
        <f ca="1"/>
        <v>0.36803155038630564</v>
      </c>
    </row>
    <row r="672" spans="2:12">
      <c r="B672">
        <v>0.13240000000000002</v>
      </c>
      <c r="C672">
        <f ca="1"/>
        <v>-1.2969968865805937E-2</v>
      </c>
      <c r="D672">
        <f ca="1"/>
        <v>1</v>
      </c>
      <c r="E672">
        <f ca="1"/>
        <v>99.477172150060611</v>
      </c>
      <c r="F672">
        <f ca="1"/>
        <v>0.90222540734861978</v>
      </c>
      <c r="G672">
        <f ca="1"/>
        <v>-9.0696728490393674E-3</v>
      </c>
      <c r="H672">
        <f ca="1"/>
        <v>54.508291394251714</v>
      </c>
      <c r="I672">
        <f ca="1"/>
        <v>-0.51680524370297087</v>
      </c>
      <c r="J672">
        <f ca="1"/>
        <v>3.097967198357253</v>
      </c>
      <c r="K672">
        <f ca="1"/>
        <v>0</v>
      </c>
      <c r="L672">
        <f ca="1"/>
        <v>0.52282784993938947</v>
      </c>
    </row>
    <row r="673" spans="2:12">
      <c r="B673">
        <v>0.1326</v>
      </c>
      <c r="C673">
        <f ca="1"/>
        <v>-2.6762142239712121E-2</v>
      </c>
      <c r="D673">
        <f ca="1"/>
        <v>1</v>
      </c>
      <c r="E673">
        <f ca="1"/>
        <v>99.202752168509605</v>
      </c>
      <c r="F673">
        <f ca="1"/>
        <v>1.5958888154700193</v>
      </c>
      <c r="G673">
        <f ca="1"/>
        <v>-1.608714254982746E-2</v>
      </c>
      <c r="H673">
        <f ca="1"/>
        <v>56.104180209721733</v>
      </c>
      <c r="I673">
        <f ca="1"/>
        <v>-0.53289238625279833</v>
      </c>
      <c r="J673">
        <f ca="1"/>
        <v>3.2397888837996831</v>
      </c>
      <c r="K673">
        <f ca="1"/>
        <v>0</v>
      </c>
      <c r="L673">
        <f ca="1"/>
        <v>0.79724783149039524</v>
      </c>
    </row>
    <row r="674" spans="2:12">
      <c r="B674">
        <v>0.1328</v>
      </c>
      <c r="C674">
        <f ca="1"/>
        <v>-3.809749542967665E-2</v>
      </c>
      <c r="D674">
        <f ca="1"/>
        <v>1</v>
      </c>
      <c r="E674">
        <f ca="1"/>
        <v>98.977711349375525</v>
      </c>
      <c r="F674">
        <f ca="1"/>
        <v>1.3083120352929114</v>
      </c>
      <c r="G674">
        <f ca="1"/>
        <v>-1.3218249012394101E-2</v>
      </c>
      <c r="H674">
        <f ca="1"/>
        <v>57.412492245014647</v>
      </c>
      <c r="I674">
        <f ca="1"/>
        <v>-0.54611063526519243</v>
      </c>
      <c r="J674">
        <f ca="1"/>
        <v>3.3597114229123335</v>
      </c>
      <c r="K674">
        <f ca="1"/>
        <v>0</v>
      </c>
      <c r="L674">
        <f ca="1"/>
        <v>1.0222886506244748</v>
      </c>
    </row>
    <row r="675" spans="2:12">
      <c r="B675">
        <v>0.13300000000000001</v>
      </c>
      <c r="C675">
        <f ca="1"/>
        <v>-3.6384895491048702E-2</v>
      </c>
      <c r="D675">
        <f ca="1"/>
        <v>1</v>
      </c>
      <c r="E675">
        <f ca="1"/>
        <v>99.011222954860727</v>
      </c>
      <c r="F675">
        <f ca="1"/>
        <v>-0.18802633630978868</v>
      </c>
      <c r="G675">
        <f ca="1"/>
        <v>1.8990406410342997E-3</v>
      </c>
      <c r="H675">
        <f ca="1"/>
        <v>57.224465908704857</v>
      </c>
      <c r="I675">
        <f ca="1"/>
        <v>-0.54421159462415813</v>
      </c>
      <c r="J675">
        <f ca="1"/>
        <v>3.3414103787520517</v>
      </c>
      <c r="K675">
        <f ca="1"/>
        <v>0</v>
      </c>
      <c r="L675">
        <f ca="1"/>
        <v>0.98877704513927256</v>
      </c>
    </row>
    <row r="676" spans="2:12">
      <c r="B676">
        <v>0.13320000000000001</v>
      </c>
      <c r="C676">
        <f ca="1"/>
        <v>-4.5919365476989937E-2</v>
      </c>
      <c r="D676">
        <f ca="1"/>
        <v>1</v>
      </c>
      <c r="E676">
        <f ca="1"/>
        <v>98.822203658698456</v>
      </c>
      <c r="F676">
        <f ca="1"/>
        <v>1.0995525488538942</v>
      </c>
      <c r="G676">
        <f ca="1"/>
        <v>-1.1126573868474043E-2</v>
      </c>
      <c r="H676">
        <f ca="1"/>
        <v>58.324018457558751</v>
      </c>
      <c r="I676">
        <f ca="1"/>
        <v>-0.55533816849263218</v>
      </c>
      <c r="J676">
        <f ca="1"/>
        <v>3.4442768713312546</v>
      </c>
      <c r="K676">
        <f ca="1"/>
        <v>0</v>
      </c>
      <c r="L676">
        <f ca="1"/>
        <v>1.1777963413015442</v>
      </c>
    </row>
    <row r="677" spans="2:12">
      <c r="B677">
        <v>0.13340000000000002</v>
      </c>
      <c r="C677">
        <f ca="1"/>
        <v>-4.6501429021489647E-2</v>
      </c>
      <c r="D677">
        <f ca="1"/>
        <v>1</v>
      </c>
      <c r="E677">
        <f ca="1"/>
        <v>98.810304925850161</v>
      </c>
      <c r="F677">
        <f ca="1"/>
        <v>7.5767191292338498E-2</v>
      </c>
      <c r="G677">
        <f ca="1"/>
        <v>-7.6679442846772083E-4</v>
      </c>
      <c r="H677">
        <f ca="1"/>
        <v>58.399785648851086</v>
      </c>
      <c r="I677">
        <f ca="1"/>
        <v>-0.5561049629210999</v>
      </c>
      <c r="J677">
        <f ca="1"/>
        <v>3.4508846918386098</v>
      </c>
      <c r="K677">
        <f ca="1"/>
        <v>0</v>
      </c>
      <c r="L677">
        <f ca="1"/>
        <v>1.1896950741498387</v>
      </c>
    </row>
    <row r="678" spans="2:12">
      <c r="B678">
        <v>0.1336</v>
      </c>
      <c r="C678">
        <f ca="1"/>
        <v>-5.575595871958771E-2</v>
      </c>
      <c r="D678">
        <f ca="1"/>
        <v>1</v>
      </c>
      <c r="E678">
        <f ca="1"/>
        <v>98.627190986417489</v>
      </c>
      <c r="F678">
        <f ca="1"/>
        <v>1.0638230940144504</v>
      </c>
      <c r="G678">
        <f ca="1"/>
        <v>-1.0786306325615169E-2</v>
      </c>
      <c r="H678">
        <f ca="1"/>
        <v>59.463608742865539</v>
      </c>
      <c r="I678">
        <f ca="1"/>
        <v>-0.56689126924671507</v>
      </c>
      <c r="J678">
        <f ca="1"/>
        <v>3.5527152623371521</v>
      </c>
      <c r="K678">
        <f ca="1"/>
        <v>0</v>
      </c>
      <c r="L678">
        <f ca="1"/>
        <v>1.3728090135825113</v>
      </c>
    </row>
    <row r="679" spans="2:12">
      <c r="B679">
        <v>0.1338</v>
      </c>
      <c r="C679">
        <f ca="1"/>
        <v>-4.3412385205844041E-2</v>
      </c>
      <c r="D679">
        <f ca="1"/>
        <v>1</v>
      </c>
      <c r="E679">
        <f ca="1"/>
        <v>98.870578691548843</v>
      </c>
      <c r="F679">
        <f ca="1"/>
        <v>-1.4019013099979574</v>
      </c>
      <c r="G679">
        <f ca="1"/>
        <v>1.4179155503595609E-2</v>
      </c>
      <c r="H679">
        <f ca="1"/>
        <v>58.061707432867578</v>
      </c>
      <c r="I679">
        <f ca="1"/>
        <v>-0.55271211374311946</v>
      </c>
      <c r="J679">
        <f ca="1"/>
        <v>3.4147408972561877</v>
      </c>
      <c r="K679">
        <f ca="1"/>
        <v>0</v>
      </c>
      <c r="L679">
        <f ca="1"/>
        <v>1.1294213084511568</v>
      </c>
    </row>
    <row r="680" spans="2:12">
      <c r="B680">
        <v>0.13400000000000001</v>
      </c>
      <c r="C680">
        <f ca="1"/>
        <v>-4.2561077250833849E-2</v>
      </c>
      <c r="D680">
        <f ca="1"/>
        <v>1</v>
      </c>
      <c r="E680">
        <f ca="1"/>
        <v>98.887018437876705</v>
      </c>
      <c r="F680">
        <f ca="1"/>
        <v>-8.8699987753534021E-2</v>
      </c>
      <c r="G680">
        <f ca="1"/>
        <v>8.9698313443697941E-4</v>
      </c>
      <c r="H680">
        <f ca="1"/>
        <v>57.973007445114042</v>
      </c>
      <c r="I680">
        <f ca="1"/>
        <v>-0.55181513060868248</v>
      </c>
      <c r="J680">
        <f ca="1"/>
        <v>3.4056544503139179</v>
      </c>
      <c r="K680">
        <f ca="1"/>
        <v>0</v>
      </c>
      <c r="L680">
        <f ca="1"/>
        <v>1.112981562123295</v>
      </c>
    </row>
    <row r="681" spans="2:12">
      <c r="B681">
        <v>0.13420000000000001</v>
      </c>
      <c r="C681">
        <f ca="1"/>
        <v>-3.5077809837597583E-2</v>
      </c>
      <c r="D681">
        <f ca="1"/>
        <v>1</v>
      </c>
      <c r="E681">
        <f ca="1"/>
        <v>99.034732706019213</v>
      </c>
      <c r="F681">
        <f ca="1"/>
        <v>-0.85362348606141147</v>
      </c>
      <c r="G681">
        <f ca="1"/>
        <v>8.6194354519576466E-3</v>
      </c>
      <c r="H681">
        <f ca="1"/>
        <v>57.119383959052634</v>
      </c>
      <c r="I681">
        <f ca="1"/>
        <v>-0.54319569515672483</v>
      </c>
      <c r="J681">
        <f ca="1"/>
        <v>3.3241434821460913</v>
      </c>
      <c r="K681">
        <f ca="1"/>
        <v>0</v>
      </c>
      <c r="L681">
        <f ca="1"/>
        <v>0.96526729398078714</v>
      </c>
    </row>
    <row r="682" spans="2:12">
      <c r="B682">
        <v>0.13440000000000002</v>
      </c>
      <c r="C682">
        <f ca="1"/>
        <v>-4.7995587778861398E-2</v>
      </c>
      <c r="D682">
        <f ca="1"/>
        <v>1</v>
      </c>
      <c r="E682">
        <f ca="1"/>
        <v>98.778806084949082</v>
      </c>
      <c r="F682">
        <f ca="1"/>
        <v>1.4932486380162155</v>
      </c>
      <c r="G682">
        <f ca="1"/>
        <v>-1.511709542968187E-2</v>
      </c>
      <c r="H682">
        <f ca="1"/>
        <v>58.612632597068853</v>
      </c>
      <c r="I682">
        <f ca="1"/>
        <v>-0.5583127905864067</v>
      </c>
      <c r="J682">
        <f ca="1"/>
        <v>3.4631617209874008</v>
      </c>
      <c r="K682">
        <f ca="1"/>
        <v>0</v>
      </c>
      <c r="L682">
        <f ca="1"/>
        <v>1.2211939150509181</v>
      </c>
    </row>
    <row r="683" spans="2:12">
      <c r="B683">
        <v>0.1346</v>
      </c>
      <c r="C683">
        <f ca="1"/>
        <v>-2.5505414093673944E-2</v>
      </c>
      <c r="D683">
        <f ca="1"/>
        <v>1</v>
      </c>
      <c r="E683">
        <f ca="1"/>
        <v>99.223720452285292</v>
      </c>
      <c r="F683">
        <f ca="1"/>
        <v>-2.59370765359684</v>
      </c>
      <c r="G683">
        <f ca="1"/>
        <v>2.6139995978523123E-2</v>
      </c>
      <c r="H683">
        <f ca="1"/>
        <v>56.018924943472015</v>
      </c>
      <c r="I683">
        <f ca="1"/>
        <v>-0.53217279460788358</v>
      </c>
      <c r="J683">
        <f ca="1"/>
        <v>3.2147603389879364</v>
      </c>
      <c r="K683">
        <f ca="1"/>
        <v>0</v>
      </c>
      <c r="L683">
        <f ca="1"/>
        <v>0.77627954771470797</v>
      </c>
    </row>
    <row r="684" spans="2:12">
      <c r="B684">
        <v>0.1348</v>
      </c>
      <c r="C684">
        <f ca="1"/>
        <v>-2.2383936613278282E-2</v>
      </c>
      <c r="D684">
        <f ca="1"/>
        <v>1</v>
      </c>
      <c r="E684">
        <f ca="1"/>
        <v>99.28528757211555</v>
      </c>
      <c r="F684">
        <f ca="1"/>
        <v>-0.35579560449451914</v>
      </c>
      <c r="G684">
        <f ca="1"/>
        <v>3.5835682526083046E-3</v>
      </c>
      <c r="H684">
        <f ca="1"/>
        <v>55.663129338977498</v>
      </c>
      <c r="I684">
        <f ca="1"/>
        <v>-0.52858922635527528</v>
      </c>
      <c r="J684">
        <f ca="1"/>
        <v>3.1819959927719097</v>
      </c>
      <c r="K684">
        <f ca="1"/>
        <v>0</v>
      </c>
      <c r="L684">
        <f ca="1"/>
        <v>0.71471242788445011</v>
      </c>
    </row>
    <row r="685" spans="2:12">
      <c r="B685">
        <v>0.13500000000000001</v>
      </c>
      <c r="C685">
        <f ca="1"/>
        <v>1.327183999522262E-2</v>
      </c>
      <c r="D685">
        <f ca="1"/>
        <v>1</v>
      </c>
      <c r="E685">
        <f ca="1"/>
        <v>99.995436904016842</v>
      </c>
      <c r="F685">
        <f ca="1"/>
        <v>-4.1845255241434289</v>
      </c>
      <c r="G685">
        <f ca="1"/>
        <v>4.1847164767728873E-2</v>
      </c>
      <c r="H685">
        <f ca="1"/>
        <v>51.478603814834067</v>
      </c>
      <c r="I685">
        <f ca="1"/>
        <v>-0.4867420615875464</v>
      </c>
      <c r="J685">
        <f ca="1"/>
        <v>2.8066187068254891</v>
      </c>
      <c r="K685">
        <f ca="1"/>
        <v>0</v>
      </c>
      <c r="L685">
        <f ca="1"/>
        <v>4.563095983158405E-3</v>
      </c>
    </row>
    <row r="686" spans="2:12">
      <c r="B686">
        <v>0.13520000000000001</v>
      </c>
      <c r="C686">
        <f ca="1"/>
        <v>5.7173748795732709E-3</v>
      </c>
      <c r="D686">
        <f ca="1"/>
        <v>1</v>
      </c>
      <c r="E686">
        <f ca="1"/>
        <v>99.844069196196202</v>
      </c>
      <c r="F686">
        <f ca="1"/>
        <v>0.89142100810913671</v>
      </c>
      <c r="G686">
        <f ca="1"/>
        <v>-8.9281317887542344E-3</v>
      </c>
      <c r="H686">
        <f ca="1"/>
        <v>52.370024822943201</v>
      </c>
      <c r="I686">
        <f ca="1"/>
        <v>-0.49567019337630064</v>
      </c>
      <c r="J686">
        <f ca="1"/>
        <v>2.8802957369878897</v>
      </c>
      <c r="K686">
        <f ca="1"/>
        <v>0</v>
      </c>
      <c r="L686">
        <f ca="1"/>
        <v>0.15593080380379831</v>
      </c>
    </row>
    <row r="687" spans="2:12">
      <c r="B687">
        <v>0.13540000000000002</v>
      </c>
      <c r="C687">
        <f ca="1"/>
        <v>2.2670028023589882E-2</v>
      </c>
      <c r="D687">
        <f ca="1"/>
        <v>1</v>
      </c>
      <c r="E687">
        <f ca="1"/>
        <v>100.18276737681562</v>
      </c>
      <c r="F687">
        <f ca="1"/>
        <v>-1.9956335142187607</v>
      </c>
      <c r="G687">
        <f ca="1"/>
        <v>1.9919928012295973E-2</v>
      </c>
      <c r="H687">
        <f ca="1"/>
        <v>50.374391308724441</v>
      </c>
      <c r="I687">
        <f ca="1"/>
        <v>-0.47575026536400467</v>
      </c>
      <c r="J687">
        <f ca="1"/>
        <v>2.7124131443040582</v>
      </c>
      <c r="K687">
        <f ca="1"/>
        <v>0</v>
      </c>
      <c r="L687">
        <f ca="1"/>
        <v>0</v>
      </c>
    </row>
    <row r="688" spans="2:12">
      <c r="B688">
        <v>0.1356</v>
      </c>
      <c r="C688">
        <f ca="1"/>
        <v>1.4982108704374907E-2</v>
      </c>
      <c r="D688">
        <f ca="1"/>
        <v>1</v>
      </c>
      <c r="E688">
        <f ca="1"/>
        <v>100.02844621925733</v>
      </c>
      <c r="F688">
        <f ca="1"/>
        <v>0.90851478407789743</v>
      </c>
      <c r="G688">
        <f ca="1"/>
        <v>-9.0825641946539748E-3</v>
      </c>
      <c r="H688">
        <f ca="1"/>
        <v>51.282906092802335</v>
      </c>
      <c r="I688">
        <f ca="1"/>
        <v>-0.48483282955865864</v>
      </c>
      <c r="J688">
        <f ca="1"/>
        <v>2.7858314759636897</v>
      </c>
      <c r="K688">
        <f ca="1"/>
        <v>0</v>
      </c>
      <c r="L688">
        <f ca="1"/>
        <v>0</v>
      </c>
    </row>
    <row r="689" spans="2:12">
      <c r="B689">
        <v>0.1358</v>
      </c>
      <c r="C689">
        <f ca="1"/>
        <v>1.7876936950730761E-2</v>
      </c>
      <c r="D689">
        <f ca="1"/>
        <v>1</v>
      </c>
      <c r="E689">
        <f ca="1"/>
        <v>100.08597567692949</v>
      </c>
      <c r="F689">
        <f ca="1"/>
        <v>-0.33833640412815957</v>
      </c>
      <c r="G689">
        <f ca="1"/>
        <v>3.38045766991657E-3</v>
      </c>
      <c r="H689">
        <f ca="1"/>
        <v>50.944569688674179</v>
      </c>
      <c r="I689">
        <f ca="1"/>
        <v>-0.48145237188874207</v>
      </c>
      <c r="J689">
        <f ca="1"/>
        <v>2.7579393062175299</v>
      </c>
      <c r="K689">
        <f ca="1"/>
        <v>0</v>
      </c>
      <c r="L689">
        <f ca="1"/>
        <v>0</v>
      </c>
    </row>
    <row r="690" spans="2:12">
      <c r="B690">
        <v>0.13600000000000001</v>
      </c>
      <c r="C690">
        <f ca="1"/>
        <v>3.9694974956378248E-2</v>
      </c>
      <c r="D690">
        <f ca="1"/>
        <v>1</v>
      </c>
      <c r="E690">
        <f ca="1"/>
        <v>100.52326376689982</v>
      </c>
      <c r="F690">
        <f ca="1"/>
        <v>-2.5798525519626896</v>
      </c>
      <c r="G690">
        <f ca="1"/>
        <v>2.5664233882666476E-2</v>
      </c>
      <c r="H690">
        <f ca="1"/>
        <v>48.364717136711491</v>
      </c>
      <c r="I690">
        <f ca="1"/>
        <v>-0.45578813800607559</v>
      </c>
      <c r="J690">
        <f ca="1"/>
        <v>2.5474059181026192</v>
      </c>
      <c r="K690">
        <f ca="1"/>
        <v>0</v>
      </c>
      <c r="L690">
        <f ca="1"/>
        <v>0</v>
      </c>
    </row>
    <row r="691" spans="2:12">
      <c r="B691">
        <v>0.13620000000000002</v>
      </c>
      <c r="C691">
        <f ca="1"/>
        <v>4.6607249807367565E-2</v>
      </c>
      <c r="D691">
        <f ca="1"/>
        <v>1</v>
      </c>
      <c r="E691">
        <f ca="1"/>
        <v>100.66192610739957</v>
      </c>
      <c r="F691">
        <f ca="1"/>
        <v>-0.81597607071347178</v>
      </c>
      <c r="G691">
        <f ca="1"/>
        <v>8.1061042865688826E-3</v>
      </c>
      <c r="H691">
        <f ca="1"/>
        <v>47.548741065998016</v>
      </c>
      <c r="I691">
        <f ca="1"/>
        <v>-0.44768203371950671</v>
      </c>
      <c r="J691">
        <f ca="1"/>
        <v>2.4842052681146711</v>
      </c>
      <c r="K691">
        <f ca="1"/>
        <v>0</v>
      </c>
      <c r="L691">
        <f ca="1"/>
        <v>0</v>
      </c>
    </row>
    <row r="692" spans="2:12">
      <c r="B692">
        <v>0.13639999999999999</v>
      </c>
      <c r="C692">
        <f ca="1"/>
        <v>4.5583521677697712E-2</v>
      </c>
      <c r="D692">
        <f ca="1"/>
        <v>1</v>
      </c>
      <c r="E692">
        <f ca="1"/>
        <v>100.64091556363242</v>
      </c>
      <c r="F692">
        <f ca="1"/>
        <v>0.12104097895885758</v>
      </c>
      <c r="G692">
        <f ca="1"/>
        <v>-1.2027014885643283E-3</v>
      </c>
      <c r="H692">
        <f ca="1"/>
        <v>47.669782044956875</v>
      </c>
      <c r="I692">
        <f ca="1"/>
        <v>-0.44888473520807104</v>
      </c>
      <c r="J692">
        <f ca="1"/>
        <v>2.493611311077899</v>
      </c>
      <c r="K692">
        <f ca="1"/>
        <v>0</v>
      </c>
      <c r="L692">
        <f ca="1"/>
        <v>0</v>
      </c>
    </row>
    <row r="693" spans="2:12">
      <c r="B693">
        <v>0.1366</v>
      </c>
      <c r="C693">
        <f ca="1"/>
        <v>4.3687865240946262E-2</v>
      </c>
      <c r="D693">
        <f ca="1"/>
        <v>1</v>
      </c>
      <c r="E693">
        <f ca="1"/>
        <v>100.6023642656682</v>
      </c>
      <c r="F693">
        <f ca="1"/>
        <v>0.22437198735796099</v>
      </c>
      <c r="G693">
        <f ca="1"/>
        <v>-2.2302854311201381E-3</v>
      </c>
      <c r="H693">
        <f ca="1"/>
        <v>47.894154032314837</v>
      </c>
      <c r="I693">
        <f ca="1"/>
        <v>-0.45111502063919118</v>
      </c>
      <c r="J693">
        <f ca="1"/>
        <v>2.5109164002564981</v>
      </c>
      <c r="K693">
        <f ca="1"/>
        <v>0</v>
      </c>
      <c r="L693">
        <f ca="1"/>
        <v>0</v>
      </c>
    </row>
    <row r="694" spans="2:12">
      <c r="B694">
        <v>0.1368</v>
      </c>
      <c r="C694">
        <f ca="1"/>
        <v>5.0733897433935776E-2</v>
      </c>
      <c r="D694">
        <f ca="1"/>
        <v>1</v>
      </c>
      <c r="E694">
        <f ca="1"/>
        <v>100.7438307271854</v>
      </c>
      <c r="F694">
        <f ca="1"/>
        <v>-0.83380984992748552</v>
      </c>
      <c r="G694">
        <f ca="1"/>
        <v>8.2765350881429667E-3</v>
      </c>
      <c r="H694">
        <f ca="1"/>
        <v>47.060344182387354</v>
      </c>
      <c r="I694">
        <f ca="1"/>
        <v>-0.44283848555104821</v>
      </c>
      <c r="J694">
        <f ca="1"/>
        <v>2.4470987545494154</v>
      </c>
      <c r="K694">
        <f ca="1"/>
        <v>0</v>
      </c>
      <c r="L694">
        <f ca="1"/>
        <v>0</v>
      </c>
    </row>
    <row r="695" spans="2:12">
      <c r="B695">
        <v>0.13700000000000001</v>
      </c>
      <c r="C695">
        <f ca="1"/>
        <v>5.0998218140291485E-2</v>
      </c>
      <c r="D695">
        <f ca="1"/>
        <v>1</v>
      </c>
      <c r="E695">
        <f ca="1"/>
        <v>100.74875360823745</v>
      </c>
      <c r="F695">
        <f ca="1"/>
        <v>-3.160286185189818E-2</v>
      </c>
      <c r="G695">
        <f ca="1"/>
        <v>3.1367992873426731E-4</v>
      </c>
      <c r="H695">
        <f ca="1"/>
        <v>47.028741320535453</v>
      </c>
      <c r="I695">
        <f ca="1"/>
        <v>-0.44252480562231394</v>
      </c>
      <c r="J695">
        <f ca="1"/>
        <v>2.4449187133597761</v>
      </c>
      <c r="K695">
        <f ca="1"/>
        <v>0</v>
      </c>
      <c r="L695">
        <f ca="1"/>
        <v>0</v>
      </c>
    </row>
    <row r="696" spans="2:12">
      <c r="B696">
        <v>0.13720000000000002</v>
      </c>
      <c r="C696">
        <f ca="1"/>
        <v>3.9515969250599546E-2</v>
      </c>
      <c r="D696">
        <f ca="1"/>
        <v>1</v>
      </c>
      <c r="E696">
        <f ca="1"/>
        <v>100.51725254075474</v>
      </c>
      <c r="F696">
        <f ca="1"/>
        <v>1.3594361959226102</v>
      </c>
      <c r="G696">
        <f ca="1"/>
        <v>-1.3524406622349994E-2</v>
      </c>
      <c r="H696">
        <f ca="1"/>
        <v>48.388177516458065</v>
      </c>
      <c r="I696">
        <f ca="1"/>
        <v>-0.45604921224466394</v>
      </c>
      <c r="J696">
        <f ca="1"/>
        <v>2.5473636782489208</v>
      </c>
      <c r="K696">
        <f ca="1"/>
        <v>0</v>
      </c>
      <c r="L696">
        <f ca="1"/>
        <v>0</v>
      </c>
    </row>
    <row r="697" spans="2:12">
      <c r="B697">
        <v>0.13739999999999999</v>
      </c>
      <c r="C697">
        <f ca="1"/>
        <v>4.5629269232703683E-2</v>
      </c>
      <c r="D697">
        <f ca="1"/>
        <v>1</v>
      </c>
      <c r="E697">
        <f ca="1"/>
        <v>100.63982356640963</v>
      </c>
      <c r="F697">
        <f ca="1"/>
        <v>-0.72539447036670823</v>
      </c>
      <c r="G697">
        <f ca="1"/>
        <v>7.2078273258104342E-3</v>
      </c>
      <c r="H697">
        <f ca="1"/>
        <v>47.662783046091356</v>
      </c>
      <c r="I697">
        <f ca="1"/>
        <v>-0.4488413849188535</v>
      </c>
      <c r="J697">
        <f ca="1"/>
        <v>2.4914652585549888</v>
      </c>
      <c r="K697">
        <f ca="1"/>
        <v>0</v>
      </c>
      <c r="L697">
        <f ca="1"/>
        <v>0</v>
      </c>
    </row>
    <row r="698" spans="2:12">
      <c r="B698">
        <v>0.1376</v>
      </c>
      <c r="C698">
        <f ca="1"/>
        <v>4.1582085110859868E-2</v>
      </c>
      <c r="D698">
        <f ca="1"/>
        <v>1</v>
      </c>
      <c r="E698">
        <f ca="1"/>
        <v>100.55799271454902</v>
      </c>
      <c r="F698">
        <f ca="1"/>
        <v>0.48085144269207231</v>
      </c>
      <c r="G698">
        <f ca="1"/>
        <v>-4.7818321518912077E-3</v>
      </c>
      <c r="H698">
        <f ca="1"/>
        <v>48.143634488783427</v>
      </c>
      <c r="I698">
        <f ca="1"/>
        <v>-0.45362321707074471</v>
      </c>
      <c r="J698">
        <f ca="1"/>
        <v>2.5281943314331912</v>
      </c>
      <c r="K698">
        <f ca="1"/>
        <v>0</v>
      </c>
      <c r="L698">
        <f ca="1"/>
        <v>0</v>
      </c>
    </row>
    <row r="699" spans="2:12">
      <c r="B699">
        <v>0.13780000000000001</v>
      </c>
      <c r="C699">
        <f ca="1"/>
        <v>2.4597429721224424E-2</v>
      </c>
      <c r="D699">
        <f ca="1"/>
        <v>1</v>
      </c>
      <c r="E699">
        <f ca="1"/>
        <v>100.21658279686348</v>
      </c>
      <c r="F699">
        <f ca="1"/>
        <v>2.0192652206018167</v>
      </c>
      <c r="G699">
        <f ca="1"/>
        <v>-2.0149012910316622E-2</v>
      </c>
      <c r="H699">
        <f ca="1"/>
        <v>50.162899709385243</v>
      </c>
      <c r="I699">
        <f ca="1"/>
        <v>-0.47377222998106133</v>
      </c>
      <c r="J699">
        <f ca="1"/>
        <v>2.6830657966335636</v>
      </c>
      <c r="K699">
        <f ca="1"/>
        <v>0</v>
      </c>
      <c r="L699">
        <f ca="1"/>
        <v>0</v>
      </c>
    </row>
    <row r="700" spans="2:12">
      <c r="B700">
        <v>0.13800000000000001</v>
      </c>
      <c r="C700">
        <f ca="1"/>
        <v>3.5017613935610245E-2</v>
      </c>
      <c r="D700">
        <f ca="1"/>
        <v>1</v>
      </c>
      <c r="E700">
        <f ca="1"/>
        <v>100.42525392793297</v>
      </c>
      <c r="F700">
        <f ca="1"/>
        <v>-1.2408428117635746</v>
      </c>
      <c r="G700">
        <f ca="1"/>
        <v>1.235588423459727E-2</v>
      </c>
      <c r="H700">
        <f ca="1"/>
        <v>48.922056897621665</v>
      </c>
      <c r="I700">
        <f ca="1"/>
        <v>-0.46141634574646406</v>
      </c>
      <c r="J700">
        <f ca="1"/>
        <v>2.5842032095340954</v>
      </c>
      <c r="K700">
        <f ca="1"/>
        <v>0</v>
      </c>
      <c r="L700">
        <f ca="1"/>
        <v>0</v>
      </c>
    </row>
    <row r="701" spans="2:12">
      <c r="B701">
        <v>0.13820000000000002</v>
      </c>
      <c r="C701">
        <f ca="1"/>
        <v>5.0421747272358354E-2</v>
      </c>
      <c r="D701">
        <f ca="1"/>
        <v>1</v>
      </c>
      <c r="E701">
        <f ca="1"/>
        <v>100.73472087122566</v>
      </c>
      <c r="F701">
        <f ca="1"/>
        <v>-1.8366883495218058</v>
      </c>
      <c r="G701">
        <f ca="1"/>
        <v>1.8232922408845886E-2</v>
      </c>
      <c r="H701">
        <f ca="1"/>
        <v>47.085368548099858</v>
      </c>
      <c r="I701">
        <f ca="1"/>
        <v>-0.44318342333761818</v>
      </c>
      <c r="J701">
        <f ca="1"/>
        <v>2.4414101034306555</v>
      </c>
      <c r="K701">
        <f ca="1"/>
        <v>0</v>
      </c>
      <c r="L701">
        <f ca="1"/>
        <v>0</v>
      </c>
    </row>
    <row r="702" spans="2:12">
      <c r="B702">
        <v>0.1384</v>
      </c>
      <c r="C702">
        <f ca="1"/>
        <v>4.7667101128955391E-2</v>
      </c>
      <c r="D702">
        <f ca="1"/>
        <v>1</v>
      </c>
      <c r="E702">
        <f ca="1"/>
        <v>100.67883573785235</v>
      </c>
      <c r="F702">
        <f ca="1"/>
        <v>0.32769007516046827</v>
      </c>
      <c r="G702">
        <f ca="1"/>
        <v>-3.2548059655130301E-3</v>
      </c>
      <c r="H702">
        <f ca="1"/>
        <v>47.413058623260326</v>
      </c>
      <c r="I702">
        <f ca="1"/>
        <v>-0.44643822930313121</v>
      </c>
      <c r="J702">
        <f ca="1"/>
        <v>2.4661774681527149</v>
      </c>
      <c r="K702">
        <f ca="1"/>
        <v>0</v>
      </c>
      <c r="L702">
        <f ca="1"/>
        <v>0</v>
      </c>
    </row>
    <row r="703" spans="2:12">
      <c r="B703">
        <v>0.1386</v>
      </c>
      <c r="C703">
        <f ca="1"/>
        <v>2.7238204353166817E-2</v>
      </c>
      <c r="D703">
        <f ca="1"/>
        <v>1</v>
      </c>
      <c r="E703">
        <f ca="1"/>
        <v>100.26792235923139</v>
      </c>
      <c r="F703">
        <f ca="1"/>
        <v>2.4347191670523922</v>
      </c>
      <c r="G703">
        <f ca="1"/>
        <v>-2.4282134403159239E-2</v>
      </c>
      <c r="H703">
        <f ca="1"/>
        <v>49.847777790312719</v>
      </c>
      <c r="I703">
        <f ca="1"/>
        <v>-0.47072036370629045</v>
      </c>
      <c r="J703">
        <f ca="1"/>
        <v>2.6496249093012239</v>
      </c>
      <c r="K703">
        <f ca="1"/>
        <v>0</v>
      </c>
      <c r="L703">
        <f ca="1"/>
        <v>0</v>
      </c>
    </row>
    <row r="704" spans="2:12">
      <c r="B704">
        <v>0.13880000000000001</v>
      </c>
      <c r="C704">
        <f ca="1"/>
        <v>2.3725837009037212E-2</v>
      </c>
      <c r="D704">
        <f ca="1"/>
        <v>1</v>
      </c>
      <c r="E704">
        <f ca="1"/>
        <v>100.19711074851763</v>
      </c>
      <c r="F704">
        <f ca="1"/>
        <v>0.42220115364708316</v>
      </c>
      <c r="G704">
        <f ca="1"/>
        <v>-4.2137058692915397E-3</v>
      </c>
      <c r="H704">
        <f ca="1"/>
        <v>50.269978943959799</v>
      </c>
      <c r="I704">
        <f ca="1"/>
        <v>-0.47493406957558199</v>
      </c>
      <c r="J704">
        <f ca="1"/>
        <v>2.6829573764510357</v>
      </c>
      <c r="K704">
        <f ca="1"/>
        <v>0</v>
      </c>
      <c r="L704">
        <f ca="1"/>
        <v>0</v>
      </c>
    </row>
    <row r="705" spans="2:12">
      <c r="B705">
        <v>0.13900000000000001</v>
      </c>
      <c r="C705">
        <f ca="1"/>
        <v>3.4575877691761549E-2</v>
      </c>
      <c r="D705">
        <f ca="1"/>
        <v>1</v>
      </c>
      <c r="E705">
        <f ca="1"/>
        <v>100.41437371739397</v>
      </c>
      <c r="F705">
        <f ca="1"/>
        <v>-1.2979276130289918</v>
      </c>
      <c r="G705">
        <f ca="1"/>
        <v>1.2925715363040324E-2</v>
      </c>
      <c r="H705">
        <f ca="1"/>
        <v>48.97205133093081</v>
      </c>
      <c r="I705">
        <f ca="1"/>
        <v>-0.46200835421254166</v>
      </c>
      <c r="J705">
        <f ca="1"/>
        <v>2.5797717904745241</v>
      </c>
      <c r="K705">
        <f ca="1"/>
        <v>0</v>
      </c>
      <c r="L705">
        <f ca="1"/>
        <v>0</v>
      </c>
    </row>
    <row r="706" spans="2:12">
      <c r="B706">
        <v>0.13920000000000002</v>
      </c>
      <c r="C706">
        <f ca="1"/>
        <v>3.0531514652510729E-2</v>
      </c>
      <c r="D706">
        <f ca="1"/>
        <v>1</v>
      </c>
      <c r="E706">
        <f ca="1"/>
        <v>100.33278278957249</v>
      </c>
      <c r="F706">
        <f ca="1"/>
        <v>0.48575546990680563</v>
      </c>
      <c r="G706">
        <f ca="1"/>
        <v>-4.8414432093005777E-3</v>
      </c>
      <c r="H706">
        <f ca="1"/>
        <v>49.457806800837616</v>
      </c>
      <c r="I706">
        <f ca="1"/>
        <v>-0.46684979742184224</v>
      </c>
      <c r="J706">
        <f ca="1"/>
        <v>2.6174674807559981</v>
      </c>
      <c r="K706">
        <f ca="1"/>
        <v>0</v>
      </c>
      <c r="L706">
        <f ca="1"/>
        <v>0</v>
      </c>
    </row>
    <row r="707" spans="2:12">
      <c r="B707">
        <v>0.1394</v>
      </c>
      <c r="C707">
        <f ca="1"/>
        <v>2.3179496871275185E-2</v>
      </c>
      <c r="D707">
        <f ca="1"/>
        <v>1</v>
      </c>
      <c r="E707">
        <f ca="1"/>
        <v>100.18496077924699</v>
      </c>
      <c r="F707">
        <f ca="1"/>
        <v>0.88305634046549464</v>
      </c>
      <c r="G707">
        <f ca="1"/>
        <v>-8.814260479786673E-3</v>
      </c>
      <c r="H707">
        <f ca="1"/>
        <v>50.34086314130311</v>
      </c>
      <c r="I707">
        <f ca="1"/>
        <v>-0.47566405790162891</v>
      </c>
      <c r="J707">
        <f ca="1"/>
        <v>2.6864781563309492</v>
      </c>
      <c r="K707">
        <f ca="1"/>
        <v>0</v>
      </c>
      <c r="L707">
        <f ca="1"/>
        <v>0</v>
      </c>
    </row>
    <row r="708" spans="2:12">
      <c r="B708">
        <v>0.1396</v>
      </c>
      <c r="C708">
        <f ca="1"/>
        <v>5.2944104640298764E-2</v>
      </c>
      <c r="D708">
        <f ca="1"/>
        <v>1</v>
      </c>
      <c r="E708">
        <f ca="1"/>
        <v>100.78272952859024</v>
      </c>
      <c r="F708">
        <f ca="1"/>
        <v>-3.5778496917529576</v>
      </c>
      <c r="G708">
        <f ca="1"/>
        <v>3.550062305802093E-2</v>
      </c>
      <c r="H708">
        <f ca="1"/>
        <v>46.763013449550151</v>
      </c>
      <c r="I708">
        <f ca="1"/>
        <v>-0.44016343484360798</v>
      </c>
      <c r="J708">
        <f ca="1"/>
        <v>2.4021410473315541</v>
      </c>
      <c r="K708">
        <f ca="1"/>
        <v>0</v>
      </c>
      <c r="L708">
        <f ca="1"/>
        <v>0</v>
      </c>
    </row>
    <row r="709" spans="2:12">
      <c r="B709">
        <v>0.13980000000000001</v>
      </c>
      <c r="C709">
        <f ca="1"/>
        <v>6.0147360903489273E-2</v>
      </c>
      <c r="D709">
        <f ca="1"/>
        <v>1</v>
      </c>
      <c r="E709">
        <f ca="1"/>
        <v>100.92762321914148</v>
      </c>
      <c r="F709">
        <f ca="1"/>
        <v>-0.8630057622860926</v>
      </c>
      <c r="G709">
        <f ca="1"/>
        <v>8.550738982649686E-3</v>
      </c>
      <c r="H709">
        <f ca="1"/>
        <v>45.900007687264058</v>
      </c>
      <c r="I709">
        <f ca="1"/>
        <v>-0.4316126958609583</v>
      </c>
      <c r="J709">
        <f ca="1"/>
        <v>2.3383641428113506</v>
      </c>
      <c r="K709">
        <f ca="1"/>
        <v>0</v>
      </c>
      <c r="L709">
        <f ca="1"/>
        <v>0</v>
      </c>
    </row>
    <row r="710" spans="2:12">
      <c r="B710">
        <v>0.14000000000000001</v>
      </c>
      <c r="C710">
        <f ca="1"/>
        <v>4.4083940593500459E-2</v>
      </c>
      <c r="D710">
        <f ca="1"/>
        <v>1</v>
      </c>
      <c r="E710">
        <f ca="1"/>
        <v>100.60349253460379</v>
      </c>
      <c r="F710">
        <f ca="1"/>
        <v>1.9210560818107629</v>
      </c>
      <c r="G710">
        <f ca="1"/>
        <v>-1.9095321975526769E-2</v>
      </c>
      <c r="H710">
        <f ca="1"/>
        <v>47.821063769074819</v>
      </c>
      <c r="I710">
        <f ca="1"/>
        <v>-0.45070801783648506</v>
      </c>
      <c r="J710">
        <f ca="1"/>
        <v>2.4782630613759196</v>
      </c>
      <c r="K710">
        <f ca="1"/>
        <v>0</v>
      </c>
      <c r="L710">
        <f ca="1"/>
        <v>0</v>
      </c>
    </row>
    <row r="711" spans="2:12">
      <c r="B711">
        <v>0.14020000000000002</v>
      </c>
      <c r="C711">
        <f ca="1"/>
        <v>3.4070494910928166E-2</v>
      </c>
      <c r="D711">
        <f ca="1"/>
        <v>1</v>
      </c>
      <c r="E711">
        <f ca="1"/>
        <v>100.40181501875551</v>
      </c>
      <c r="F711">
        <f ca="1"/>
        <v>1.2035478243678253</v>
      </c>
      <c r="G711">
        <f ca="1"/>
        <v>-1.1987311426023495E-2</v>
      </c>
      <c r="H711">
        <f ca="1"/>
        <v>49.024611593442643</v>
      </c>
      <c r="I711">
        <f ca="1"/>
        <v>-0.46269532926250856</v>
      </c>
      <c r="J711">
        <f ca="1"/>
        <v>2.569160734786081</v>
      </c>
      <c r="K711">
        <f ca="1"/>
        <v>0</v>
      </c>
      <c r="L711">
        <f ca="1"/>
        <v>0</v>
      </c>
    </row>
    <row r="712" spans="2:12">
      <c r="B712">
        <v>0.1404</v>
      </c>
      <c r="C712">
        <f ca="1"/>
        <v>2.7405194905766199E-2</v>
      </c>
      <c r="D712">
        <f ca="1"/>
        <v>1</v>
      </c>
      <c r="E712">
        <f ca="1"/>
        <v>100.2676614735184</v>
      </c>
      <c r="F712">
        <f ca="1"/>
        <v>0.80394292507994092</v>
      </c>
      <c r="G712">
        <f ca="1"/>
        <v>-8.0179682388650253E-3</v>
      </c>
      <c r="H712">
        <f ca="1"/>
        <v>49.828554518522587</v>
      </c>
      <c r="I712">
        <f ca="1"/>
        <v>-0.47071329750137358</v>
      </c>
      <c r="J712">
        <f ca="1"/>
        <v>2.6312329535713062</v>
      </c>
      <c r="K712">
        <f ca="1"/>
        <v>0</v>
      </c>
      <c r="L712">
        <f ca="1"/>
        <v>0</v>
      </c>
    </row>
    <row r="713" spans="2:12">
      <c r="B713">
        <v>0.1406</v>
      </c>
      <c r="C713">
        <f ca="1"/>
        <v>7.5442523627882625E-3</v>
      </c>
      <c r="D713">
        <f ca="1"/>
        <v>1</v>
      </c>
      <c r="E713">
        <f ca="1"/>
        <v>99.869769920318873</v>
      </c>
      <c r="F713">
        <f ca="1"/>
        <v>2.3919357790763667</v>
      </c>
      <c r="G713">
        <f ca="1"/>
        <v>-2.3950548609301625E-2</v>
      </c>
      <c r="H713">
        <f ca="1"/>
        <v>52.220490297598957</v>
      </c>
      <c r="I713">
        <f ca="1"/>
        <v>-0.49466384611067521</v>
      </c>
      <c r="J713">
        <f ca="1"/>
        <v>2.8185257986257994</v>
      </c>
      <c r="K713">
        <f ca="1"/>
        <v>0</v>
      </c>
      <c r="L713">
        <f ca="1"/>
        <v>0.13023007968112665</v>
      </c>
    </row>
    <row r="714" spans="2:12">
      <c r="B714">
        <v>0.14080000000000001</v>
      </c>
      <c r="C714">
        <f ca="1"/>
        <v>2.8653952465671761E-2</v>
      </c>
      <c r="D714">
        <f ca="1"/>
        <v>1</v>
      </c>
      <c r="E714">
        <f ca="1"/>
        <v>100.29190426252983</v>
      </c>
      <c r="F714">
        <f ca="1"/>
        <v>-2.5485201266187305</v>
      </c>
      <c r="G714">
        <f ca="1"/>
        <v>2.5411025399892484E-2</v>
      </c>
      <c r="H714">
        <f ca="1"/>
        <v>49.671970170980224</v>
      </c>
      <c r="I714">
        <f ca="1"/>
        <v>-0.46925282071078273</v>
      </c>
      <c r="J714">
        <f ca="1"/>
        <v>2.6097112013323311</v>
      </c>
      <c r="K714">
        <f ca="1"/>
        <v>0</v>
      </c>
      <c r="L714">
        <f ca="1"/>
        <v>0</v>
      </c>
    </row>
    <row r="715" spans="2:12">
      <c r="B715">
        <v>0.14100000000000001</v>
      </c>
      <c r="C715">
        <f ca="1"/>
        <v>2.3385852849987863E-2</v>
      </c>
      <c r="D715">
        <f ca="1"/>
        <v>1</v>
      </c>
      <c r="E715">
        <f ca="1"/>
        <v>100.18588961793455</v>
      </c>
      <c r="F715">
        <f ca="1"/>
        <v>0.63824061734160786</v>
      </c>
      <c r="G715">
        <f ca="1"/>
        <v>-6.370563956417219E-3</v>
      </c>
      <c r="H715">
        <f ca="1"/>
        <v>50.310210788321832</v>
      </c>
      <c r="I715">
        <f ca="1"/>
        <v>-0.47562338466719994</v>
      </c>
      <c r="J715">
        <f ca="1"/>
        <v>2.6594588723453114</v>
      </c>
      <c r="K715">
        <f ca="1"/>
        <v>0</v>
      </c>
      <c r="L715">
        <f ca="1"/>
        <v>0</v>
      </c>
    </row>
    <row r="716" spans="2:12">
      <c r="B716">
        <v>0.14120000000000002</v>
      </c>
      <c r="C716">
        <f ca="1"/>
        <v>3.9925825786101404E-2</v>
      </c>
      <c r="D716">
        <f ca="1"/>
        <v>1</v>
      </c>
      <c r="E716">
        <f ca="1"/>
        <v>100.51745069132369</v>
      </c>
      <c r="F716">
        <f ca="1"/>
        <v>-2.0005521888251661</v>
      </c>
      <c r="G716">
        <f ca="1"/>
        <v>1.9902536077726518E-2</v>
      </c>
      <c r="H716">
        <f ca="1"/>
        <v>48.309658599496665</v>
      </c>
      <c r="I716">
        <f ca="1"/>
        <v>-0.45572084858947343</v>
      </c>
      <c r="J716">
        <f ca="1"/>
        <v>2.501760672396081</v>
      </c>
      <c r="K716">
        <f ca="1"/>
        <v>0</v>
      </c>
      <c r="L716">
        <f ca="1"/>
        <v>0</v>
      </c>
    </row>
    <row r="717" spans="2:12">
      <c r="B717">
        <v>0.1414</v>
      </c>
      <c r="C717">
        <f ca="1"/>
        <v>4.9781016466947707E-2</v>
      </c>
      <c r="D717">
        <f ca="1"/>
        <v>1</v>
      </c>
      <c r="E717">
        <f ca="1"/>
        <v>100.71536694077383</v>
      </c>
      <c r="F717">
        <f ca="1"/>
        <v>-1.1912623821571533</v>
      </c>
      <c r="G717">
        <f ca="1"/>
        <v>1.1828010147226897E-2</v>
      </c>
      <c r="H717">
        <f ca="1"/>
        <v>47.118396217339509</v>
      </c>
      <c r="I717">
        <f ca="1"/>
        <v>-0.44389283844224653</v>
      </c>
      <c r="J717">
        <f ca="1"/>
        <v>2.4115661112470121</v>
      </c>
      <c r="K717">
        <f ca="1"/>
        <v>0</v>
      </c>
      <c r="L717">
        <f ca="1"/>
        <v>0</v>
      </c>
    </row>
    <row r="718" spans="2:12">
      <c r="B718">
        <v>0.1416</v>
      </c>
      <c r="C718">
        <f ca="1"/>
        <v>3.7463614820093319E-2</v>
      </c>
      <c r="D718">
        <f ca="1"/>
        <v>1</v>
      </c>
      <c r="E718">
        <f ca="1"/>
        <v>100.46716010266053</v>
      </c>
      <c r="F718">
        <f ca="1"/>
        <v>1.4878532700580154</v>
      </c>
      <c r="G718">
        <f ca="1"/>
        <v>-1.4809349329051202E-2</v>
      </c>
      <c r="H718">
        <f ca="1"/>
        <v>48.606249487397527</v>
      </c>
      <c r="I718">
        <f ca="1"/>
        <v>-0.45870218777129773</v>
      </c>
      <c r="J718">
        <f ca="1"/>
        <v>2.5217433491379069</v>
      </c>
      <c r="K718">
        <f ca="1"/>
        <v>0</v>
      </c>
      <c r="L718">
        <f ca="1"/>
        <v>0</v>
      </c>
    </row>
    <row r="719" spans="2:12">
      <c r="B719">
        <v>0.14180000000000001</v>
      </c>
      <c r="C719">
        <f ca="1"/>
        <v>5.5743300268632834E-2</v>
      </c>
      <c r="D719">
        <f ca="1"/>
        <v>1</v>
      </c>
      <c r="E719">
        <f ca="1"/>
        <v>100.83473061461687</v>
      </c>
      <c r="F719">
        <f ca="1"/>
        <v>-2.2149559256973954</v>
      </c>
      <c r="G719">
        <f ca="1"/>
        <v>2.1966200655236523E-2</v>
      </c>
      <c r="H719">
        <f ca="1"/>
        <v>46.391293561700131</v>
      </c>
      <c r="I719">
        <f ca="1"/>
        <v>-0.43673598711606121</v>
      </c>
      <c r="J719">
        <f ca="1"/>
        <v>2.3531379511433101</v>
      </c>
      <c r="K719">
        <f ca="1"/>
        <v>0</v>
      </c>
      <c r="L719">
        <f ca="1"/>
        <v>0</v>
      </c>
    </row>
    <row r="720" spans="2:12">
      <c r="B720">
        <v>0.14200000000000002</v>
      </c>
      <c r="C720">
        <f ca="1"/>
        <v>7.8816615069382701E-2</v>
      </c>
      <c r="D720">
        <f ca="1"/>
        <v>1</v>
      </c>
      <c r="E720">
        <f ca="1"/>
        <v>101.3007190043562</v>
      </c>
      <c r="F720">
        <f ca="1"/>
        <v>-2.7847743579781854</v>
      </c>
      <c r="G720">
        <f ca="1"/>
        <v>2.749017366657025E-2</v>
      </c>
      <c r="H720">
        <f ca="1"/>
        <v>43.606519203721945</v>
      </c>
      <c r="I720">
        <f ca="1"/>
        <v>-0.40924581344949096</v>
      </c>
      <c r="J720">
        <f ca="1"/>
        <v>2.1496240517658833</v>
      </c>
      <c r="K720">
        <f ca="1"/>
        <v>0</v>
      </c>
      <c r="L720">
        <f ca="1"/>
        <v>0</v>
      </c>
    </row>
    <row r="721" spans="2:12">
      <c r="B721">
        <v>0.14219999999999999</v>
      </c>
      <c r="C721">
        <f ca="1"/>
        <v>6.7988077929054147E-2</v>
      </c>
      <c r="D721">
        <f ca="1"/>
        <v>1</v>
      </c>
      <c r="E721">
        <f ca="1"/>
        <v>101.0811643526752</v>
      </c>
      <c r="F721">
        <f ca="1"/>
        <v>1.296484067132412</v>
      </c>
      <c r="G721">
        <f ca="1"/>
        <v>-1.282616870744524E-2</v>
      </c>
      <c r="H721">
        <f ca="1"/>
        <v>44.903003270854356</v>
      </c>
      <c r="I721">
        <f ca="1"/>
        <v>-0.4220719821569362</v>
      </c>
      <c r="J721">
        <f ca="1"/>
        <v>2.2394758737896936</v>
      </c>
      <c r="K721">
        <f ca="1"/>
        <v>0</v>
      </c>
      <c r="L721">
        <f ca="1"/>
        <v>0</v>
      </c>
    </row>
    <row r="722" spans="2:12">
      <c r="B722">
        <v>0.1424</v>
      </c>
      <c r="C722">
        <f ca="1"/>
        <v>5.5759405875755341E-2</v>
      </c>
      <c r="D722">
        <f ca="1"/>
        <v>1</v>
      </c>
      <c r="E722">
        <f ca="1"/>
        <v>100.83384540264622</v>
      </c>
      <c r="F722">
        <f ca="1"/>
        <v>1.473597104048199</v>
      </c>
      <c r="G722">
        <f ca="1"/>
        <v>-1.4614111939933283E-2</v>
      </c>
      <c r="H722">
        <f ca="1"/>
        <v>46.376600374902551</v>
      </c>
      <c r="I722">
        <f ca="1"/>
        <v>-0.43668609409686948</v>
      </c>
      <c r="J722">
        <f ca="1"/>
        <v>2.3438622732533929</v>
      </c>
      <c r="K722">
        <f ca="1"/>
        <v>0</v>
      </c>
      <c r="L722">
        <f ca="1"/>
        <v>0</v>
      </c>
    </row>
    <row r="723" spans="2:12">
      <c r="B723">
        <v>0.1426</v>
      </c>
      <c r="C723">
        <f ca="1"/>
        <v>5.2905942301137952E-2</v>
      </c>
      <c r="D723">
        <f ca="1"/>
        <v>1</v>
      </c>
      <c r="E723">
        <f ca="1"/>
        <v>100.77591357436985</v>
      </c>
      <c r="F723">
        <f ca="1"/>
        <v>0.34482913059925552</v>
      </c>
      <c r="G723">
        <f ca="1"/>
        <v>-3.4217415488352887E-3</v>
      </c>
      <c r="H723">
        <f ca="1"/>
        <v>46.72142950550181</v>
      </c>
      <c r="I723">
        <f ca="1"/>
        <v>-0.44010783564570477</v>
      </c>
      <c r="J723">
        <f ca="1"/>
        <v>2.369160297067296</v>
      </c>
      <c r="K723">
        <f ca="1"/>
        <v>0</v>
      </c>
      <c r="L723">
        <f ca="1"/>
        <v>0</v>
      </c>
    </row>
    <row r="724" spans="2:12">
      <c r="B724">
        <v>0.14280000000000001</v>
      </c>
      <c r="C724">
        <f ca="1"/>
        <v>3.3730244205502614E-2</v>
      </c>
      <c r="D724">
        <f ca="1"/>
        <v>1</v>
      </c>
      <c r="E724">
        <f ca="1"/>
        <v>100.38976249016567</v>
      </c>
      <c r="F724">
        <f ca="1"/>
        <v>2.3273125852670078</v>
      </c>
      <c r="G724">
        <f ca="1"/>
        <v>-2.3182768118362618E-2</v>
      </c>
      <c r="H724">
        <f ca="1"/>
        <v>49.048742090768819</v>
      </c>
      <c r="I724">
        <f ca="1"/>
        <v>-0.46329060376406739</v>
      </c>
      <c r="J724">
        <f ca="1"/>
        <v>2.5391084149686449</v>
      </c>
      <c r="K724">
        <f ca="1"/>
        <v>0</v>
      </c>
      <c r="L724">
        <f ca="1"/>
        <v>0</v>
      </c>
    </row>
    <row r="725" spans="2:12">
      <c r="B725">
        <v>0.14300000000000002</v>
      </c>
      <c r="C725">
        <f ca="1"/>
        <v>7.0036526406192512E-3</v>
      </c>
      <c r="D725">
        <f ca="1"/>
        <v>1</v>
      </c>
      <c r="E725">
        <f ca="1"/>
        <v>99.854179474409747</v>
      </c>
      <c r="F725">
        <f ca="1"/>
        <v>3.2510892319093063</v>
      </c>
      <c r="G725">
        <f ca="1"/>
        <v>-3.2558369104044194E-2</v>
      </c>
      <c r="H725">
        <f ca="1"/>
        <v>52.299831322678124</v>
      </c>
      <c r="I725">
        <f ca="1"/>
        <v>-0.49584897286811158</v>
      </c>
      <c r="J725">
        <f ca="1"/>
        <v>2.7872389937039799</v>
      </c>
      <c r="K725">
        <f ca="1"/>
        <v>0</v>
      </c>
      <c r="L725">
        <f ca="1"/>
        <v>0.14582052559025271</v>
      </c>
    </row>
    <row r="726" spans="2:12">
      <c r="B726">
        <v>0.14319999999999999</v>
      </c>
      <c r="C726">
        <f ca="1"/>
        <v>9.0446287445437763E-3</v>
      </c>
      <c r="D726">
        <f ca="1"/>
        <v>1</v>
      </c>
      <c r="E726">
        <f ca="1"/>
        <v>99.894548214404978</v>
      </c>
      <c r="F726">
        <f ca="1"/>
        <v>-0.24437581257047333</v>
      </c>
      <c r="G726">
        <f ca="1"/>
        <v>2.4463378326309293E-3</v>
      </c>
      <c r="H726">
        <f ca="1"/>
        <v>52.055455510107649</v>
      </c>
      <c r="I726">
        <f ca="1"/>
        <v>-0.49340263503548065</v>
      </c>
      <c r="J726">
        <f ca="1"/>
        <v>2.7672221954413629</v>
      </c>
      <c r="K726">
        <f ca="1"/>
        <v>0</v>
      </c>
      <c r="L726">
        <f ca="1"/>
        <v>0.10545178559502233</v>
      </c>
    </row>
    <row r="727" spans="2:12">
      <c r="B727">
        <v>0.1434</v>
      </c>
      <c r="C727">
        <f ca="1"/>
        <v>3.0111237009292656E-2</v>
      </c>
      <c r="D727">
        <f ca="1"/>
        <v>1</v>
      </c>
      <c r="E727">
        <f ca="1"/>
        <v>100.31592272747349</v>
      </c>
      <c r="F727">
        <f ca="1"/>
        <v>-2.5744486615213056</v>
      </c>
      <c r="G727">
        <f ca="1"/>
        <v>2.5663410070156711E-2</v>
      </c>
      <c r="H727">
        <f ca="1"/>
        <v>49.481006848586347</v>
      </c>
      <c r="I727">
        <f ca="1"/>
        <v>-0.46773922496532394</v>
      </c>
      <c r="J727">
        <f ca="1"/>
        <v>2.5593149003565685</v>
      </c>
      <c r="K727">
        <f ca="1"/>
        <v>0</v>
      </c>
      <c r="L727">
        <f ca="1"/>
        <v>0</v>
      </c>
    </row>
    <row r="728" spans="2:12">
      <c r="B728">
        <v>0.14360000000000001</v>
      </c>
      <c r="C728">
        <f ca="1"/>
        <v>3.4646583263467083E-2</v>
      </c>
      <c r="D728">
        <f ca="1"/>
        <v>1</v>
      </c>
      <c r="E728">
        <f ca="1"/>
        <v>100.40655587050055</v>
      </c>
      <c r="F728">
        <f ca="1"/>
        <v>-0.55293472562790613</v>
      </c>
      <c r="G728">
        <f ca="1"/>
        <v>5.5069583936436795E-3</v>
      </c>
      <c r="H728">
        <f ca="1"/>
        <v>48.92807212295844</v>
      </c>
      <c r="I728">
        <f ca="1"/>
        <v>-0.46223226657168026</v>
      </c>
      <c r="J728">
        <f ca="1"/>
        <v>2.5169222242809184</v>
      </c>
      <c r="K728">
        <f ca="1"/>
        <v>0</v>
      </c>
      <c r="L728">
        <f ca="1"/>
        <v>0</v>
      </c>
    </row>
    <row r="729" spans="2:12">
      <c r="B729">
        <v>0.14380000000000001</v>
      </c>
      <c r="C729">
        <f ca="1"/>
        <v>2.0957943016055358E-2</v>
      </c>
      <c r="D729">
        <f ca="1"/>
        <v>1</v>
      </c>
      <c r="E729">
        <f ca="1"/>
        <v>100.13164543695198</v>
      </c>
      <c r="F729">
        <f ca="1"/>
        <v>1.6746017731319083</v>
      </c>
      <c r="G729">
        <f ca="1"/>
        <v>-1.6724001346670403E-2</v>
      </c>
      <c r="H729">
        <f ca="1"/>
        <v>50.602673896090351</v>
      </c>
      <c r="I729">
        <f ca="1"/>
        <v>-0.47895626791835066</v>
      </c>
      <c r="J729">
        <f ca="1"/>
        <v>2.6439946970842811</v>
      </c>
      <c r="K729">
        <f ca="1"/>
        <v>0</v>
      </c>
      <c r="L729">
        <f ca="1"/>
        <v>0</v>
      </c>
    </row>
    <row r="730" spans="2:12">
      <c r="B730">
        <v>0.14400000000000002</v>
      </c>
      <c r="C730">
        <f ca="1"/>
        <v>1.9526255072917099E-2</v>
      </c>
      <c r="D730">
        <f ca="1"/>
        <v>1</v>
      </c>
      <c r="E730">
        <f ca="1"/>
        <v>100.10257767640647</v>
      </c>
      <c r="F730">
        <f ca="1"/>
        <v>0.17830173449702302</v>
      </c>
      <c r="G730">
        <f ca="1"/>
        <v>-1.7811902414082148E-3</v>
      </c>
      <c r="H730">
        <f ca="1"/>
        <v>50.780975630587378</v>
      </c>
      <c r="I730">
        <f ca="1"/>
        <v>-0.48073745815975888</v>
      </c>
      <c r="J730">
        <f ca="1"/>
        <v>2.6579168831919091</v>
      </c>
      <c r="K730">
        <f ca="1"/>
        <v>0</v>
      </c>
      <c r="L730">
        <f ca="1"/>
        <v>0</v>
      </c>
    </row>
    <row r="731" spans="2:12">
      <c r="B731">
        <v>0.14419999999999999</v>
      </c>
      <c r="C731">
        <f ca="1"/>
        <v>3.7453659529309014E-2</v>
      </c>
      <c r="D731">
        <f ca="1"/>
        <v>1</v>
      </c>
      <c r="E731">
        <f ca="1"/>
        <v>100.46173592080653</v>
      </c>
      <c r="F731">
        <f ca="1"/>
        <v>-2.1992398621341906</v>
      </c>
      <c r="G731">
        <f ca="1"/>
        <v>2.1891318540104066E-2</v>
      </c>
      <c r="H731">
        <f ca="1"/>
        <v>48.581735768453186</v>
      </c>
      <c r="I731">
        <f ca="1"/>
        <v>-0.45884613961965481</v>
      </c>
      <c r="J731">
        <f ca="1"/>
        <v>2.4852560617019037</v>
      </c>
      <c r="K731">
        <f ca="1"/>
        <v>0</v>
      </c>
      <c r="L731">
        <f ca="1"/>
        <v>0</v>
      </c>
    </row>
    <row r="732" spans="2:12">
      <c r="B732">
        <v>0.1444</v>
      </c>
      <c r="C732">
        <f ca="1"/>
        <v>5.3637023438131898E-2</v>
      </c>
      <c r="D732">
        <f ca="1"/>
        <v>1</v>
      </c>
      <c r="E732">
        <f ca="1"/>
        <v>100.78702132749278</v>
      </c>
      <c r="F732">
        <f ca="1"/>
        <v>-1.9847986755934399</v>
      </c>
      <c r="G732">
        <f ca="1"/>
        <v>1.9692998656484995E-2</v>
      </c>
      <c r="H732">
        <f ca="1"/>
        <v>46.596937092859747</v>
      </c>
      <c r="I732">
        <f ca="1"/>
        <v>-0.43915314096316982</v>
      </c>
      <c r="J732">
        <f ca="1"/>
        <v>2.3360001085693085</v>
      </c>
      <c r="K732">
        <f ca="1"/>
        <v>0</v>
      </c>
      <c r="L732">
        <f ca="1"/>
        <v>0</v>
      </c>
    </row>
    <row r="733" spans="2:12">
      <c r="B733">
        <v>0.14460000000000001</v>
      </c>
      <c r="C733">
        <f ca="1"/>
        <v>7.2986399237430347E-2</v>
      </c>
      <c r="D733">
        <f ca="1"/>
        <v>1</v>
      </c>
      <c r="E733">
        <f ca="1"/>
        <v>101.17740547167138</v>
      </c>
      <c r="F733">
        <f ca="1"/>
        <v>-2.3663121525825939</v>
      </c>
      <c r="G733">
        <f ca="1"/>
        <v>2.3387752844138077E-2</v>
      </c>
      <c r="H733">
        <f ca="1"/>
        <v>44.230624940277153</v>
      </c>
      <c r="I733">
        <f ca="1"/>
        <v>-0.41576538811903174</v>
      </c>
      <c r="J733">
        <f ca="1"/>
        <v>2.1645616854710568</v>
      </c>
      <c r="K733">
        <f ca="1"/>
        <v>0</v>
      </c>
      <c r="L733">
        <f ca="1"/>
        <v>0</v>
      </c>
    </row>
    <row r="734" spans="2:12">
      <c r="B734">
        <v>0.14480000000000001</v>
      </c>
      <c r="C734">
        <f ca="1"/>
        <v>7.5166315022164351E-2</v>
      </c>
      <c r="D734">
        <f ca="1"/>
        <v>1</v>
      </c>
      <c r="E734">
        <f ca="1"/>
        <v>101.22112184838809</v>
      </c>
      <c r="F734">
        <f ca="1"/>
        <v>-0.26824424701167399</v>
      </c>
      <c r="G734">
        <f ca="1"/>
        <v>2.6500817429533918E-3</v>
      </c>
      <c r="H734">
        <f ca="1"/>
        <v>43.96238069326548</v>
      </c>
      <c r="I734">
        <f ca="1"/>
        <v>-0.41311530637607835</v>
      </c>
      <c r="J734">
        <f ca="1"/>
        <v>2.1463859291382761</v>
      </c>
      <c r="K734">
        <f ca="1"/>
        <v>0</v>
      </c>
      <c r="L734">
        <f ca="1"/>
        <v>0</v>
      </c>
    </row>
    <row r="735" spans="2:12">
      <c r="B735">
        <v>0.14500000000000002</v>
      </c>
      <c r="C735">
        <f ca="1"/>
        <v>5.8892260475144509E-2</v>
      </c>
      <c r="D735">
        <f ca="1"/>
        <v>1</v>
      </c>
      <c r="E735">
        <f ca="1"/>
        <v>100.89179824536876</v>
      </c>
      <c r="F735">
        <f ca="1"/>
        <v>1.9800253506035566</v>
      </c>
      <c r="G735">
        <f ca="1"/>
        <v>-1.9625235995775758E-2</v>
      </c>
      <c r="H735">
        <f ca="1"/>
        <v>45.942406043869035</v>
      </c>
      <c r="I735">
        <f ca="1"/>
        <v>-0.43274054237185411</v>
      </c>
      <c r="J735">
        <f ca="1"/>
        <v>2.2824345502964789</v>
      </c>
      <c r="K735">
        <f ca="1"/>
        <v>0</v>
      </c>
      <c r="L735">
        <f ca="1"/>
        <v>0</v>
      </c>
    </row>
    <row r="736" spans="2:12">
      <c r="B736">
        <v>0.1452</v>
      </c>
      <c r="C736">
        <f ca="1"/>
        <v>5.6099687722540877E-2</v>
      </c>
      <c r="D736">
        <f ca="1"/>
        <v>1</v>
      </c>
      <c r="E736">
        <f ca="1"/>
        <v>100.83506110005851</v>
      </c>
      <c r="F736">
        <f ca="1"/>
        <v>0.34080587960234549</v>
      </c>
      <c r="G736">
        <f ca="1"/>
        <v>-3.3798351077921618E-3</v>
      </c>
      <c r="H736">
        <f ca="1"/>
        <v>46.283211923471377</v>
      </c>
      <c r="I736">
        <f ca="1"/>
        <v>-0.43612037747964627</v>
      </c>
      <c r="J736">
        <f ca="1"/>
        <v>2.3069870133306623</v>
      </c>
      <c r="K736">
        <f ca="1"/>
        <v>0</v>
      </c>
      <c r="L736">
        <f ca="1"/>
        <v>0</v>
      </c>
    </row>
    <row r="737" spans="2:12">
      <c r="B737">
        <v>0.1454</v>
      </c>
      <c r="C737">
        <f ca="1"/>
        <v>4.5580561471901045E-2</v>
      </c>
      <c r="D737">
        <f ca="1"/>
        <v>1</v>
      </c>
      <c r="E737">
        <f ca="1"/>
        <v>100.62274225629335</v>
      </c>
      <c r="F737">
        <f ca="1"/>
        <v>1.2908105630983915</v>
      </c>
      <c r="G737">
        <f ca="1"/>
        <v>-1.282821889121849E-2</v>
      </c>
      <c r="H737">
        <f ca="1"/>
        <v>47.574022486569767</v>
      </c>
      <c r="I737">
        <f ca="1"/>
        <v>-0.44894859637086476</v>
      </c>
      <c r="J737">
        <f ca="1"/>
        <v>2.399583587619567</v>
      </c>
      <c r="K737">
        <f ca="1"/>
        <v>0</v>
      </c>
      <c r="L737">
        <f ca="1"/>
        <v>0</v>
      </c>
    </row>
    <row r="738" spans="2:12">
      <c r="B738">
        <v>0.14560000000000001</v>
      </c>
      <c r="C738">
        <f ca="1"/>
        <v>5.6689402077728053E-2</v>
      </c>
      <c r="D738">
        <f ca="1"/>
        <v>1</v>
      </c>
      <c r="E738">
        <f ca="1"/>
        <v>100.84614780561805</v>
      </c>
      <c r="F738">
        <f ca="1"/>
        <v>-1.3685397185770196</v>
      </c>
      <c r="G738">
        <f ca="1"/>
        <v>1.3570570104620094E-2</v>
      </c>
      <c r="H738">
        <f ca="1"/>
        <v>46.205482767992748</v>
      </c>
      <c r="I738">
        <f ca="1"/>
        <v>-0.43537802626624467</v>
      </c>
      <c r="J738">
        <f ca="1"/>
        <v>2.299285979828781</v>
      </c>
      <c r="K738">
        <f ca="1"/>
        <v>0</v>
      </c>
      <c r="L738">
        <f ca="1"/>
        <v>0</v>
      </c>
    </row>
    <row r="739" spans="2:12">
      <c r="B739">
        <v>0.14580000000000001</v>
      </c>
      <c r="C739">
        <f ca="1"/>
        <v>4.8820488008271892E-2</v>
      </c>
      <c r="D739">
        <f ca="1"/>
        <v>1</v>
      </c>
      <c r="E739">
        <f ca="1"/>
        <v>100.68715994390314</v>
      </c>
      <c r="F739">
        <f ca="1"/>
        <v>0.96685499268219821</v>
      </c>
      <c r="G739">
        <f ca="1"/>
        <v>-9.6025649469194674E-3</v>
      </c>
      <c r="H739">
        <f ca="1"/>
        <v>47.172337760674949</v>
      </c>
      <c r="I739">
        <f ca="1"/>
        <v>-0.44498059121316413</v>
      </c>
      <c r="J739">
        <f ca="1"/>
        <v>2.3685058012625149</v>
      </c>
      <c r="K739">
        <f ca="1"/>
        <v>0</v>
      </c>
      <c r="L739">
        <f ca="1"/>
        <v>0</v>
      </c>
    </row>
    <row r="740" spans="2:12">
      <c r="B740">
        <v>0.14600000000000002</v>
      </c>
      <c r="C740">
        <f ca="1"/>
        <v>2.79390154240023E-2</v>
      </c>
      <c r="D740">
        <f ca="1"/>
        <v>1</v>
      </c>
      <c r="E740">
        <f ca="1"/>
        <v>100.26713648380981</v>
      </c>
      <c r="F740">
        <f ca="1"/>
        <v>2.5747742652372962</v>
      </c>
      <c r="G740">
        <f ca="1"/>
        <v>-2.5679144289246225E-2</v>
      </c>
      <c r="H740">
        <f ca="1"/>
        <v>49.747112025912244</v>
      </c>
      <c r="I740">
        <f ca="1"/>
        <v>-0.47065973550241036</v>
      </c>
      <c r="J740">
        <f ca="1"/>
        <v>2.5554080888582433</v>
      </c>
      <c r="K740">
        <f ca="1"/>
        <v>0</v>
      </c>
      <c r="L740">
        <f ca="1"/>
        <v>0</v>
      </c>
    </row>
    <row r="741" spans="2:12">
      <c r="B741">
        <v>0.1462</v>
      </c>
      <c r="C741">
        <f ca="1"/>
        <v>2.2337781302446309E-2</v>
      </c>
      <c r="D741">
        <f ca="1"/>
        <v>1</v>
      </c>
      <c r="E741">
        <f ca="1"/>
        <v>100.15447481566279</v>
      </c>
      <c r="F741">
        <f ca="1"/>
        <v>0.6953033087860736</v>
      </c>
      <c r="G741">
        <f ca="1"/>
        <v>-6.9423089688783191E-3</v>
      </c>
      <c r="H741">
        <f ca="1"/>
        <v>50.442415334698318</v>
      </c>
      <c r="I741">
        <f ca="1"/>
        <v>-0.47760204447128868</v>
      </c>
      <c r="J741">
        <f ca="1"/>
        <v>2.6084333997895754</v>
      </c>
      <c r="K741">
        <f ca="1"/>
        <v>0</v>
      </c>
      <c r="L741">
        <f ca="1"/>
        <v>0</v>
      </c>
    </row>
    <row r="742" spans="2:12">
      <c r="B742">
        <v>0.1464</v>
      </c>
      <c r="C742">
        <f ca="1"/>
        <v>2.8576538260872343E-2</v>
      </c>
      <c r="D742">
        <f ca="1"/>
        <v>1</v>
      </c>
      <c r="E742">
        <f ca="1"/>
        <v>100.27911958058027</v>
      </c>
      <c r="F742">
        <f ca="1"/>
        <v>-0.77093541333628357</v>
      </c>
      <c r="G742">
        <f ca="1"/>
        <v>7.6878957110985691E-3</v>
      </c>
      <c r="H742">
        <f ca="1"/>
        <v>49.671479921362035</v>
      </c>
      <c r="I742">
        <f ca="1"/>
        <v>-0.46991414876019011</v>
      </c>
      <c r="J742">
        <f ca="1"/>
        <v>2.5489028052323448</v>
      </c>
      <c r="K742">
        <f ca="1"/>
        <v>0</v>
      </c>
      <c r="L742">
        <f ca="1"/>
        <v>0</v>
      </c>
    </row>
    <row r="743" spans="2:12">
      <c r="B743">
        <v>0.14660000000000001</v>
      </c>
      <c r="C743">
        <f ca="1"/>
        <v>1.6980321225646768E-2</v>
      </c>
      <c r="D743">
        <f ca="1"/>
        <v>1</v>
      </c>
      <c r="E743">
        <f ca="1"/>
        <v>100.04641719395994</v>
      </c>
      <c r="F743">
        <f ca="1"/>
        <v>1.4389538207769226</v>
      </c>
      <c r="G743">
        <f ca="1"/>
        <v>-1.4382862086777415E-2</v>
      </c>
      <c r="H743">
        <f ca="1"/>
        <v>51.110433742138959</v>
      </c>
      <c r="I743">
        <f ca="1"/>
        <v>-0.48429701084696752</v>
      </c>
      <c r="J743">
        <f ca="1"/>
        <v>2.6582529491555036</v>
      </c>
      <c r="K743">
        <f ca="1"/>
        <v>0</v>
      </c>
      <c r="L743">
        <f ca="1"/>
        <v>0</v>
      </c>
    </row>
    <row r="744" spans="2:12">
      <c r="B744">
        <v>0.14680000000000001</v>
      </c>
      <c r="C744">
        <f ca="1"/>
        <v>3.3325445761077342E-3</v>
      </c>
      <c r="D744">
        <f ca="1"/>
        <v>1</v>
      </c>
      <c r="E744">
        <f ca="1"/>
        <v>99.773308226301538</v>
      </c>
      <c r="F744">
        <f ca="1"/>
        <v>1.6940445805330535</v>
      </c>
      <c r="G744">
        <f ca="1"/>
        <v>-1.6978935655723615E-2</v>
      </c>
      <c r="H744">
        <f ca="1"/>
        <v>52.804478322672011</v>
      </c>
      <c r="I744">
        <f ca="1"/>
        <v>-0.50127594650269114</v>
      </c>
      <c r="J744">
        <f ca="1"/>
        <v>2.7905188058279649</v>
      </c>
      <c r="K744">
        <f ca="1"/>
        <v>0</v>
      </c>
      <c r="L744">
        <f ca="1"/>
        <v>0.22669177369846238</v>
      </c>
    </row>
    <row r="745" spans="2:12">
      <c r="B745">
        <v>0.14700000000000002</v>
      </c>
      <c r="C745">
        <f ca="1"/>
        <v>-1.0404568889387634E-2</v>
      </c>
      <c r="D745">
        <f ca="1"/>
        <v>1</v>
      </c>
      <c r="E745">
        <f ca="1"/>
        <v>99.499166994030787</v>
      </c>
      <c r="F745">
        <f ca="1"/>
        <v>1.7034724330159527</v>
      </c>
      <c r="G745">
        <f ca="1"/>
        <v>-1.7120469291146412E-2</v>
      </c>
      <c r="H745">
        <f ca="1"/>
        <v>54.507950755687965</v>
      </c>
      <c r="I745">
        <f ca="1"/>
        <v>-0.51839641579383755</v>
      </c>
      <c r="J745">
        <f ca="1"/>
        <v>2.9279392115099014</v>
      </c>
      <c r="K745">
        <f ca="1"/>
        <v>0</v>
      </c>
      <c r="L745">
        <f ca="1"/>
        <v>0.50083300596921276</v>
      </c>
    </row>
    <row r="746" spans="2:12">
      <c r="B746">
        <v>0.1472</v>
      </c>
      <c r="C746">
        <f ca="1"/>
        <v>-1.9943181151557791E-2</v>
      </c>
      <c r="D746">
        <f ca="1"/>
        <v>1</v>
      </c>
      <c r="E746">
        <f ca="1"/>
        <v>99.309133905626609</v>
      </c>
      <c r="F746">
        <f ca="1"/>
        <v>1.1831241114714994</v>
      </c>
      <c r="G746">
        <f ca="1"/>
        <v>-1.1913547776942868E-2</v>
      </c>
      <c r="H746">
        <f ca="1"/>
        <v>55.691074867159465</v>
      </c>
      <c r="I746">
        <f ca="1"/>
        <v>-0.53030996357078042</v>
      </c>
      <c r="J746">
        <f ca="1"/>
        <v>3.0264516834208663</v>
      </c>
      <c r="K746">
        <f ca="1"/>
        <v>0</v>
      </c>
      <c r="L746">
        <f ca="1"/>
        <v>0.69086609437339064</v>
      </c>
    </row>
    <row r="747" spans="2:12">
      <c r="B747">
        <v>0.1474</v>
      </c>
      <c r="C747">
        <f ca="1"/>
        <v>-1.6880986539105067E-2</v>
      </c>
      <c r="D747">
        <f ca="1"/>
        <v>1</v>
      </c>
      <c r="E747">
        <f ca="1"/>
        <v>99.369575833799814</v>
      </c>
      <c r="F747">
        <f ca="1"/>
        <v>-0.37015281217582208</v>
      </c>
      <c r="G747">
        <f ca="1"/>
        <v>3.7250114944127333E-3</v>
      </c>
      <c r="H747">
        <f ca="1"/>
        <v>55.32092205498364</v>
      </c>
      <c r="I747">
        <f ca="1"/>
        <v>-0.52658495207636768</v>
      </c>
      <c r="J747">
        <f ca="1"/>
        <v>2.9943987266931771</v>
      </c>
      <c r="K747">
        <f ca="1"/>
        <v>0</v>
      </c>
      <c r="L747">
        <f ca="1"/>
        <v>0.63042416620018571</v>
      </c>
    </row>
    <row r="748" spans="2:12">
      <c r="B748">
        <v>0.14760000000000001</v>
      </c>
      <c r="C748">
        <f ca="1"/>
        <v>-1.7534144923699091E-2</v>
      </c>
      <c r="D748">
        <f ca="1"/>
        <v>1</v>
      </c>
      <c r="E748">
        <f ca="1"/>
        <v>99.356198441701167</v>
      </c>
      <c r="F748">
        <f ca="1"/>
        <v>8.8236385771111384E-2</v>
      </c>
      <c r="G748">
        <f ca="1"/>
        <v>-8.8808133921192134E-4</v>
      </c>
      <c r="H748">
        <f ca="1"/>
        <v>55.409158440754751</v>
      </c>
      <c r="I748">
        <f ca="1"/>
        <v>-0.52747303341557961</v>
      </c>
      <c r="J748">
        <f ca="1"/>
        <v>3.0014430600703506</v>
      </c>
      <c r="K748">
        <f ca="1"/>
        <v>0</v>
      </c>
      <c r="L748">
        <f ca="1"/>
        <v>0.64380155829883279</v>
      </c>
    </row>
    <row r="749" spans="2:12">
      <c r="B749">
        <v>0.14780000000000001</v>
      </c>
      <c r="C749">
        <f ca="1"/>
        <v>-1.7496456989618894E-3</v>
      </c>
      <c r="D749">
        <f ca="1"/>
        <v>1</v>
      </c>
      <c r="E749">
        <f ca="1"/>
        <v>99.669952942707766</v>
      </c>
      <c r="F749">
        <f ca="1"/>
        <v>-1.9534962030230896</v>
      </c>
      <c r="G749">
        <f ca="1"/>
        <v>1.9599650098620969E-2</v>
      </c>
      <c r="H749">
        <f ca="1"/>
        <v>53.455662237731659</v>
      </c>
      <c r="I749">
        <f ca="1"/>
        <v>-0.50787338331695864</v>
      </c>
      <c r="J749">
        <f ca="1"/>
        <v>2.8359460216766053</v>
      </c>
      <c r="K749">
        <f ca="1"/>
        <v>0</v>
      </c>
      <c r="L749">
        <f ca="1"/>
        <v>0.3300470572922336</v>
      </c>
    </row>
    <row r="750" spans="2:12">
      <c r="B750">
        <v>0.14800000000000002</v>
      </c>
      <c r="C750">
        <f ca="1"/>
        <v>1.4959162876658289E-2</v>
      </c>
      <c r="D750">
        <f ca="1"/>
        <v>1</v>
      </c>
      <c r="E750">
        <f ca="1"/>
        <v>100.00318330819935</v>
      </c>
      <c r="F750">
        <f ca="1"/>
        <v>-2.0811788046469801</v>
      </c>
      <c r="G750">
        <f ca="1"/>
        <v>2.0811125564203337E-2</v>
      </c>
      <c r="H750">
        <f ca="1"/>
        <v>51.374483433084677</v>
      </c>
      <c r="I750">
        <f ca="1"/>
        <v>-0.4870622577527553</v>
      </c>
      <c r="J750">
        <f ca="1"/>
        <v>2.6667071885304452</v>
      </c>
      <c r="K750">
        <f ca="1"/>
        <v>0</v>
      </c>
      <c r="L750">
        <f ca="1"/>
        <v>0</v>
      </c>
    </row>
    <row r="751" spans="2:12">
      <c r="B751">
        <v>0.1482</v>
      </c>
      <c r="C751">
        <f ca="1"/>
        <v>2.7726155436412186E-2</v>
      </c>
      <c r="D751">
        <f ca="1"/>
        <v>1</v>
      </c>
      <c r="E751">
        <f ca="1"/>
        <v>100.25845653324473</v>
      </c>
      <c r="F751">
        <f ca="1"/>
        <v>-1.5944271154272969</v>
      </c>
      <c r="G751">
        <f ca="1"/>
        <v>1.590316837661071E-2</v>
      </c>
      <c r="H751">
        <f ca="1"/>
        <v>49.780056317657383</v>
      </c>
      <c r="I751">
        <f ca="1"/>
        <v>-0.47115908937614459</v>
      </c>
      <c r="J751">
        <f ca="1"/>
        <v>2.542373235196024</v>
      </c>
      <c r="K751">
        <f ca="1"/>
        <v>0</v>
      </c>
      <c r="L751">
        <f ca="1"/>
        <v>0</v>
      </c>
    </row>
    <row r="752" spans="2:12">
      <c r="B752">
        <v>0.1484</v>
      </c>
      <c r="C752">
        <f ca="1"/>
        <v>1.5712388824809506E-2</v>
      </c>
      <c r="D752">
        <f ca="1"/>
        <v>1</v>
      </c>
      <c r="E752">
        <f ca="1"/>
        <v>100.01744929870924</v>
      </c>
      <c r="F752">
        <f ca="1"/>
        <v>1.5038227302615965</v>
      </c>
      <c r="G752">
        <f ca="1"/>
        <v>-1.503560369521445E-2</v>
      </c>
      <c r="H752">
        <f ca="1"/>
        <v>51.28387904791898</v>
      </c>
      <c r="I752">
        <f ca="1"/>
        <v>-0.48619469307135904</v>
      </c>
      <c r="J752">
        <f ca="1"/>
        <v>2.6559259843528267</v>
      </c>
      <c r="K752">
        <f ca="1"/>
        <v>0</v>
      </c>
      <c r="L752">
        <f ca="1"/>
        <v>0</v>
      </c>
    </row>
    <row r="753" spans="2:12">
      <c r="B753">
        <v>0.14860000000000001</v>
      </c>
      <c r="C753">
        <f ca="1"/>
        <v>-3.1700833863507957E-3</v>
      </c>
      <c r="D753">
        <f ca="1"/>
        <v>1</v>
      </c>
      <c r="E753">
        <f ca="1"/>
        <v>99.640047719285519</v>
      </c>
      <c r="F753">
        <f ca="1"/>
        <v>2.3603934866507466</v>
      </c>
      <c r="G753">
        <f ca="1"/>
        <v>-2.3689204699105015E-2</v>
      </c>
      <c r="H753">
        <f ca="1"/>
        <v>53.644272534569723</v>
      </c>
      <c r="I753">
        <f ca="1"/>
        <v>-0.50988389777046406</v>
      </c>
      <c r="J753">
        <f ca="1"/>
        <v>2.8394166294253864</v>
      </c>
      <c r="K753">
        <f ca="1"/>
        <v>0</v>
      </c>
      <c r="L753">
        <f ca="1"/>
        <v>0.35995228071448082</v>
      </c>
    </row>
    <row r="754" spans="2:12">
      <c r="B754">
        <v>0.14880000000000002</v>
      </c>
      <c r="C754">
        <f ca="1"/>
        <v>-2.0758356180850591E-3</v>
      </c>
      <c r="D754">
        <f ca="1"/>
        <v>1</v>
      </c>
      <c r="E754">
        <f ca="1"/>
        <v>99.661457638937463</v>
      </c>
      <c r="F754">
        <f ca="1"/>
        <v>-0.13075383377867056</v>
      </c>
      <c r="G754">
        <f ca="1"/>
        <v>1.3119799456714487E-3</v>
      </c>
      <c r="H754">
        <f ca="1"/>
        <v>53.513518700791053</v>
      </c>
      <c r="I754">
        <f ca="1"/>
        <v>-0.50857191782479261</v>
      </c>
      <c r="J754">
        <f ca="1"/>
        <v>2.8285000561423033</v>
      </c>
      <c r="K754">
        <f ca="1"/>
        <v>0</v>
      </c>
      <c r="L754">
        <f ca="1"/>
        <v>0.33854236106253666</v>
      </c>
    </row>
    <row r="755" spans="2:12">
      <c r="B755">
        <v>0.14899999999999999</v>
      </c>
      <c r="C755">
        <f ca="1"/>
        <v>1.2515341282170252E-2</v>
      </c>
      <c r="D755">
        <f ca="1"/>
        <v>1</v>
      </c>
      <c r="E755">
        <f ca="1"/>
        <v>99.952318197029939</v>
      </c>
      <c r="F755">
        <f ca="1"/>
        <v>-1.8247370898982289</v>
      </c>
      <c r="G755">
        <f ca="1"/>
        <v>1.8256075725039567E-2</v>
      </c>
      <c r="H755">
        <f ca="1"/>
        <v>51.688781610892825</v>
      </c>
      <c r="I755">
        <f ca="1"/>
        <v>-0.49031584209975304</v>
      </c>
      <c r="J755">
        <f ca="1"/>
        <v>2.680576544293622</v>
      </c>
      <c r="K755">
        <f ca="1"/>
        <v>0</v>
      </c>
      <c r="L755">
        <f ca="1"/>
        <v>4.7681802970060971E-2</v>
      </c>
    </row>
    <row r="756" spans="2:12">
      <c r="B756">
        <v>0.1492</v>
      </c>
      <c r="C756">
        <f ca="1"/>
        <v>1.5553395703225968E-2</v>
      </c>
      <c r="D756">
        <f ca="1"/>
        <v>1</v>
      </c>
      <c r="E756">
        <f ca="1"/>
        <v>100.01266871647863</v>
      </c>
      <c r="F756">
        <f ca="1"/>
        <v>-0.37756842041462485</v>
      </c>
      <c r="G756">
        <f ca="1"/>
        <v>3.7752059340099842E-3</v>
      </c>
      <c r="H756">
        <f ca="1"/>
        <v>51.311213190478199</v>
      </c>
      <c r="I756">
        <f ca="1"/>
        <v>-0.48654063616574306</v>
      </c>
      <c r="J756">
        <f ca="1"/>
        <v>2.6509857285289797</v>
      </c>
      <c r="K756">
        <f ca="1"/>
        <v>0</v>
      </c>
      <c r="L756">
        <f ca="1"/>
        <v>0</v>
      </c>
    </row>
    <row r="757" spans="2:12">
      <c r="B757">
        <v>0.14940000000000001</v>
      </c>
      <c r="C757">
        <f ca="1"/>
        <v>2.3125108173082436E-2</v>
      </c>
      <c r="D757">
        <f ca="1"/>
        <v>1</v>
      </c>
      <c r="E757">
        <f ca="1"/>
        <v>100.16383622859912</v>
      </c>
      <c r="F757">
        <f ca="1"/>
        <v>-0.94921823544763517</v>
      </c>
      <c r="G757">
        <f ca="1"/>
        <v>9.4766561584290754E-3</v>
      </c>
      <c r="H757">
        <f ca="1"/>
        <v>50.361994955030561</v>
      </c>
      <c r="I757">
        <f ca="1"/>
        <v>-0.47706398000731398</v>
      </c>
      <c r="J757">
        <f ca="1"/>
        <v>2.5774365910142762</v>
      </c>
      <c r="K757">
        <f ca="1"/>
        <v>0</v>
      </c>
      <c r="L757">
        <f ca="1"/>
        <v>0</v>
      </c>
    </row>
    <row r="758" spans="2:12">
      <c r="B758">
        <v>0.14960000000000001</v>
      </c>
      <c r="C758">
        <f ca="1"/>
        <v>3.0380876775486936E-2</v>
      </c>
      <c r="D758">
        <f ca="1"/>
        <v>1</v>
      </c>
      <c r="E758">
        <f ca="1"/>
        <v>100.30889363171971</v>
      </c>
      <c r="F758">
        <f ca="1"/>
        <v>-0.91141168964605679</v>
      </c>
      <c r="G758">
        <f ca="1"/>
        <v>9.0860506645828454E-3</v>
      </c>
      <c r="H758">
        <f ca="1"/>
        <v>49.450583265384502</v>
      </c>
      <c r="I758">
        <f ca="1"/>
        <v>-0.46797792934273114</v>
      </c>
      <c r="J758">
        <f ca="1"/>
        <v>2.5082349289520423</v>
      </c>
      <c r="K758">
        <f ca="1"/>
        <v>0</v>
      </c>
      <c r="L758">
        <f ca="1"/>
        <v>0</v>
      </c>
    </row>
    <row r="759" spans="2:12">
      <c r="B759">
        <v>0.14980000000000002</v>
      </c>
      <c r="C759">
        <f ca="1"/>
        <v>1.5051627884351973E-2</v>
      </c>
      <c r="D759">
        <f ca="1"/>
        <v>1</v>
      </c>
      <c r="E759">
        <f ca="1"/>
        <v>100.0014325679482</v>
      </c>
      <c r="F759">
        <f ca="1"/>
        <v>1.9305956302715734</v>
      </c>
      <c r="G759">
        <f ca="1"/>
        <v>-1.9305679735735659E-2</v>
      </c>
      <c r="H759">
        <f ca="1"/>
        <v>51.381178895656078</v>
      </c>
      <c r="I759">
        <f ca="1"/>
        <v>-0.4872836090784668</v>
      </c>
      <c r="J759">
        <f ca="1"/>
        <v>2.6521199209293513</v>
      </c>
      <c r="K759">
        <f ca="1"/>
        <v>0</v>
      </c>
      <c r="L759">
        <f ca="1"/>
        <v>0</v>
      </c>
    </row>
    <row r="760" spans="2:12">
      <c r="B760">
        <v>0.15</v>
      </c>
      <c r="C760">
        <f ca="1"/>
        <v>4.3602003289285436E-2</v>
      </c>
      <c r="D760">
        <f ca="1"/>
        <v>1</v>
      </c>
      <c r="E760">
        <f ca="1"/>
        <v>100.5736793392464</v>
      </c>
      <c r="F760">
        <f ca="1"/>
        <v>-3.606765118970225</v>
      </c>
      <c r="G760">
        <f ca="1"/>
        <v>3.5861918771055379E-2</v>
      </c>
      <c r="H760">
        <f ca="1"/>
        <v>47.774413776685854</v>
      </c>
      <c r="I760">
        <f ca="1"/>
        <v>-0.45142169030741142</v>
      </c>
      <c r="J760">
        <f ca="1"/>
        <v>2.3732734489276623</v>
      </c>
      <c r="K760">
        <f ca="1"/>
        <v>0</v>
      </c>
      <c r="L760">
        <f ca="1"/>
        <v>0</v>
      </c>
    </row>
    <row r="761" spans="2:12">
      <c r="B761">
        <v>0.1502</v>
      </c>
      <c r="C761">
        <f ca="1"/>
        <v>3.148313089724171E-2</v>
      </c>
      <c r="D761">
        <f ca="1"/>
        <v>1</v>
      </c>
      <c r="E761">
        <f ca="1"/>
        <v>100.3298052827367</v>
      </c>
      <c r="F761">
        <f ca="1"/>
        <v>1.5274301287451173</v>
      </c>
      <c r="G761">
        <f ca="1"/>
        <v>-1.5224091429667463E-2</v>
      </c>
      <c r="H761">
        <f ca="1"/>
        <v>49.301843905430971</v>
      </c>
      <c r="I761">
        <f ca="1"/>
        <v>-0.46664578173707888</v>
      </c>
      <c r="J761">
        <f ca="1"/>
        <v>2.4833634877393962</v>
      </c>
      <c r="K761">
        <f ca="1"/>
        <v>0</v>
      </c>
      <c r="L761">
        <f ca="1"/>
        <v>0</v>
      </c>
    </row>
    <row r="762" spans="2:12">
      <c r="B762">
        <v>0.15040000000000001</v>
      </c>
      <c r="C762">
        <f ca="1"/>
        <v>4.8344435438650732E-2</v>
      </c>
      <c r="D762">
        <f ca="1"/>
        <v>1</v>
      </c>
      <c r="E762">
        <f ca="1"/>
        <v>100.6683120132649</v>
      </c>
      <c r="F762">
        <f ca="1"/>
        <v>-2.1306854835503057</v>
      </c>
      <c r="G762">
        <f ca="1"/>
        <v>2.1165403898592727E-2</v>
      </c>
      <c r="H762">
        <f ca="1"/>
        <v>47.171158421880662</v>
      </c>
      <c r="I762">
        <f ca="1"/>
        <v>-0.44548037783848615</v>
      </c>
      <c r="J762">
        <f ca="1"/>
        <v>2.3254007498488036</v>
      </c>
      <c r="K762">
        <f ca="1"/>
        <v>0</v>
      </c>
      <c r="L762">
        <f ca="1"/>
        <v>0</v>
      </c>
    </row>
    <row r="763" spans="2:12">
      <c r="B763">
        <v>0.15060000000000001</v>
      </c>
      <c r="C763">
        <f ca="1"/>
        <v>5.7956090658838749E-2</v>
      </c>
      <c r="D763">
        <f ca="1"/>
        <v>1</v>
      </c>
      <c r="E763">
        <f ca="1"/>
        <v>100.86161250924323</v>
      </c>
      <c r="F763">
        <f ca="1"/>
        <v>-1.2129463080009619</v>
      </c>
      <c r="G763">
        <f ca="1"/>
        <v>1.202584687895808E-2</v>
      </c>
      <c r="H763">
        <f ca="1"/>
        <v>45.958212113879704</v>
      </c>
      <c r="I763">
        <f ca="1"/>
        <v>-0.43345453095952807</v>
      </c>
      <c r="J763">
        <f ca="1"/>
        <v>2.2392891718640087</v>
      </c>
      <c r="K763">
        <f ca="1"/>
        <v>0</v>
      </c>
      <c r="L763">
        <f ca="1"/>
        <v>0</v>
      </c>
    </row>
    <row r="764" spans="2:12">
      <c r="B764">
        <v>0.15080000000000002</v>
      </c>
      <c r="C764">
        <f ca="1"/>
        <v>4.2319508391087536E-2</v>
      </c>
      <c r="D764">
        <f ca="1"/>
        <v>1</v>
      </c>
      <c r="E764">
        <f ca="1"/>
        <v>100.54627684799289</v>
      </c>
      <c r="F764">
        <f ca="1"/>
        <v>1.969360167351309</v>
      </c>
      <c r="G764">
        <f ca="1"/>
        <v>-1.9586604587344514E-2</v>
      </c>
      <c r="H764">
        <f ca="1"/>
        <v>47.927572281231015</v>
      </c>
      <c r="I764">
        <f ca="1"/>
        <v>-0.45304113554687259</v>
      </c>
      <c r="J764">
        <f ca="1"/>
        <v>2.375972843006096</v>
      </c>
      <c r="K764">
        <f ca="1"/>
        <v>0</v>
      </c>
      <c r="L764">
        <f ca="1"/>
        <v>0</v>
      </c>
    </row>
    <row r="765" spans="2:12">
      <c r="B765">
        <v>0.151</v>
      </c>
      <c r="C765">
        <f ca="1"/>
        <v>3.6031026436729632E-2</v>
      </c>
      <c r="D765">
        <f ca="1"/>
        <v>1</v>
      </c>
      <c r="E765">
        <f ca="1"/>
        <v>100.41949796842363</v>
      </c>
      <c r="F765">
        <f ca="1"/>
        <v>0.79632662970394397</v>
      </c>
      <c r="G765">
        <f ca="1"/>
        <v>-7.9300001076916815E-3</v>
      </c>
      <c r="H765">
        <f ca="1"/>
        <v>48.723898910934956</v>
      </c>
      <c r="I765">
        <f ca="1"/>
        <v>-0.46097113565456427</v>
      </c>
      <c r="J765">
        <f ca="1"/>
        <v>2.4334088905695097</v>
      </c>
      <c r="K765">
        <f ca="1"/>
        <v>0</v>
      </c>
      <c r="L765">
        <f ca="1"/>
        <v>0</v>
      </c>
    </row>
    <row r="766" spans="2:12">
      <c r="B766">
        <v>0.1512</v>
      </c>
      <c r="C766">
        <f ca="1"/>
        <v>4.1531502602628903E-2</v>
      </c>
      <c r="D766">
        <f ca="1"/>
        <v>1</v>
      </c>
      <c r="E766">
        <f ca="1"/>
        <v>100.5296276467468</v>
      </c>
      <c r="F766">
        <f ca="1"/>
        <v>-0.69670440316671323</v>
      </c>
      <c r="G766">
        <f ca="1"/>
        <v>6.9303390400974885E-3</v>
      </c>
      <c r="H766">
        <f ca="1"/>
        <v>48.027194507768243</v>
      </c>
      <c r="I766">
        <f ca="1"/>
        <v>-0.45404079661446678</v>
      </c>
      <c r="J766">
        <f ca="1"/>
        <v>2.382642287683602</v>
      </c>
      <c r="K766">
        <f ca="1"/>
        <v>0</v>
      </c>
      <c r="L766">
        <f ca="1"/>
        <v>0</v>
      </c>
    </row>
    <row r="767" spans="2:12">
      <c r="B767">
        <v>0.15140000000000001</v>
      </c>
      <c r="C767">
        <f ca="1"/>
        <v>6.816999975429136E-2</v>
      </c>
      <c r="D767">
        <f ca="1"/>
        <v>1</v>
      </c>
      <c r="E767">
        <f ca="1"/>
        <v>101.06624429366163</v>
      </c>
      <c r="F767">
        <f ca="1"/>
        <v>-3.3767239096224659</v>
      </c>
      <c r="G767">
        <f ca="1"/>
        <v>3.3410996255198111E-2</v>
      </c>
      <c r="H767">
        <f ca="1"/>
        <v>44.65047059814578</v>
      </c>
      <c r="I767">
        <f ca="1"/>
        <v>-0.42062980035926867</v>
      </c>
      <c r="J767">
        <f ca="1"/>
        <v>2.1389964378418114</v>
      </c>
      <c r="K767">
        <f ca="1"/>
        <v>0</v>
      </c>
      <c r="L767">
        <f ca="1"/>
        <v>0</v>
      </c>
    </row>
    <row r="768" spans="2:12">
      <c r="B768">
        <v>0.15160000000000001</v>
      </c>
      <c r="C768">
        <f ca="1"/>
        <v>5.2454662846754742E-2</v>
      </c>
      <c r="D768">
        <f ca="1"/>
        <v>1</v>
      </c>
      <c r="E768">
        <f ca="1"/>
        <v>100.7486819699844</v>
      </c>
      <c r="F768">
        <f ca="1"/>
        <v>1.9797132947371299</v>
      </c>
      <c r="G768">
        <f ca="1"/>
        <v>-1.9650016814383109E-2</v>
      </c>
      <c r="H768">
        <f ca="1"/>
        <v>46.630183892882911</v>
      </c>
      <c r="I768">
        <f ca="1"/>
        <v>-0.44027981717365178</v>
      </c>
      <c r="J768">
        <f ca="1"/>
        <v>2.2725726146517928</v>
      </c>
      <c r="K768">
        <f ca="1"/>
        <v>0</v>
      </c>
      <c r="L768">
        <f ca="1"/>
        <v>0</v>
      </c>
    </row>
    <row r="769" spans="2:12">
      <c r="B769">
        <v>0.15180000000000002</v>
      </c>
      <c r="C769">
        <f ca="1"/>
        <v>3.8636370685329477E-2</v>
      </c>
      <c r="D769">
        <f ca="1"/>
        <v>1</v>
      </c>
      <c r="E769">
        <f ca="1"/>
        <v>100.47022953914157</v>
      </c>
      <c r="F769">
        <f ca="1"/>
        <v>1.7518306874822762</v>
      </c>
      <c r="G769">
        <f ca="1"/>
        <v>-1.7436316165673649E-2</v>
      </c>
      <c r="H769">
        <f ca="1"/>
        <v>48.382014580365187</v>
      </c>
      <c r="I769">
        <f ca="1"/>
        <v>-0.45771613333932543</v>
      </c>
      <c r="J769">
        <f ca="1"/>
        <v>2.3951695999948299</v>
      </c>
      <c r="K769">
        <f ca="1"/>
        <v>0</v>
      </c>
      <c r="L769">
        <f ca="1"/>
        <v>0</v>
      </c>
    </row>
    <row r="770" spans="2:12">
      <c r="B770">
        <v>0.152</v>
      </c>
      <c r="C770">
        <f ca="1"/>
        <v>5.6251888001586134E-2</v>
      </c>
      <c r="D770">
        <f ca="1"/>
        <v>1</v>
      </c>
      <c r="E770">
        <f ca="1"/>
        <v>100.82441751841414</v>
      </c>
      <c r="F770">
        <f ca="1"/>
        <v>-2.241992552107634</v>
      </c>
      <c r="G770">
        <f ca="1"/>
        <v>2.2236603069868133E-2</v>
      </c>
      <c r="H770">
        <f ca="1"/>
        <v>46.140022028257555</v>
      </c>
      <c r="I770">
        <f ca="1"/>
        <v>-0.43547953026945729</v>
      </c>
      <c r="J770">
        <f ca="1"/>
        <v>2.2330520476469218</v>
      </c>
      <c r="K770">
        <f ca="1"/>
        <v>0</v>
      </c>
      <c r="L770">
        <f ca="1"/>
        <v>0</v>
      </c>
    </row>
    <row r="771" spans="2:12">
      <c r="B771">
        <v>0.1522</v>
      </c>
      <c r="C771">
        <f ca="1"/>
        <v>4.4010968681623991E-2</v>
      </c>
      <c r="D771">
        <f ca="1"/>
        <v>1</v>
      </c>
      <c r="E771">
        <f ca="1"/>
        <v>100.57748040002789</v>
      </c>
      <c r="F771">
        <f ca="1"/>
        <v>1.5530013288370139</v>
      </c>
      <c r="G771">
        <f ca="1"/>
        <v>-1.544084543239943E-2</v>
      </c>
      <c r="H771">
        <f ca="1"/>
        <v>47.693023357094567</v>
      </c>
      <c r="I771">
        <f ca="1"/>
        <v>-0.45092037570185672</v>
      </c>
      <c r="J771">
        <f ca="1"/>
        <v>2.3405881079678608</v>
      </c>
      <c r="K771">
        <f ca="1"/>
        <v>0</v>
      </c>
      <c r="L771">
        <f ca="1"/>
        <v>0</v>
      </c>
    </row>
    <row r="772" spans="2:12">
      <c r="B772">
        <v>0.15240000000000001</v>
      </c>
      <c r="C772">
        <f ca="1"/>
        <v>2.8659333748406238E-2</v>
      </c>
      <c r="D772">
        <f ca="1"/>
        <v>1</v>
      </c>
      <c r="E772">
        <f ca="1"/>
        <v>100.26874715442543</v>
      </c>
      <c r="F772">
        <f ca="1"/>
        <v>1.9559566134585122</v>
      </c>
      <c r="G772">
        <f ca="1"/>
        <v>-1.9507141247572524E-2</v>
      </c>
      <c r="H772">
        <f ca="1"/>
        <v>49.648979970553079</v>
      </c>
      <c r="I772">
        <f ca="1"/>
        <v>-0.47042751694942925</v>
      </c>
      <c r="J772">
        <f ca="1"/>
        <v>2.4798022190665776</v>
      </c>
      <c r="K772">
        <f ca="1"/>
        <v>0</v>
      </c>
      <c r="L772">
        <f ca="1"/>
        <v>0</v>
      </c>
    </row>
    <row r="773" spans="2:12">
      <c r="B773">
        <v>0.15260000000000001</v>
      </c>
      <c r="C773">
        <f ca="1"/>
        <v>4.2162772261222919E-2</v>
      </c>
      <c r="D773">
        <f ca="1"/>
        <v>1</v>
      </c>
      <c r="E773">
        <f ca="1"/>
        <v>100.53950556318145</v>
      </c>
      <c r="F773">
        <f ca="1"/>
        <v>-1.7252920332742447</v>
      </c>
      <c r="G773">
        <f ca="1"/>
        <v>1.7160339347302933E-2</v>
      </c>
      <c r="H773">
        <f ca="1"/>
        <v>47.923687937278835</v>
      </c>
      <c r="I773">
        <f ca="1"/>
        <v>-0.45326717760212631</v>
      </c>
      <c r="J773">
        <f ca="1"/>
        <v>2.3524300131423033</v>
      </c>
      <c r="K773">
        <f ca="1"/>
        <v>0</v>
      </c>
      <c r="L773">
        <f ca="1"/>
        <v>0</v>
      </c>
    </row>
    <row r="774" spans="2:12">
      <c r="B774">
        <v>0.15280000000000002</v>
      </c>
      <c r="C774">
        <f ca="1"/>
        <v>2.4654734974420667E-2</v>
      </c>
      <c r="D774">
        <f ca="1"/>
        <v>1</v>
      </c>
      <c r="E774">
        <f ca="1"/>
        <v>100.18767058070557</v>
      </c>
      <c r="F774">
        <f ca="1"/>
        <v>2.2356191995744972</v>
      </c>
      <c r="G774">
        <f ca="1"/>
        <v>-2.2314314591969753E-2</v>
      </c>
      <c r="H774">
        <f ca="1"/>
        <v>50.159307136853329</v>
      </c>
      <c r="I774">
        <f ca="1"/>
        <v>-0.47558149219409607</v>
      </c>
      <c r="J774">
        <f ca="1"/>
        <v>2.5119052626308331</v>
      </c>
      <c r="K774">
        <f ca="1"/>
        <v>0</v>
      </c>
      <c r="L774">
        <f ca="1"/>
        <v>0</v>
      </c>
    </row>
    <row r="775" spans="2:12">
      <c r="B775">
        <v>0.153</v>
      </c>
      <c r="C775">
        <f ca="1"/>
        <v>4.6405537842826382E-2</v>
      </c>
      <c r="D775">
        <f ca="1"/>
        <v>1</v>
      </c>
      <c r="E775">
        <f ca="1"/>
        <v>100.62404988491471</v>
      </c>
      <c r="F775">
        <f ca="1"/>
        <v>-2.7874098898266126</v>
      </c>
      <c r="G775">
        <f ca="1"/>
        <v>2.7701229408025385E-2</v>
      </c>
      <c r="H775">
        <f ca="1"/>
        <v>47.371897247026716</v>
      </c>
      <c r="I775">
        <f ca="1"/>
        <v>-0.44788026278607068</v>
      </c>
      <c r="J775">
        <f ca="1"/>
        <v>2.304371341972427</v>
      </c>
      <c r="K775">
        <f ca="1"/>
        <v>0</v>
      </c>
      <c r="L775">
        <f ca="1"/>
        <v>0</v>
      </c>
    </row>
    <row r="776" spans="2:12">
      <c r="B776">
        <v>0.1532</v>
      </c>
      <c r="C776">
        <f ca="1"/>
        <v>3.3927563841265787E-2</v>
      </c>
      <c r="D776">
        <f ca="1"/>
        <v>1</v>
      </c>
      <c r="E776">
        <f ca="1"/>
        <v>100.37284461951728</v>
      </c>
      <c r="F776">
        <f ca="1"/>
        <v>1.5957220640034506</v>
      </c>
      <c r="G776">
        <f ca="1"/>
        <v>-1.5897946003745778E-2</v>
      </c>
      <c r="H776">
        <f ca="1"/>
        <v>48.96761931103017</v>
      </c>
      <c r="I776">
        <f ca="1"/>
        <v>-0.46377820878981646</v>
      </c>
      <c r="J776">
        <f ca="1"/>
        <v>2.416881222251881</v>
      </c>
      <c r="K776">
        <f ca="1"/>
        <v>0</v>
      </c>
      <c r="L776">
        <f ca="1"/>
        <v>0</v>
      </c>
    </row>
    <row r="777" spans="2:12">
      <c r="B777">
        <v>0.15340000000000001</v>
      </c>
      <c r="C777">
        <f ca="1"/>
        <v>2.4909877383114142E-2</v>
      </c>
      <c r="D777">
        <f ca="1"/>
        <v>1</v>
      </c>
      <c r="E777">
        <f ca="1"/>
        <v>100.19158082968231</v>
      </c>
      <c r="F777">
        <f ca="1"/>
        <v>1.1576662099419688</v>
      </c>
      <c r="G777">
        <f ca="1"/>
        <v>-1.1554525842943919E-2</v>
      </c>
      <c r="H777">
        <f ca="1"/>
        <v>50.125285520972142</v>
      </c>
      <c r="I777">
        <f ca="1"/>
        <v>-0.47533273463276038</v>
      </c>
      <c r="J777">
        <f ca="1"/>
        <v>2.5009474180199973</v>
      </c>
      <c r="K777">
        <f ca="1"/>
        <v>0</v>
      </c>
      <c r="L777">
        <f ca="1"/>
        <v>0</v>
      </c>
    </row>
    <row r="778" spans="2:12">
      <c r="B778">
        <v>0.15360000000000001</v>
      </c>
      <c r="C778">
        <f ca="1"/>
        <v>3.1137492958245652E-2</v>
      </c>
      <c r="D778">
        <f ca="1"/>
        <v>1</v>
      </c>
      <c r="E778">
        <f ca="1"/>
        <v>100.31604824181038</v>
      </c>
      <c r="F778">
        <f ca="1"/>
        <v>-0.79805389195676568</v>
      </c>
      <c r="G778">
        <f ca="1"/>
        <v>7.9553960302848892E-3</v>
      </c>
      <c r="H778">
        <f ca="1"/>
        <v>49.327231629015373</v>
      </c>
      <c r="I778">
        <f ca="1"/>
        <v>-0.46737733860247549</v>
      </c>
      <c r="J778">
        <f ca="1"/>
        <v>2.4417839826404943</v>
      </c>
      <c r="K778">
        <f ca="1"/>
        <v>0</v>
      </c>
      <c r="L778">
        <f ca="1"/>
        <v>0</v>
      </c>
    </row>
    <row r="779" spans="2:12">
      <c r="B779">
        <v>0.15380000000000002</v>
      </c>
      <c r="C779">
        <f ca="1"/>
        <v>1.5830787897912563E-2</v>
      </c>
      <c r="D779">
        <f ca="1"/>
        <v>1</v>
      </c>
      <c r="E779">
        <f ca="1"/>
        <v>100.00901616438993</v>
      </c>
      <c r="F779">
        <f ca="1"/>
        <v>1.967324503442482</v>
      </c>
      <c r="G779">
        <f ca="1"/>
        <v>-1.9671471422223474E-2</v>
      </c>
      <c r="H779">
        <f ca="1"/>
        <v>51.294556132457856</v>
      </c>
      <c r="I779">
        <f ca="1"/>
        <v>-0.48704881002469896</v>
      </c>
      <c r="J779">
        <f ca="1"/>
        <v>2.5852838178508577</v>
      </c>
      <c r="K779">
        <f ca="1"/>
        <v>0</v>
      </c>
      <c r="L779">
        <f ca="1"/>
        <v>0</v>
      </c>
    </row>
    <row r="780" spans="2:12">
      <c r="B780">
        <v>0.154</v>
      </c>
      <c r="C780">
        <f ca="1"/>
        <v>1.1201435891306497E-2</v>
      </c>
      <c r="D780">
        <f ca="1"/>
        <v>1</v>
      </c>
      <c r="E780">
        <f ca="1"/>
        <v>99.916063963841083</v>
      </c>
      <c r="F780">
        <f ca="1"/>
        <v>0.59917243293905187</v>
      </c>
      <c r="G780">
        <f ca="1"/>
        <v>-5.9967577701608432E-3</v>
      </c>
      <c r="H780">
        <f ca="1"/>
        <v>51.893728565396906</v>
      </c>
      <c r="I780">
        <f ca="1"/>
        <v>-0.49304556779485981</v>
      </c>
      <c r="J780">
        <f ca="1"/>
        <v>2.630556076517351</v>
      </c>
      <c r="K780">
        <f ca="1"/>
        <v>0</v>
      </c>
      <c r="L780">
        <f ca="1"/>
        <v>8.3936036158917204E-2</v>
      </c>
    </row>
    <row r="781" spans="2:12">
      <c r="B781">
        <v>0.1542</v>
      </c>
      <c r="C781">
        <f ca="1"/>
        <v>-1.8519938792767743E-3</v>
      </c>
      <c r="D781">
        <f ca="1"/>
        <v>1</v>
      </c>
      <c r="E781">
        <f ca="1"/>
        <v>99.655156079537576</v>
      </c>
      <c r="F781">
        <f ca="1"/>
        <v>1.680963969680783</v>
      </c>
      <c r="G781">
        <f ca="1"/>
        <v>-1.6867807304813798E-2</v>
      </c>
      <c r="H781">
        <f ca="1"/>
        <v>53.574692535077688</v>
      </c>
      <c r="I781">
        <f ca="1"/>
        <v>-0.5099133750996736</v>
      </c>
      <c r="J781">
        <f ca="1"/>
        <v>2.7591955524759229</v>
      </c>
      <c r="K781">
        <f ca="1"/>
        <v>0</v>
      </c>
      <c r="L781">
        <f ca="1"/>
        <v>0.34484392046242363</v>
      </c>
    </row>
    <row r="782" spans="2:12">
      <c r="B782">
        <v>0.15440000000000001</v>
      </c>
      <c r="C782">
        <f ca="1"/>
        <v>-4.4940595949853916E-4</v>
      </c>
      <c r="D782">
        <f ca="1"/>
        <v>1</v>
      </c>
      <c r="E782">
        <f ca="1"/>
        <v>99.682716292791596</v>
      </c>
      <c r="F782">
        <f ca="1"/>
        <v>-0.17417491565831308</v>
      </c>
      <c r="G782">
        <f ca="1"/>
        <v>1.7472930326930536E-3</v>
      </c>
      <c r="H782">
        <f ca="1"/>
        <v>53.400517619419375</v>
      </c>
      <c r="I782">
        <f ca="1"/>
        <v>-0.50816608206698055</v>
      </c>
      <c r="J782">
        <f ca="1"/>
        <v>2.7451422311171001</v>
      </c>
      <c r="K782">
        <f ca="1"/>
        <v>0</v>
      </c>
      <c r="L782">
        <f ca="1"/>
        <v>0.3172837072084036</v>
      </c>
    </row>
    <row r="783" spans="2:12">
      <c r="B783">
        <v>0.15460000000000002</v>
      </c>
      <c r="C783">
        <f ca="1"/>
        <v>8.6132448414246686E-3</v>
      </c>
      <c r="D783">
        <f ca="1"/>
        <v>1</v>
      </c>
      <c r="E783">
        <f ca="1"/>
        <v>99.863158610160525</v>
      </c>
      <c r="F783">
        <f ca="1"/>
        <v>-1.1628761072896059</v>
      </c>
      <c r="G783">
        <f ca="1"/>
        <v>1.1644695836521335E-2</v>
      </c>
      <c r="H783">
        <f ca="1"/>
        <v>52.23764151212977</v>
      </c>
      <c r="I783">
        <f ca="1"/>
        <v>-0.49652138623045922</v>
      </c>
      <c r="J783">
        <f ca="1"/>
        <v>2.6534475656606489</v>
      </c>
      <c r="K783">
        <f ca="1"/>
        <v>0</v>
      </c>
      <c r="L783">
        <f ca="1"/>
        <v>0.13684138983947491</v>
      </c>
    </row>
    <row r="784" spans="2:12">
      <c r="B784">
        <v>0.15480000000000002</v>
      </c>
      <c r="C784">
        <f ca="1"/>
        <v>1.8602238843639686E-4</v>
      </c>
      <c r="D784">
        <f ca="1"/>
        <v>1</v>
      </c>
      <c r="E784">
        <f ca="1"/>
        <v>99.694587782655702</v>
      </c>
      <c r="F784">
        <f ca="1"/>
        <v>1.091038817895573</v>
      </c>
      <c r="G784">
        <f ca="1"/>
        <v>-1.0943811917595248E-2</v>
      </c>
      <c r="H784">
        <f ca="1"/>
        <v>53.328680330025342</v>
      </c>
      <c r="I784">
        <f ca="1"/>
        <v>-0.50746519814805446</v>
      </c>
      <c r="J784">
        <f ca="1"/>
        <v>2.7371465866113596</v>
      </c>
      <c r="K784">
        <f ca="1"/>
        <v>0</v>
      </c>
      <c r="L784">
        <f ca="1"/>
        <v>0.30541221734429769</v>
      </c>
    </row>
    <row r="785" spans="2:12">
      <c r="B785">
        <v>0.155</v>
      </c>
      <c r="C785">
        <f ca="1"/>
        <v>6.2650324518451136E-3</v>
      </c>
      <c r="D785">
        <f ca="1"/>
        <v>1</v>
      </c>
      <c r="E785">
        <f ca="1"/>
        <v>99.81547111332317</v>
      </c>
      <c r="F785">
        <f ca="1"/>
        <v>-0.7793831664405233</v>
      </c>
      <c r="G785">
        <f ca="1"/>
        <v>7.808240122973209E-3</v>
      </c>
      <c r="H785">
        <f ca="1"/>
        <v>52.549297163584818</v>
      </c>
      <c r="I785">
        <f ca="1"/>
        <v>-0.49965695802508125</v>
      </c>
      <c r="J785">
        <f ca="1"/>
        <v>2.6758025032613943</v>
      </c>
      <c r="K785">
        <f ca="1"/>
        <v>0</v>
      </c>
      <c r="L785">
        <f ca="1"/>
        <v>0.18452888667682998</v>
      </c>
    </row>
    <row r="786" spans="2:12">
      <c r="B786">
        <v>0.1552</v>
      </c>
      <c r="C786">
        <f ca="1"/>
        <v>2.2139387261771074E-2</v>
      </c>
      <c r="D786">
        <f ca="1"/>
        <v>1</v>
      </c>
      <c r="E786">
        <f ca="1"/>
        <v>100.13247541649525</v>
      </c>
      <c r="F786">
        <f ca="1"/>
        <v>-2.0534668997237366</v>
      </c>
      <c r="G786">
        <f ca="1"/>
        <v>2.0507501599081213E-2</v>
      </c>
      <c r="H786">
        <f ca="1"/>
        <v>50.49583026386108</v>
      </c>
      <c r="I786">
        <f ca="1"/>
        <v>-0.47914945642600004</v>
      </c>
      <c r="J786">
        <f ca="1"/>
        <v>2.5174090974575662</v>
      </c>
      <c r="K786">
        <f ca="1"/>
        <v>0</v>
      </c>
      <c r="L786">
        <f ca="1"/>
        <v>0</v>
      </c>
    </row>
    <row r="787" spans="2:12">
      <c r="B787">
        <v>0.15540000000000001</v>
      </c>
      <c r="C787">
        <f ca="1"/>
        <v>2.2266310167703571E-2</v>
      </c>
      <c r="D787">
        <f ca="1"/>
        <v>1</v>
      </c>
      <c r="E787">
        <f ca="1"/>
        <v>100.13461673044068</v>
      </c>
      <c r="F787">
        <f ca="1"/>
        <v>-1.3478039199219609E-2</v>
      </c>
      <c r="G787">
        <f ca="1"/>
        <v>1.345991989513684E-4</v>
      </c>
      <c r="H787">
        <f ca="1"/>
        <v>50.482352224661859</v>
      </c>
      <c r="I787">
        <f ca="1"/>
        <v>-0.47901485722704867</v>
      </c>
      <c r="J787">
        <f ca="1"/>
        <v>2.5163830880445772</v>
      </c>
      <c r="K787">
        <f ca="1"/>
        <v>0</v>
      </c>
      <c r="L787">
        <f ca="1"/>
        <v>0</v>
      </c>
    </row>
    <row r="788" spans="2:12">
      <c r="B788">
        <v>0.15560000000000002</v>
      </c>
      <c r="C788">
        <f ca="1"/>
        <v>3.075115863011825E-2</v>
      </c>
      <c r="D788">
        <f ca="1"/>
        <v>1</v>
      </c>
      <c r="E788">
        <f ca="1"/>
        <v>100.30428518298314</v>
      </c>
      <c r="F788">
        <f ca="1"/>
        <v>-1.0996233504889648</v>
      </c>
      <c r="G788">
        <f ca="1"/>
        <v>1.0962875100330394E-2</v>
      </c>
      <c r="H788">
        <f ca="1"/>
        <v>49.382728874172898</v>
      </c>
      <c r="I788">
        <f ca="1"/>
        <v>-0.46805198212671828</v>
      </c>
      <c r="J788">
        <f ca="1"/>
        <v>2.4351093784740243</v>
      </c>
      <c r="K788">
        <f ca="1"/>
        <v>0</v>
      </c>
      <c r="L788">
        <f ca="1"/>
        <v>0</v>
      </c>
    </row>
    <row r="789" spans="2:12">
      <c r="B789">
        <v>0.15579999999999999</v>
      </c>
      <c r="C789">
        <f ca="1"/>
        <v>1.0884190629930717E-2</v>
      </c>
      <c r="D789">
        <f ca="1"/>
        <v>1</v>
      </c>
      <c r="E789">
        <f ca="1"/>
        <v>99.906127900047053</v>
      </c>
      <c r="F789">
        <f ca="1"/>
        <v>2.5783416911313219</v>
      </c>
      <c r="G789">
        <f ca="1"/>
        <v>-2.5807643087828125E-2</v>
      </c>
      <c r="H789">
        <f ca="1"/>
        <v>51.961070565304219</v>
      </c>
      <c r="I789">
        <f ca="1"/>
        <v>-0.4938596252145464</v>
      </c>
      <c r="J789">
        <f ca="1"/>
        <v>2.6214676839504421</v>
      </c>
      <c r="K789">
        <f ca="1"/>
        <v>0</v>
      </c>
      <c r="L789">
        <f ca="1"/>
        <v>9.3872099952946542E-2</v>
      </c>
    </row>
    <row r="790" spans="2:12">
      <c r="B790">
        <v>0.156</v>
      </c>
      <c r="C790">
        <f ca="1"/>
        <v>-4.8272629109338203E-3</v>
      </c>
      <c r="D790">
        <f ca="1"/>
        <v>1</v>
      </c>
      <c r="E790">
        <f ca="1"/>
        <v>99.592288152581659</v>
      </c>
      <c r="F790">
        <f ca="1"/>
        <v>2.0402501157864155</v>
      </c>
      <c r="G790">
        <f ca="1"/>
        <v>-2.0486025109299866E-2</v>
      </c>
      <c r="H790">
        <f ca="1"/>
        <v>54.001320681090633</v>
      </c>
      <c r="I790">
        <f ca="1"/>
        <v>-0.51434565032384627</v>
      </c>
      <c r="J790">
        <f ca="1"/>
        <v>2.7764604640111301</v>
      </c>
      <c r="K790">
        <f ca="1"/>
        <v>0</v>
      </c>
      <c r="L790">
        <f ca="1"/>
        <v>0.40771184741834077</v>
      </c>
    </row>
    <row r="791" spans="2:12">
      <c r="B791">
        <v>0.15620000000000001</v>
      </c>
      <c r="C791">
        <f ca="1"/>
        <v>-2.9194552512691548E-2</v>
      </c>
      <c r="D791">
        <f ca="1"/>
        <v>1</v>
      </c>
      <c r="E791">
        <f ca="1"/>
        <v>99.107713664415783</v>
      </c>
      <c r="F791">
        <f ca="1"/>
        <v>3.1425440937930227</v>
      </c>
      <c r="G791">
        <f ca="1"/>
        <v>-3.1708370394194052E-2</v>
      </c>
      <c r="H791">
        <f ca="1"/>
        <v>57.143864774883653</v>
      </c>
      <c r="I791">
        <f ca="1"/>
        <v>-0.54605402071804032</v>
      </c>
      <c r="J791">
        <f ca="1"/>
        <v>3.0256992442571473</v>
      </c>
      <c r="K791">
        <f ca="1"/>
        <v>0</v>
      </c>
      <c r="L791">
        <f ca="1"/>
        <v>0.89228633558421677</v>
      </c>
    </row>
    <row r="792" spans="2:12">
      <c r="B792">
        <v>0.15640000000000001</v>
      </c>
      <c r="C792">
        <f ca="1"/>
        <v>-2.990473230383411E-2</v>
      </c>
      <c r="D792">
        <f ca="1"/>
        <v>1</v>
      </c>
      <c r="E792">
        <f ca="1"/>
        <v>99.093241431241907</v>
      </c>
      <c r="F792">
        <f ca="1"/>
        <v>0.10112478428314486</v>
      </c>
      <c r="G792">
        <f ca="1"/>
        <v>-1.0205013260496942E-3</v>
      </c>
      <c r="H792">
        <f ca="1"/>
        <v>57.244989559166797</v>
      </c>
      <c r="I792">
        <f ca="1"/>
        <v>-0.54707452204409002</v>
      </c>
      <c r="J792">
        <f ca="1"/>
        <v>3.0336018653705139</v>
      </c>
      <c r="K792">
        <f ca="1"/>
        <v>0</v>
      </c>
      <c r="L792">
        <f ca="1"/>
        <v>0.90675856875809302</v>
      </c>
    </row>
    <row r="793" spans="2:12">
      <c r="B793">
        <v>0.15660000000000002</v>
      </c>
      <c r="C793">
        <f ca="1"/>
        <v>-4.2461028182022971E-2</v>
      </c>
      <c r="D793">
        <f ca="1"/>
        <v>1</v>
      </c>
      <c r="E793">
        <f ca="1"/>
        <v>98.844309441962963</v>
      </c>
      <c r="F793">
        <f ca="1"/>
        <v>1.6145079614957296</v>
      </c>
      <c r="G793">
        <f ca="1"/>
        <v>-1.6333848358197067E-2</v>
      </c>
      <c r="H793">
        <f ca="1"/>
        <v>58.859497520662529</v>
      </c>
      <c r="I793">
        <f ca="1"/>
        <v>-0.56340837040228708</v>
      </c>
      <c r="J793">
        <f ca="1"/>
        <v>3.1697862144267788</v>
      </c>
      <c r="K793">
        <f ca="1"/>
        <v>0</v>
      </c>
      <c r="L793">
        <f ca="1"/>
        <v>1.1556905580370369</v>
      </c>
    </row>
    <row r="794" spans="2:12">
      <c r="B794">
        <v>0.15679999999999999</v>
      </c>
      <c r="C794">
        <f ca="1"/>
        <v>-4.5710340182491906E-2</v>
      </c>
      <c r="D794">
        <f ca="1"/>
        <v>1</v>
      </c>
      <c r="E794">
        <f ca="1"/>
        <v>98.779699989703289</v>
      </c>
      <c r="F794">
        <f ca="1"/>
        <v>0.42550021739981753</v>
      </c>
      <c r="G794">
        <f ca="1"/>
        <v>-4.3075674196638714E-3</v>
      </c>
      <c r="H794">
        <f ca="1"/>
        <v>59.284997738062344</v>
      </c>
      <c r="I794">
        <f ca="1"/>
        <v>-0.56771593782195096</v>
      </c>
      <c r="J794">
        <f ca="1"/>
        <v>3.2061877206369829</v>
      </c>
      <c r="K794">
        <f ca="1"/>
        <v>0</v>
      </c>
      <c r="L794">
        <f ca="1"/>
        <v>1.220300010296711</v>
      </c>
    </row>
    <row r="795" spans="2:12">
      <c r="B795">
        <v>0.157</v>
      </c>
      <c r="C795">
        <f ca="1"/>
        <v>-4.4019537885039747E-2</v>
      </c>
      <c r="D795">
        <f ca="1"/>
        <v>1</v>
      </c>
      <c r="E795">
        <f ca="1"/>
        <v>98.812713775283854</v>
      </c>
      <c r="F795">
        <f ca="1"/>
        <v>-0.20327794388564741</v>
      </c>
      <c r="G795">
        <f ca="1"/>
        <v>2.0572043426307918E-3</v>
      </c>
      <c r="H795">
        <f ca="1"/>
        <v>59.081719794176699</v>
      </c>
      <c r="I795">
        <f ca="1"/>
        <v>-0.56565873347932016</v>
      </c>
      <c r="J795">
        <f ca="1"/>
        <v>3.1874452683950594</v>
      </c>
      <c r="K795">
        <f ca="1"/>
        <v>0</v>
      </c>
      <c r="L795">
        <f ca="1"/>
        <v>1.1872862247161464</v>
      </c>
    </row>
    <row r="796" spans="2:12">
      <c r="B796">
        <v>0.15720000000000001</v>
      </c>
      <c r="C796">
        <f ca="1"/>
        <v>-6.0880125854122245E-2</v>
      </c>
      <c r="D796">
        <f ca="1"/>
        <v>1</v>
      </c>
      <c r="E796">
        <f ca="1"/>
        <v>98.479672942659548</v>
      </c>
      <c r="F796">
        <f ca="1"/>
        <v>2.1459530132356752</v>
      </c>
      <c r="G796">
        <f ca="1"/>
        <v>-2.1790821893622359E-2</v>
      </c>
      <c r="H796">
        <f ca="1"/>
        <v>61.227672807412375</v>
      </c>
      <c r="I796">
        <f ca="1"/>
        <v>-0.58744955537294252</v>
      </c>
      <c r="J796">
        <f ca="1"/>
        <v>3.3758327239742272</v>
      </c>
      <c r="K796">
        <f ca="1"/>
        <v>0</v>
      </c>
      <c r="L796">
        <f ca="1"/>
        <v>1.5203270573404524</v>
      </c>
    </row>
    <row r="797" spans="2:12">
      <c r="B797">
        <v>0.15740000000000001</v>
      </c>
      <c r="C797">
        <f ca="1"/>
        <v>-9.3824119900871888E-2</v>
      </c>
      <c r="D797">
        <f ca="1"/>
        <v>1</v>
      </c>
      <c r="E797">
        <f ca="1"/>
        <v>97.832551785858897</v>
      </c>
      <c r="F797">
        <f ca="1"/>
        <v>4.0802837417922122</v>
      </c>
      <c r="G797">
        <f ca="1"/>
        <v>-4.1706810946967376E-2</v>
      </c>
      <c r="H797">
        <f ca="1"/>
        <v>65.30795654920459</v>
      </c>
      <c r="I797">
        <f ca="1"/>
        <v>-0.6291563663199099</v>
      </c>
      <c r="J797">
        <f ca="1"/>
        <v>3.7559837598091974</v>
      </c>
      <c r="K797">
        <f ca="1"/>
        <v>0</v>
      </c>
      <c r="L797">
        <f ca="1"/>
        <v>2.1674482141411033</v>
      </c>
    </row>
    <row r="798" spans="2:12">
      <c r="B798">
        <v>0.15760000000000002</v>
      </c>
      <c r="C798">
        <f ca="1"/>
        <v>-9.495927043997017E-2</v>
      </c>
      <c r="D798">
        <f ca="1"/>
        <v>1</v>
      </c>
      <c r="E798">
        <f ca="1"/>
        <v>97.809952131572345</v>
      </c>
      <c r="F798">
        <f ca="1"/>
        <v>0.15594318837900759</v>
      </c>
      <c r="G798">
        <f ca="1"/>
        <v>-1.5943488876186684E-3</v>
      </c>
      <c r="H798">
        <f ca="1"/>
        <v>65.463899737583603</v>
      </c>
      <c r="I798">
        <f ca="1"/>
        <v>-0.63075071520752857</v>
      </c>
      <c r="J798">
        <f ca="1"/>
        <v>3.7702024761802093</v>
      </c>
      <c r="K798">
        <f ca="1"/>
        <v>0</v>
      </c>
      <c r="L798">
        <f ca="1"/>
        <v>2.190047868427655</v>
      </c>
    </row>
    <row r="799" spans="2:12">
      <c r="B799">
        <v>0.1578</v>
      </c>
      <c r="C799">
        <f ca="1"/>
        <v>-6.7604325322619646E-2</v>
      </c>
      <c r="D799">
        <f ca="1"/>
        <v>1</v>
      </c>
      <c r="E799">
        <f ca="1"/>
        <v>98.346142403959419</v>
      </c>
      <c r="F799">
        <f ca="1"/>
        <v>-3.3703619147617423</v>
      </c>
      <c r="G799">
        <f ca="1"/>
        <v>3.4270402807645373E-2</v>
      </c>
      <c r="H799">
        <f ca="1"/>
        <v>62.093537822821858</v>
      </c>
      <c r="I799">
        <f ca="1"/>
        <v>-0.59648031239988319</v>
      </c>
      <c r="J799">
        <f ca="1"/>
        <v>3.4320000783847462</v>
      </c>
      <c r="K799">
        <f ca="1"/>
        <v>0</v>
      </c>
      <c r="L799">
        <f ca="1"/>
        <v>1.6538575960405808</v>
      </c>
    </row>
    <row r="800" spans="2:12">
      <c r="B800">
        <v>0.158</v>
      </c>
      <c r="C800">
        <f ca="1"/>
        <v>-7.1273647296530601E-2</v>
      </c>
      <c r="D800">
        <f ca="1"/>
        <v>1</v>
      </c>
      <c r="E800">
        <f ca="1"/>
        <v>98.273603052508804</v>
      </c>
      <c r="F800">
        <f ca="1"/>
        <v>0.47472456739184377</v>
      </c>
      <c r="G800">
        <f ca="1"/>
        <v>-4.8306417252066414E-3</v>
      </c>
      <c r="H800">
        <f ca="1"/>
        <v>62.568262390213704</v>
      </c>
      <c r="I800">
        <f ca="1"/>
        <v>-0.60131095412508984</v>
      </c>
      <c r="J800">
        <f ca="1"/>
        <v>3.4752683733992953</v>
      </c>
      <c r="K800">
        <f ca="1"/>
        <v>0</v>
      </c>
      <c r="L800">
        <f ca="1"/>
        <v>1.726396947491196</v>
      </c>
    </row>
    <row r="801" spans="2:12">
      <c r="B801">
        <v>0.15820000000000001</v>
      </c>
      <c r="C801">
        <f ca="1"/>
        <v>-5.5674348670634914E-2</v>
      </c>
      <c r="D801">
        <f ca="1"/>
        <v>1</v>
      </c>
      <c r="E801">
        <f ca="1"/>
        <v>98.580287358825132</v>
      </c>
      <c r="F801">
        <f ca="1"/>
        <v>-1.9554467973581009</v>
      </c>
      <c r="G801">
        <f ca="1"/>
        <v>1.9836083356507328E-2</v>
      </c>
      <c r="H801">
        <f ca="1"/>
        <v>60.612815592855604</v>
      </c>
      <c r="I801">
        <f ca="1"/>
        <v>-0.58147487076858251</v>
      </c>
      <c r="J801">
        <f ca="1"/>
        <v>3.2908557405530345</v>
      </c>
      <c r="K801">
        <f ca="1"/>
        <v>0</v>
      </c>
      <c r="L801">
        <f ca="1"/>
        <v>1.4197126411748684</v>
      </c>
    </row>
    <row r="802" spans="2:12">
      <c r="B802">
        <v>0.15840000000000001</v>
      </c>
      <c r="C802">
        <f ca="1"/>
        <v>-7.7714125993692859E-2</v>
      </c>
      <c r="D802">
        <f ca="1"/>
        <v>1</v>
      </c>
      <c r="E802">
        <f ca="1"/>
        <v>98.146313561796163</v>
      </c>
      <c r="F802">
        <f ca="1"/>
        <v>2.7818237278270215</v>
      </c>
      <c r="G802">
        <f ca="1"/>
        <v>-2.8343639479393112E-2</v>
      </c>
      <c r="H802">
        <f ca="1"/>
        <v>63.394639320682629</v>
      </c>
      <c r="I802">
        <f ca="1"/>
        <v>-0.60981851024797562</v>
      </c>
      <c r="J802">
        <f ca="1"/>
        <v>3.5432005980974068</v>
      </c>
      <c r="K802">
        <f ca="1"/>
        <v>0</v>
      </c>
      <c r="L802">
        <f ca="1"/>
        <v>1.8536864382038374</v>
      </c>
    </row>
    <row r="803" spans="2:12">
      <c r="B803">
        <v>0.15860000000000002</v>
      </c>
      <c r="C803">
        <f ca="1"/>
        <v>-0.11916078762368358</v>
      </c>
      <c r="D803">
        <f ca="1"/>
        <v>1</v>
      </c>
      <c r="E803">
        <f ca="1"/>
        <v>97.335719475930972</v>
      </c>
      <c r="F803">
        <f ca="1"/>
        <v>5.0239130007913673</v>
      </c>
      <c r="G803">
        <f ca="1"/>
        <v>-5.1614279196176005E-2</v>
      </c>
      <c r="H803">
        <f ca="1"/>
        <v>68.418552321473996</v>
      </c>
      <c r="I803">
        <f ca="1"/>
        <v>-0.66143278944415163</v>
      </c>
      <c r="J803">
        <f ca="1"/>
        <v>4.0375158759555347</v>
      </c>
      <c r="K803">
        <f ca="1"/>
        <v>0</v>
      </c>
      <c r="L803">
        <f ca="1"/>
        <v>2.6642805240690279</v>
      </c>
    </row>
    <row r="804" spans="2:12">
      <c r="B804">
        <v>0.1588</v>
      </c>
      <c r="C804">
        <f ca="1"/>
        <v>-0.11404064240870433</v>
      </c>
      <c r="D804">
        <f ca="1"/>
        <v>1</v>
      </c>
      <c r="E804">
        <f ca="1"/>
        <v>97.435055390863525</v>
      </c>
      <c r="F804">
        <f ca="1"/>
        <v>-0.58529569478214549</v>
      </c>
      <c r="G804">
        <f ca="1"/>
        <v>6.0070340436941816E-3</v>
      </c>
      <c r="H804">
        <f ca="1"/>
        <v>67.833256626691849</v>
      </c>
      <c r="I804">
        <f ca="1"/>
        <v>-0.65542575540045744</v>
      </c>
      <c r="J804">
        <f ca="1"/>
        <v>3.9718118446497073</v>
      </c>
      <c r="K804">
        <f ca="1"/>
        <v>0</v>
      </c>
      <c r="L804">
        <f ca="1"/>
        <v>2.5649446091364752</v>
      </c>
    </row>
    <row r="805" spans="2:12">
      <c r="B805">
        <v>0.159</v>
      </c>
      <c r="C805">
        <f ca="1"/>
        <v>-0.11847355171615659</v>
      </c>
      <c r="D805">
        <f ca="1"/>
        <v>1</v>
      </c>
      <c r="E805">
        <f ca="1"/>
        <v>97.348320126018649</v>
      </c>
      <c r="F805">
        <f ca="1"/>
        <v>0.54563362883405364</v>
      </c>
      <c r="G805">
        <f ca="1"/>
        <v>-5.6049619359401781E-3</v>
      </c>
      <c r="H805">
        <f ca="1"/>
        <v>68.378890255525903</v>
      </c>
      <c r="I805">
        <f ca="1"/>
        <v>-0.66103071733639762</v>
      </c>
      <c r="J805">
        <f ca="1"/>
        <v>4.0286603711305276</v>
      </c>
      <c r="K805">
        <f ca="1"/>
        <v>0</v>
      </c>
      <c r="L805">
        <f ca="1"/>
        <v>2.651679873981351</v>
      </c>
    </row>
    <row r="806" spans="2:12">
      <c r="B806">
        <v>0.15920000000000001</v>
      </c>
      <c r="C806">
        <f ca="1"/>
        <v>-8.9927245267044487E-2</v>
      </c>
      <c r="D806">
        <f ca="1"/>
        <v>1</v>
      </c>
      <c r="E806">
        <f ca="1"/>
        <v>97.905305090018729</v>
      </c>
      <c r="F806">
        <f ca="1"/>
        <v>-3.4350442519485056</v>
      </c>
      <c r="G806">
        <f ca="1"/>
        <v>3.5085374064154795E-2</v>
      </c>
      <c r="H806">
        <f ca="1"/>
        <v>64.943846003577391</v>
      </c>
      <c r="I806">
        <f ca="1"/>
        <v>-0.62594534327224283</v>
      </c>
      <c r="J806">
        <f ca="1"/>
        <v>3.6604762008319582</v>
      </c>
      <c r="K806">
        <f ca="1"/>
        <v>0</v>
      </c>
      <c r="L806">
        <f ca="1"/>
        <v>2.0946949099812713</v>
      </c>
    </row>
    <row r="807" spans="2:12">
      <c r="B807">
        <v>0.15940000000000001</v>
      </c>
      <c r="C807">
        <f ca="1"/>
        <v>-9.5585760087416954E-2</v>
      </c>
      <c r="D807">
        <f ca="1"/>
        <v>1</v>
      </c>
      <c r="E807">
        <f ca="1"/>
        <v>97.794176861103495</v>
      </c>
      <c r="F807">
        <f ca="1"/>
        <v>0.71237277870662996</v>
      </c>
      <c r="G807">
        <f ca="1"/>
        <v>-7.2844089655604849E-3</v>
      </c>
      <c r="H807">
        <f ca="1"/>
        <v>65.656218782284014</v>
      </c>
      <c r="I807">
        <f ca="1"/>
        <v>-0.63322975223780331</v>
      </c>
      <c r="J807">
        <f ca="1"/>
        <v>3.7300363982275329</v>
      </c>
      <c r="K807">
        <f ca="1"/>
        <v>0</v>
      </c>
      <c r="L807">
        <f ca="1"/>
        <v>2.2058231388965055</v>
      </c>
    </row>
    <row r="808" spans="2:12">
      <c r="B808">
        <v>0.15960000000000002</v>
      </c>
      <c r="C808">
        <f ca="1"/>
        <v>-0.10850726506206095</v>
      </c>
      <c r="D808">
        <f ca="1"/>
        <v>1</v>
      </c>
      <c r="E808">
        <f ca="1"/>
        <v>97.541383389760654</v>
      </c>
      <c r="F808">
        <f ca="1"/>
        <v>1.5846530042681166</v>
      </c>
      <c r="G808">
        <f ca="1"/>
        <v>-1.6245955810736068E-2</v>
      </c>
      <c r="H808">
        <f ca="1"/>
        <v>67.240871786552134</v>
      </c>
      <c r="I808">
        <f ca="1"/>
        <v>-0.64947570804853938</v>
      </c>
      <c r="J808">
        <f ca="1"/>
        <v>3.890112745453294</v>
      </c>
      <c r="K808">
        <f ca="1"/>
        <v>0</v>
      </c>
      <c r="L808">
        <f ca="1"/>
        <v>2.4586166102393463</v>
      </c>
    </row>
    <row r="809" spans="2:12">
      <c r="B809">
        <v>0.1598</v>
      </c>
      <c r="C809">
        <f ca="1"/>
        <v>-9.8691291841309634E-2</v>
      </c>
      <c r="D809">
        <f ca="1"/>
        <v>1</v>
      </c>
      <c r="E809">
        <f ca="1"/>
        <v>97.732673271548876</v>
      </c>
      <c r="F809">
        <f ca="1"/>
        <v>-1.1705653785762251</v>
      </c>
      <c r="G809">
        <f ca="1"/>
        <v>1.1977216414860825E-2</v>
      </c>
      <c r="H809">
        <f ca="1"/>
        <v>66.070306407975906</v>
      </c>
      <c r="I809">
        <f ca="1"/>
        <v>-0.63749849163367855</v>
      </c>
      <c r="J809">
        <f ca="1"/>
        <v>3.7658746140363633</v>
      </c>
      <c r="K809">
        <f ca="1"/>
        <v>0</v>
      </c>
      <c r="L809">
        <f ca="1"/>
        <v>2.267326728451124</v>
      </c>
    </row>
    <row r="810" spans="2:12">
      <c r="B810">
        <v>0.16</v>
      </c>
      <c r="C810">
        <f ca="1"/>
        <v>-8.8644377422742143E-2</v>
      </c>
      <c r="D810">
        <f ca="1"/>
        <v>1</v>
      </c>
      <c r="E810">
        <f ca="1"/>
        <v>97.928861352068026</v>
      </c>
      <c r="F810">
        <f ca="1"/>
        <v>-1.217456312315377</v>
      </c>
      <c r="G810">
        <f ca="1"/>
        <v>1.2432048075576518E-2</v>
      </c>
      <c r="H810">
        <f ca="1"/>
        <v>64.852850095660528</v>
      </c>
      <c r="I810">
        <f ca="1"/>
        <v>-0.62506644355810204</v>
      </c>
      <c r="J810">
        <f ca="1"/>
        <v>3.6408050086289023</v>
      </c>
      <c r="K810">
        <f ca="1"/>
        <v>0</v>
      </c>
      <c r="L810">
        <f ca="1"/>
        <v>2.0711386479319742</v>
      </c>
    </row>
    <row r="811" spans="2:12">
      <c r="B811">
        <v>0.16020000000000001</v>
      </c>
      <c r="C811">
        <f ca="1"/>
        <v>-8.937916143860293E-2</v>
      </c>
      <c r="D811">
        <f ca="1"/>
        <v>1</v>
      </c>
      <c r="E811">
        <f ca="1"/>
        <v>97.914079439963189</v>
      </c>
      <c r="F811">
        <f ca="1"/>
        <v>0.10911233688455817</v>
      </c>
      <c r="G811">
        <f ca="1"/>
        <v>-1.1143682043343039E-3</v>
      </c>
      <c r="H811">
        <f ca="1"/>
        <v>64.961962432545093</v>
      </c>
      <c r="I811">
        <f ca="1"/>
        <v>-0.62618081176243634</v>
      </c>
      <c r="J811">
        <f ca="1"/>
        <v>3.6500446858572673</v>
      </c>
      <c r="K811">
        <f ca="1"/>
        <v>0</v>
      </c>
      <c r="L811">
        <f ca="1"/>
        <v>2.0859205600368114</v>
      </c>
    </row>
    <row r="812" spans="2:12">
      <c r="B812">
        <v>0.16040000000000001</v>
      </c>
      <c r="C812">
        <f ca="1"/>
        <v>-9.5362106843786251E-2</v>
      </c>
      <c r="D812">
        <f ca="1"/>
        <v>1</v>
      </c>
      <c r="E812">
        <f ca="1"/>
        <v>97.796595404444858</v>
      </c>
      <c r="F812">
        <f ca="1"/>
        <v>0.75618152069958877</v>
      </c>
      <c r="G812">
        <f ca="1"/>
        <v>-7.7321865610182616E-3</v>
      </c>
      <c r="H812">
        <f ca="1"/>
        <v>65.718143953244677</v>
      </c>
      <c r="I812">
        <f ca="1"/>
        <v>-0.6339129983234546</v>
      </c>
      <c r="J812">
        <f ca="1"/>
        <v>3.7236109345872563</v>
      </c>
      <c r="K812">
        <f ca="1"/>
        <v>0</v>
      </c>
      <c r="L812">
        <f ca="1"/>
        <v>2.203404595555142</v>
      </c>
    </row>
    <row r="813" spans="2:12">
      <c r="B813">
        <v>0.16060000000000002</v>
      </c>
      <c r="C813">
        <f ca="1"/>
        <v>-9.0768669187836493E-2</v>
      </c>
      <c r="D813">
        <f ca="1"/>
        <v>1</v>
      </c>
      <c r="E813">
        <f ca="1"/>
        <v>97.886089654251705</v>
      </c>
      <c r="F813">
        <f ca="1"/>
        <v>-0.54815820861052167</v>
      </c>
      <c r="G813">
        <f ca="1"/>
        <v>5.5999602246519231E-3</v>
      </c>
      <c r="H813">
        <f ca="1"/>
        <v>65.169985744634161</v>
      </c>
      <c r="I813">
        <f ca="1"/>
        <v>-0.62831303809880268</v>
      </c>
      <c r="J813">
        <f ca="1"/>
        <v>3.6668793663594954</v>
      </c>
      <c r="K813">
        <f ca="1"/>
        <v>0</v>
      </c>
      <c r="L813">
        <f ca="1"/>
        <v>2.1139103457482946</v>
      </c>
    </row>
    <row r="814" spans="2:12">
      <c r="B814">
        <v>0.1608</v>
      </c>
      <c r="C814">
        <f ca="1"/>
        <v>-6.7250247050101727E-2</v>
      </c>
      <c r="D814">
        <f ca="1"/>
        <v>1</v>
      </c>
      <c r="E814">
        <f ca="1"/>
        <v>98.347206087609621</v>
      </c>
      <c r="F814">
        <f ca="1"/>
        <v>-2.9442951393896291</v>
      </c>
      <c r="G814">
        <f ca="1"/>
        <v>2.993776088328115E-2</v>
      </c>
      <c r="H814">
        <f ca="1"/>
        <v>62.22569060524453</v>
      </c>
      <c r="I814">
        <f ca="1"/>
        <v>-0.59837527721552153</v>
      </c>
      <c r="J814">
        <f ca="1"/>
        <v>3.3771538991990937</v>
      </c>
      <c r="K814">
        <f ca="1"/>
        <v>0</v>
      </c>
      <c r="L814">
        <f ca="1"/>
        <v>1.6527939123903792</v>
      </c>
    </row>
    <row r="815" spans="2:12">
      <c r="B815">
        <v>0.161</v>
      </c>
      <c r="C815">
        <f ca="1"/>
        <v>-5.1216774648907872E-2</v>
      </c>
      <c r="D815">
        <f ca="1"/>
        <v>1</v>
      </c>
      <c r="E815">
        <f ca="1"/>
        <v>98.662687066624414</v>
      </c>
      <c r="F815">
        <f ca="1"/>
        <v>-2.0475821803345022</v>
      </c>
      <c r="G815">
        <f ca="1"/>
        <v>2.0753359159494833E-2</v>
      </c>
      <c r="H815">
        <f ca="1"/>
        <v>60.178108424910029</v>
      </c>
      <c r="I815">
        <f ca="1"/>
        <v>-0.5776219180560267</v>
      </c>
      <c r="J815">
        <f ca="1"/>
        <v>3.1883778809248966</v>
      </c>
      <c r="K815">
        <f ca="1"/>
        <v>0</v>
      </c>
      <c r="L815">
        <f ca="1"/>
        <v>1.3373129333755855</v>
      </c>
    </row>
    <row r="816" spans="2:12">
      <c r="B816">
        <v>0.16120000000000001</v>
      </c>
      <c r="C816">
        <f ca="1"/>
        <v>-2.7994181626194582E-2</v>
      </c>
      <c r="D816">
        <f ca="1"/>
        <v>1</v>
      </c>
      <c r="E816">
        <f ca="1"/>
        <v>99.121597068201837</v>
      </c>
      <c r="F816">
        <f ca="1"/>
        <v>-3.0292938602602608</v>
      </c>
      <c r="G816">
        <f ca="1"/>
        <v>3.0561390754992757E-2</v>
      </c>
      <c r="H816">
        <f ca="1"/>
        <v>57.148814564649768</v>
      </c>
      <c r="I816">
        <f ca="1"/>
        <v>-0.54706052730103394</v>
      </c>
      <c r="J816">
        <f ca="1"/>
        <v>2.9233014055986501</v>
      </c>
      <c r="K816">
        <f ca="1"/>
        <v>0</v>
      </c>
      <c r="L816">
        <f ca="1"/>
        <v>0.87840293179816342</v>
      </c>
    </row>
    <row r="817" spans="2:12">
      <c r="B817">
        <v>0.16140000000000002</v>
      </c>
      <c r="C817">
        <f ca="1"/>
        <v>-1.2740019234466809E-2</v>
      </c>
      <c r="D817">
        <f ca="1"/>
        <v>1</v>
      </c>
      <c r="E817">
        <f ca="1"/>
        <v>99.42406451929304</v>
      </c>
      <c r="F817">
        <f ca="1"/>
        <v>-2.0131838513476867</v>
      </c>
      <c r="G817">
        <f ca="1"/>
        <v>2.024845655909624E-2</v>
      </c>
      <c r="H817">
        <f ca="1"/>
        <v>55.135630713302085</v>
      </c>
      <c r="I817">
        <f ca="1"/>
        <v>-0.5268120707419377</v>
      </c>
      <c r="J817">
        <f ca="1"/>
        <v>2.7578334023133024</v>
      </c>
      <c r="K817">
        <f ca="1"/>
        <v>0</v>
      </c>
      <c r="L817">
        <f ca="1"/>
        <v>0.57593548070695988</v>
      </c>
    </row>
    <row r="818" spans="2:12">
      <c r="B818">
        <v>0.16160000000000002</v>
      </c>
      <c r="C818">
        <f ca="1"/>
        <v>-3.9480284290681258E-3</v>
      </c>
      <c r="D818">
        <f ca="1"/>
        <v>1</v>
      </c>
      <c r="E818">
        <f ca="1"/>
        <v>99.598647014077528</v>
      </c>
      <c r="F818">
        <f ca="1"/>
        <v>-1.1649439110814108</v>
      </c>
      <c r="G818">
        <f ca="1"/>
        <v>1.1696382892799284E-2</v>
      </c>
      <c r="H818">
        <f ca="1"/>
        <v>53.970686802220676</v>
      </c>
      <c r="I818">
        <f ca="1"/>
        <v>-0.51511568784913842</v>
      </c>
      <c r="J818">
        <f ca="1"/>
        <v>2.6658612367205947</v>
      </c>
      <c r="K818">
        <f ca="1"/>
        <v>0</v>
      </c>
      <c r="L818">
        <f ca="1"/>
        <v>0.40135298592247182</v>
      </c>
    </row>
    <row r="819" spans="2:12">
      <c r="B819">
        <v>0.1618</v>
      </c>
      <c r="C819">
        <f ca="1"/>
        <v>9.7509466205183571E-3</v>
      </c>
      <c r="D819">
        <f ca="1"/>
        <v>1</v>
      </c>
      <c r="E819">
        <f ca="1"/>
        <v>99.871501562445758</v>
      </c>
      <c r="F819">
        <f ca="1"/>
        <v>-1.8303881686136843</v>
      </c>
      <c r="G819">
        <f ca="1"/>
        <v>1.8327432150093526E-2</v>
      </c>
      <c r="H819">
        <f ca="1"/>
        <v>52.140298633606989</v>
      </c>
      <c r="I819">
        <f ca="1"/>
        <v>-0.49678825569904489</v>
      </c>
      <c r="J819">
        <f ca="1"/>
        <v>2.5253095783551274</v>
      </c>
      <c r="K819">
        <f ca="1"/>
        <v>0</v>
      </c>
      <c r="L819">
        <f ca="1"/>
        <v>0.12849843755424217</v>
      </c>
    </row>
    <row r="820" spans="2:12">
      <c r="B820">
        <v>0.16200000000000001</v>
      </c>
      <c r="C820">
        <f ca="1"/>
        <v>-8.1058400952959044E-3</v>
      </c>
      <c r="D820">
        <f ca="1"/>
        <v>1</v>
      </c>
      <c r="E820">
        <f ca="1"/>
        <v>99.515062833576721</v>
      </c>
      <c r="F820">
        <f ca="1"/>
        <v>2.393838414802421</v>
      </c>
      <c r="G820">
        <f ca="1"/>
        <v>-2.4055035957779969E-2</v>
      </c>
      <c r="H820">
        <f ca="1"/>
        <v>54.534137048409413</v>
      </c>
      <c r="I820">
        <f ca="1"/>
        <v>-0.52084329165682486</v>
      </c>
      <c r="J820">
        <f ca="1"/>
        <v>2.7023841527335577</v>
      </c>
      <c r="K820">
        <f ca="1"/>
        <v>0</v>
      </c>
      <c r="L820">
        <f ca="1"/>
        <v>0.48493716642327911</v>
      </c>
    </row>
    <row r="821" spans="2:12">
      <c r="B821">
        <v>0.16220000000000001</v>
      </c>
      <c r="C821">
        <f ca="1"/>
        <v>5.5859316790579736E-3</v>
      </c>
      <c r="D821">
        <f ca="1"/>
        <v>1</v>
      </c>
      <c r="E821">
        <f ca="1"/>
        <v>99.787544640146251</v>
      </c>
      <c r="F821">
        <f ca="1"/>
        <v>-1.8308075979289955</v>
      </c>
      <c r="G821">
        <f ca="1"/>
        <v>1.8347055281611069E-2</v>
      </c>
      <c r="H821">
        <f ca="1"/>
        <v>52.703329450480418</v>
      </c>
      <c r="I821">
        <f ca="1"/>
        <v>-0.50249623637521379</v>
      </c>
      <c r="J821">
        <f ca="1"/>
        <v>2.5604638316832862</v>
      </c>
      <c r="K821">
        <f ca="1"/>
        <v>0</v>
      </c>
      <c r="L821">
        <f ca="1"/>
        <v>0.21245535985374886</v>
      </c>
    </row>
    <row r="822" spans="2:12">
      <c r="B822">
        <v>0.16240000000000002</v>
      </c>
      <c r="C822">
        <f ca="1"/>
        <v>3.3543938428499918E-2</v>
      </c>
      <c r="D822">
        <f ca="1"/>
        <v>1</v>
      </c>
      <c r="E822">
        <f ca="1"/>
        <v>100.34667831257227</v>
      </c>
      <c r="F822">
        <f ca="1"/>
        <v>-3.7712782563434444</v>
      </c>
      <c r="G822">
        <f ca="1"/>
        <v>3.7582492213605712E-2</v>
      </c>
      <c r="H822">
        <f ca="1"/>
        <v>48.932051194136974</v>
      </c>
      <c r="I822">
        <f ca="1"/>
        <v>-0.46491374416160808</v>
      </c>
      <c r="J822">
        <f ca="1"/>
        <v>2.2795012656585669</v>
      </c>
      <c r="K822">
        <f ca="1"/>
        <v>0</v>
      </c>
      <c r="L822">
        <f ca="1"/>
        <v>0</v>
      </c>
    </row>
    <row r="823" spans="2:12">
      <c r="B823">
        <v>0.16259999999999999</v>
      </c>
      <c r="C823">
        <f ca="1"/>
        <v>4.0640371758180423E-2</v>
      </c>
      <c r="D823">
        <f ca="1"/>
        <v>1</v>
      </c>
      <c r="E823">
        <f ca="1"/>
        <v>100.48879817480942</v>
      </c>
      <c r="F823">
        <f ca="1"/>
        <v>-0.95609675416080542</v>
      </c>
      <c r="G823">
        <f ca="1"/>
        <v>9.5144610297516752E-3</v>
      </c>
      <c r="H823">
        <f ca="1"/>
        <v>47.975954439976171</v>
      </c>
      <c r="I823">
        <f ca="1"/>
        <v>-0.4553992831318564</v>
      </c>
      <c r="J823">
        <f ca="1"/>
        <v>2.2134277883861628</v>
      </c>
      <c r="K823">
        <f ca="1"/>
        <v>0</v>
      </c>
      <c r="L823">
        <f ca="1"/>
        <v>0</v>
      </c>
    </row>
    <row r="824" spans="2:12">
      <c r="B824">
        <v>0.1628</v>
      </c>
      <c r="C824">
        <f ca="1"/>
        <v>4.3506745473622807E-2</v>
      </c>
      <c r="D824">
        <f ca="1"/>
        <v>1</v>
      </c>
      <c r="E824">
        <f ca="1"/>
        <v>100.54602019555388</v>
      </c>
      <c r="F824">
        <f ca="1"/>
        <v>-0.3864253507257584</v>
      </c>
      <c r="G824">
        <f ca="1"/>
        <v>3.8432684851592569E-3</v>
      </c>
      <c r="H824">
        <f ca="1"/>
        <v>47.589529089250412</v>
      </c>
      <c r="I824">
        <f ca="1"/>
        <v>-0.45155601464669715</v>
      </c>
      <c r="J824">
        <f ca="1"/>
        <v>2.1873689211597807</v>
      </c>
      <c r="K824">
        <f ca="1"/>
        <v>0</v>
      </c>
      <c r="L824">
        <f ca="1"/>
        <v>0</v>
      </c>
    </row>
    <row r="825" spans="2:12">
      <c r="B825">
        <v>0.16300000000000001</v>
      </c>
      <c r="C825">
        <f ca="1"/>
        <v>4.5002874070529129E-2</v>
      </c>
      <c r="D825">
        <f ca="1"/>
        <v>1</v>
      </c>
      <c r="E825">
        <f ca="1"/>
        <v>100.57570834883461</v>
      </c>
      <c r="F825">
        <f ca="1"/>
        <v>-0.20212519620717406</v>
      </c>
      <c r="G825">
        <f ca="1"/>
        <v>2.0096820546978145E-3</v>
      </c>
      <c r="H825">
        <f ca="1"/>
        <v>47.387403893043235</v>
      </c>
      <c r="I825">
        <f ca="1"/>
        <v>-0.44954633259199933</v>
      </c>
      <c r="J825">
        <f ca="1"/>
        <v>2.1739630569821102</v>
      </c>
      <c r="K825">
        <f ca="1"/>
        <v>0</v>
      </c>
      <c r="L825">
        <f ca="1"/>
        <v>0</v>
      </c>
    </row>
    <row r="826" spans="2:12">
      <c r="B826">
        <v>0.16320000000000001</v>
      </c>
      <c r="C826">
        <f ca="1"/>
        <v>2.9183480578097474E-2</v>
      </c>
      <c r="D826">
        <f ca="1"/>
        <v>1</v>
      </c>
      <c r="E826">
        <f ca="1"/>
        <v>100.25760083381094</v>
      </c>
      <c r="F826">
        <f ca="1"/>
        <v>2.1362541352739659</v>
      </c>
      <c r="G826">
        <f ca="1"/>
        <v>-2.1307652661817278E-2</v>
      </c>
      <c r="H826">
        <f ca="1"/>
        <v>49.5236580283172</v>
      </c>
      <c r="I826">
        <f ca="1"/>
        <v>-0.47085398525381661</v>
      </c>
      <c r="J826">
        <f ca="1"/>
        <v>2.3169671237309544</v>
      </c>
      <c r="K826">
        <f ca="1"/>
        <v>0</v>
      </c>
      <c r="L826">
        <f ca="1"/>
        <v>0</v>
      </c>
    </row>
    <row r="827" spans="2:12">
      <c r="B827">
        <v>0.16340000000000002</v>
      </c>
      <c r="C827">
        <f ca="1"/>
        <v>2.6854135113104124E-2</v>
      </c>
      <c r="D827">
        <f ca="1"/>
        <v>1</v>
      </c>
      <c r="E827">
        <f ca="1"/>
        <v>100.21050395139216</v>
      </c>
      <c r="F827">
        <f ca="1"/>
        <v>0.31774414175834675</v>
      </c>
      <c r="G827">
        <f ca="1"/>
        <v>-3.1707668281208412E-3</v>
      </c>
      <c r="H827">
        <f ca="1"/>
        <v>49.841402170075547</v>
      </c>
      <c r="I827">
        <f ca="1"/>
        <v>-0.47402475208193745</v>
      </c>
      <c r="J827">
        <f ca="1"/>
        <v>2.3391428785108701</v>
      </c>
      <c r="K827">
        <f ca="1"/>
        <v>0</v>
      </c>
      <c r="L827">
        <f ca="1"/>
        <v>0</v>
      </c>
    </row>
    <row r="828" spans="2:12">
      <c r="B828">
        <v>0.1636</v>
      </c>
      <c r="C828">
        <f ca="1"/>
        <v>9.5029040018045075E-3</v>
      </c>
      <c r="D828">
        <f ca="1"/>
        <v>1</v>
      </c>
      <c r="E828">
        <f ca="1"/>
        <v>99.862952076592677</v>
      </c>
      <c r="F828">
        <f ca="1"/>
        <v>2.3523171124590392</v>
      </c>
      <c r="G828">
        <f ca="1"/>
        <v>-2.355545338430276E-2</v>
      </c>
      <c r="H828">
        <f ca="1"/>
        <v>52.193719282534587</v>
      </c>
      <c r="I828">
        <f ca="1"/>
        <v>-0.49758020546624021</v>
      </c>
      <c r="J828">
        <f ca="1"/>
        <v>2.503891069798307</v>
      </c>
      <c r="K828">
        <f ca="1"/>
        <v>0</v>
      </c>
      <c r="L828">
        <f ca="1"/>
        <v>0.13704792340732297</v>
      </c>
    </row>
    <row r="829" spans="2:12">
      <c r="B829">
        <v>0.1638</v>
      </c>
      <c r="C829">
        <f ca="1"/>
        <v>-4.5625574571184369E-3</v>
      </c>
      <c r="D829">
        <f ca="1"/>
        <v>1</v>
      </c>
      <c r="E829">
        <f ca="1"/>
        <v>99.582024808869832</v>
      </c>
      <c r="F829">
        <f ca="1"/>
        <v>1.9078726475102596</v>
      </c>
      <c r="G829">
        <f ca="1"/>
        <v>-1.915880552913124E-2</v>
      </c>
      <c r="H829">
        <f ca="1"/>
        <v>54.101591930044847</v>
      </c>
      <c r="I829">
        <f ca="1"/>
        <v>-0.51673901099537145</v>
      </c>
      <c r="J829">
        <f ca="1"/>
        <v>2.6436749173929073</v>
      </c>
      <c r="K829">
        <f ca="1"/>
        <v>0</v>
      </c>
      <c r="L829">
        <f ca="1"/>
        <v>0.4179751911301679</v>
      </c>
    </row>
    <row r="830" spans="2:12">
      <c r="B830">
        <v>0.16400000000000001</v>
      </c>
      <c r="C830">
        <f ca="1"/>
        <v>-5.0962661724424686E-3</v>
      </c>
      <c r="D830">
        <f ca="1"/>
        <v>1</v>
      </c>
      <c r="E830">
        <f ca="1"/>
        <v>99.570997532465753</v>
      </c>
      <c r="F830">
        <f ca="1"/>
        <v>7.9575440004372541E-2</v>
      </c>
      <c r="G830">
        <f ca="1"/>
        <v>-7.9918291446690048E-4</v>
      </c>
      <c r="H830">
        <f ca="1"/>
        <v>54.181167370049216</v>
      </c>
      <c r="I830">
        <f ca="1"/>
        <v>-0.51753819390983835</v>
      </c>
      <c r="J830">
        <f ca="1"/>
        <v>2.6493731412959178</v>
      </c>
      <c r="K830">
        <f ca="1"/>
        <v>0</v>
      </c>
      <c r="L830">
        <f ca="1"/>
        <v>0.42900246753424653</v>
      </c>
    </row>
    <row r="831" spans="2:12">
      <c r="B831">
        <v>0.16420000000000001</v>
      </c>
      <c r="C831">
        <f ca="1"/>
        <v>-3.2424204795739285E-2</v>
      </c>
      <c r="D831">
        <f ca="1"/>
        <v>1</v>
      </c>
      <c r="E831">
        <f ca="1"/>
        <v>99.027871917258153</v>
      </c>
      <c r="F831">
        <f ca="1"/>
        <v>3.6767162269981619</v>
      </c>
      <c r="G831">
        <f ca="1"/>
        <v>-3.712809490716118E-2</v>
      </c>
      <c r="H831">
        <f ca="1"/>
        <v>57.857883597047376</v>
      </c>
      <c r="I831">
        <f ca="1"/>
        <v>-0.55466628881699953</v>
      </c>
      <c r="J831">
        <f ca="1"/>
        <v>2.9304613912566282</v>
      </c>
      <c r="K831">
        <f ca="1"/>
        <v>0</v>
      </c>
      <c r="L831">
        <f ca="1"/>
        <v>0.97212808274184681</v>
      </c>
    </row>
    <row r="832" spans="2:12">
      <c r="B832">
        <v>0.16440000000000002</v>
      </c>
      <c r="C832">
        <f ca="1"/>
        <v>-6.7752893473459613E-2</v>
      </c>
      <c r="D832">
        <f ca="1"/>
        <v>1</v>
      </c>
      <c r="E832">
        <f ca="1"/>
        <v>98.330239778128586</v>
      </c>
      <c r="F832">
        <f ca="1"/>
        <v>4.6536003190791417</v>
      </c>
      <c r="G832">
        <f ca="1"/>
        <v>-4.7326237885511935E-2</v>
      </c>
      <c r="H832">
        <f ca="1"/>
        <v>62.511483916126515</v>
      </c>
      <c r="I832">
        <f ca="1"/>
        <v>-0.60199252670251147</v>
      </c>
      <c r="J832">
        <f ca="1"/>
        <v>3.3174144208270846</v>
      </c>
      <c r="K832">
        <f ca="1"/>
        <v>0</v>
      </c>
      <c r="L832">
        <f ca="1"/>
        <v>1.6697602218714138</v>
      </c>
    </row>
    <row r="833" spans="2:12">
      <c r="B833">
        <v>0.1646</v>
      </c>
      <c r="C833">
        <f ca="1"/>
        <v>-6.5511619573767416E-2</v>
      </c>
      <c r="D833">
        <f ca="1"/>
        <v>1</v>
      </c>
      <c r="E833">
        <f ca="1"/>
        <v>98.373933161941196</v>
      </c>
      <c r="F833">
        <f ca="1"/>
        <v>-0.27467814635127974</v>
      </c>
      <c r="G833">
        <f ca="1"/>
        <v>2.7921842455878032E-3</v>
      </c>
      <c r="H833">
        <f ca="1"/>
        <v>62.236805769775238</v>
      </c>
      <c r="I833">
        <f ca="1"/>
        <v>-0.59920034245692366</v>
      </c>
      <c r="J833">
        <f ca="1"/>
        <v>3.2911113303055544</v>
      </c>
      <c r="K833">
        <f ca="1"/>
        <v>0</v>
      </c>
      <c r="L833">
        <f ca="1"/>
        <v>1.6260668380588044</v>
      </c>
    </row>
    <row r="834" spans="2:12">
      <c r="B834">
        <v>0.1648</v>
      </c>
      <c r="C834">
        <f ca="1"/>
        <v>-7.6112775719174242E-2</v>
      </c>
      <c r="D834">
        <f ca="1"/>
        <v>1</v>
      </c>
      <c r="E834">
        <f ca="1"/>
        <v>98.165185973134925</v>
      </c>
      <c r="F834">
        <f ca="1"/>
        <v>1.3877836297189021</v>
      </c>
      <c r="G834">
        <f ca="1"/>
        <v>-1.4137228142151126E-2</v>
      </c>
      <c r="H834">
        <f ca="1"/>
        <v>63.624589399494141</v>
      </c>
      <c r="I834">
        <f ca="1"/>
        <v>-0.61333757059907479</v>
      </c>
      <c r="J834">
        <f ca="1"/>
        <v>3.4161927173251954</v>
      </c>
      <c r="K834">
        <f ca="1"/>
        <v>0</v>
      </c>
      <c r="L834">
        <f ca="1"/>
        <v>1.8348140268650752</v>
      </c>
    </row>
    <row r="835" spans="2:12">
      <c r="B835">
        <v>0.16500000000000001</v>
      </c>
      <c r="C835">
        <f ca="1"/>
        <v>-7.5597981906134565E-2</v>
      </c>
      <c r="D835">
        <f ca="1"/>
        <v>1</v>
      </c>
      <c r="E835">
        <f ca="1"/>
        <v>98.174900759143682</v>
      </c>
      <c r="F835">
        <f ca="1"/>
        <v>-4.8475559472024289E-2</v>
      </c>
      <c r="G835">
        <f ca="1"/>
        <v>4.9376733866990374E-4</v>
      </c>
      <c r="H835">
        <f ca="1"/>
        <v>63.576113840022117</v>
      </c>
      <c r="I835">
        <f ca="1"/>
        <v>-0.61284380326040488</v>
      </c>
      <c r="J835">
        <f ca="1"/>
        <v>3.410234274075691</v>
      </c>
      <c r="K835">
        <f ca="1"/>
        <v>0</v>
      </c>
      <c r="L835">
        <f ca="1"/>
        <v>1.8250992408563178</v>
      </c>
    </row>
    <row r="836" spans="2:12">
      <c r="B836">
        <v>0.16520000000000001</v>
      </c>
      <c r="C836">
        <f ca="1"/>
        <v>-7.688168897344462E-2</v>
      </c>
      <c r="D836">
        <f ca="1"/>
        <v>1</v>
      </c>
      <c r="E836">
        <f ca="1"/>
        <v>98.149305833726771</v>
      </c>
      <c r="F836">
        <f ca="1"/>
        <v>0.18338966097612999</v>
      </c>
      <c r="G836">
        <f ca="1"/>
        <v>-1.8684763933716209E-3</v>
      </c>
      <c r="H836">
        <f ca="1"/>
        <v>63.75950350099825</v>
      </c>
      <c r="I836">
        <f ca="1"/>
        <v>-0.61471227965377651</v>
      </c>
      <c r="J836">
        <f ca="1"/>
        <v>3.4259199655123638</v>
      </c>
      <c r="K836">
        <f ca="1"/>
        <v>0</v>
      </c>
      <c r="L836">
        <f ca="1"/>
        <v>1.8506941662732288</v>
      </c>
    </row>
    <row r="837" spans="2:12">
      <c r="B837">
        <v>0.16540000000000002</v>
      </c>
      <c r="C837">
        <f ca="1"/>
        <v>-4.6140703011707349E-2</v>
      </c>
      <c r="D837">
        <f ca="1"/>
        <v>1</v>
      </c>
      <c r="E837">
        <f ca="1"/>
        <v>98.754210948226373</v>
      </c>
      <c r="F837">
        <f ca="1"/>
        <v>-4.0264160706049044</v>
      </c>
      <c r="G837">
        <f ca="1"/>
        <v>4.0772095001759712E-2</v>
      </c>
      <c r="H837">
        <f ca="1"/>
        <v>59.733087430393347</v>
      </c>
      <c r="I837">
        <f ca="1"/>
        <v>-0.57394018465201679</v>
      </c>
      <c r="J837">
        <f ca="1"/>
        <v>3.0540773636040868</v>
      </c>
      <c r="K837">
        <f ca="1"/>
        <v>0</v>
      </c>
      <c r="L837">
        <f ca="1"/>
        <v>1.2457890517736274</v>
      </c>
    </row>
    <row r="838" spans="2:12">
      <c r="B838">
        <v>0.1656</v>
      </c>
      <c r="C838">
        <f ca="1"/>
        <v>-2.3990815800806167E-2</v>
      </c>
      <c r="D838">
        <f ca="1"/>
        <v>1</v>
      </c>
      <c r="E838">
        <f ca="1"/>
        <v>99.192263548573123</v>
      </c>
      <c r="F838">
        <f ca="1"/>
        <v>-2.9692925994179493</v>
      </c>
      <c r="G838">
        <f ca="1"/>
        <v>2.9934719636314444E-2</v>
      </c>
      <c r="H838">
        <f ca="1"/>
        <v>56.763794830975399</v>
      </c>
      <c r="I838">
        <f ca="1"/>
        <v>-0.54400546501570235</v>
      </c>
      <c r="J838">
        <f ca="1"/>
        <v>2.8026613732737786</v>
      </c>
      <c r="K838">
        <f ca="1"/>
        <v>0</v>
      </c>
      <c r="L838">
        <f ca="1"/>
        <v>0.80773645142687656</v>
      </c>
    </row>
    <row r="839" spans="2:12">
      <c r="B839">
        <v>0.1658</v>
      </c>
      <c r="C839">
        <f ca="1"/>
        <v>-3.4348299555435308E-2</v>
      </c>
      <c r="D839">
        <f ca="1"/>
        <v>1</v>
      </c>
      <c r="E839">
        <f ca="1"/>
        <v>98.986603824731873</v>
      </c>
      <c r="F839">
        <f ca="1"/>
        <v>1.4084344131289512</v>
      </c>
      <c r="G839">
        <f ca="1"/>
        <v>-1.4228535566517264E-2</v>
      </c>
      <c r="H839">
        <f ca="1"/>
        <v>58.172229244104351</v>
      </c>
      <c r="I839">
        <f ca="1"/>
        <v>-0.55823400058221961</v>
      </c>
      <c r="J839">
        <f ca="1"/>
        <v>2.9145413869770351</v>
      </c>
      <c r="K839">
        <f ca="1"/>
        <v>0</v>
      </c>
      <c r="L839">
        <f ca="1"/>
        <v>1.0133961752681273</v>
      </c>
    </row>
    <row r="840" spans="2:12">
      <c r="B840">
        <v>0.16600000000000001</v>
      </c>
      <c r="C840">
        <f ca="1"/>
        <v>-2.593473949233728E-2</v>
      </c>
      <c r="D840">
        <f ca="1"/>
        <v>1</v>
      </c>
      <c r="E840">
        <f ca="1"/>
        <v>99.152913379528528</v>
      </c>
      <c r="F840">
        <f ca="1"/>
        <v>-1.126035785359415</v>
      </c>
      <c r="G840">
        <f ca="1"/>
        <v>1.1356557734711004E-2</v>
      </c>
      <c r="H840">
        <f ca="1"/>
        <v>57.046193458744938</v>
      </c>
      <c r="I840">
        <f ca="1"/>
        <v>-0.54687744284750861</v>
      </c>
      <c r="J840">
        <f ca="1"/>
        <v>2.8217017388678514</v>
      </c>
      <c r="K840">
        <f ca="1"/>
        <v>0</v>
      </c>
      <c r="L840">
        <f ca="1"/>
        <v>0.84708662047147243</v>
      </c>
    </row>
    <row r="841" spans="2:12">
      <c r="B841">
        <v>0.16620000000000001</v>
      </c>
      <c r="C841">
        <f ca="1"/>
        <v>-4.318809011738084E-2</v>
      </c>
      <c r="D841">
        <f ca="1"/>
        <v>1</v>
      </c>
      <c r="E841">
        <f ca="1"/>
        <v>98.810963773502863</v>
      </c>
      <c r="F841">
        <f ca="1"/>
        <v>2.3344827513989395</v>
      </c>
      <c r="G841">
        <f ca="1"/>
        <v>-2.3625746195028552E-2</v>
      </c>
      <c r="H841">
        <f ca="1"/>
        <v>59.380676210143875</v>
      </c>
      <c r="I841">
        <f ca="1"/>
        <v>-0.57050318904253716</v>
      </c>
      <c r="J841">
        <f ca="1"/>
        <v>3.0087062649938829</v>
      </c>
      <c r="K841">
        <f ca="1"/>
        <v>0</v>
      </c>
      <c r="L841">
        <f ca="1"/>
        <v>1.1890362264971372</v>
      </c>
    </row>
    <row r="842" spans="2:12">
      <c r="B842">
        <v>0.16640000000000002</v>
      </c>
      <c r="C842">
        <f ca="1"/>
        <v>-3.3085483229968647E-2</v>
      </c>
      <c r="D842">
        <f ca="1"/>
        <v>1</v>
      </c>
      <c r="E842">
        <f ca="1"/>
        <v>99.010419229789392</v>
      </c>
      <c r="F842">
        <f ca="1"/>
        <v>-1.3487604083271736</v>
      </c>
      <c r="G842">
        <f ca="1"/>
        <v>1.3622408821407861E-2</v>
      </c>
      <c r="H842">
        <f ca="1"/>
        <v>58.031915801816702</v>
      </c>
      <c r="I842">
        <f ca="1"/>
        <v>-0.5568807802211293</v>
      </c>
      <c r="J842">
        <f ca="1"/>
        <v>2.8949162911104835</v>
      </c>
      <c r="K842">
        <f ca="1"/>
        <v>0</v>
      </c>
      <c r="L842">
        <f ca="1"/>
        <v>0.98958077021060831</v>
      </c>
    </row>
    <row r="843" spans="2:12">
      <c r="B843">
        <v>0.1666</v>
      </c>
      <c r="C843">
        <f ca="1"/>
        <v>-5.1841256815714207E-2</v>
      </c>
      <c r="D843">
        <f ca="1"/>
        <v>1</v>
      </c>
      <c r="E843">
        <f ca="1"/>
        <v>98.639316996204968</v>
      </c>
      <c r="F843">
        <f ca="1"/>
        <v>2.5281460274862071</v>
      </c>
      <c r="G843">
        <f ca="1"/>
        <v>-2.5630206133559041E-2</v>
      </c>
      <c r="H843">
        <f ca="1"/>
        <v>60.56006182930291</v>
      </c>
      <c r="I843">
        <f ca="1"/>
        <v>-0.58251098635468834</v>
      </c>
      <c r="J843">
        <f ca="1"/>
        <v>3.1015759924907798</v>
      </c>
      <c r="K843">
        <f ca="1"/>
        <v>0</v>
      </c>
      <c r="L843">
        <f ca="1"/>
        <v>1.3606830037950317</v>
      </c>
    </row>
    <row r="844" spans="2:12">
      <c r="B844">
        <v>0.1668</v>
      </c>
      <c r="C844">
        <f ca="1"/>
        <v>-4.2909728927710646E-2</v>
      </c>
      <c r="D844">
        <f ca="1"/>
        <v>1</v>
      </c>
      <c r="E844">
        <f ca="1"/>
        <v>98.815279163653955</v>
      </c>
      <c r="F844">
        <f ca="1"/>
        <v>-1.1830453765526405</v>
      </c>
      <c r="G844">
        <f ca="1"/>
        <v>1.1972292003479823E-2</v>
      </c>
      <c r="H844">
        <f ca="1"/>
        <v>59.377016452750269</v>
      </c>
      <c r="I844">
        <f ca="1"/>
        <v>-0.57053869435120852</v>
      </c>
      <c r="J844">
        <f ca="1"/>
        <v>2.9990760967689596</v>
      </c>
      <c r="K844">
        <f ca="1"/>
        <v>0</v>
      </c>
      <c r="L844">
        <f ca="1"/>
        <v>1.1847208363460453</v>
      </c>
    </row>
    <row r="845" spans="2:12">
      <c r="B845">
        <v>0.16700000000000001</v>
      </c>
      <c r="C845">
        <f ca="1"/>
        <v>-4.1729946838387474E-2</v>
      </c>
      <c r="D845">
        <f ca="1"/>
        <v>1</v>
      </c>
      <c r="E845">
        <f ca="1"/>
        <v>98.838202660362356</v>
      </c>
      <c r="F845">
        <f ca="1"/>
        <v>-0.14529378644500232</v>
      </c>
      <c r="G845">
        <f ca="1"/>
        <v>1.4700164767693646E-3</v>
      </c>
      <c r="H845">
        <f ca="1"/>
        <v>59.231722666305267</v>
      </c>
      <c r="I845">
        <f ca="1"/>
        <v>-0.56906867787443915</v>
      </c>
      <c r="J845">
        <f ca="1"/>
        <v>2.9859973548869831</v>
      </c>
      <c r="K845">
        <f ca="1"/>
        <v>0</v>
      </c>
      <c r="L845">
        <f ca="1"/>
        <v>1.1617973396376442</v>
      </c>
    </row>
    <row r="846" spans="2:12">
      <c r="B846">
        <v>0.16720000000000002</v>
      </c>
      <c r="C846">
        <f ca="1"/>
        <v>-5.3194270482825365E-2</v>
      </c>
      <c r="D846">
        <f ca="1"/>
        <v>1</v>
      </c>
      <c r="E846">
        <f ca="1"/>
        <v>98.611445194108143</v>
      </c>
      <c r="F846">
        <f ca="1"/>
        <v>1.5514927594819392</v>
      </c>
      <c r="G846">
        <f ca="1"/>
        <v>-1.5733394398874889E-2</v>
      </c>
      <c r="H846">
        <f ca="1"/>
        <v>60.783215425787205</v>
      </c>
      <c r="I846">
        <f ca="1"/>
        <v>-0.58480207227331404</v>
      </c>
      <c r="J846">
        <f ca="1"/>
        <v>3.1150379264064298</v>
      </c>
      <c r="K846">
        <f ca="1"/>
        <v>0</v>
      </c>
      <c r="L846">
        <f ca="1"/>
        <v>1.3885548058918573</v>
      </c>
    </row>
    <row r="847" spans="2:12">
      <c r="B847">
        <v>0.16740000000000002</v>
      </c>
      <c r="C847">
        <f ca="1"/>
        <v>-5.3638429073312018E-2</v>
      </c>
      <c r="D847">
        <f ca="1"/>
        <v>1</v>
      </c>
      <c r="E847">
        <f ca="1"/>
        <v>98.602291349116882</v>
      </c>
      <c r="F847">
        <f ca="1"/>
        <v>7.4711381572190788E-2</v>
      </c>
      <c r="G847">
        <f ca="1"/>
        <v>-7.5770431447341746E-4</v>
      </c>
      <c r="H847">
        <f ca="1"/>
        <v>60.857926807359398</v>
      </c>
      <c r="I847">
        <f ca="1"/>
        <v>-0.58555977658778746</v>
      </c>
      <c r="J847">
        <f ca="1"/>
        <v>3.120391113926587</v>
      </c>
      <c r="K847">
        <f ca="1"/>
        <v>0</v>
      </c>
      <c r="L847">
        <f ca="1"/>
        <v>1.3977086508831178</v>
      </c>
    </row>
    <row r="848" spans="2:12">
      <c r="B848">
        <v>0.1676</v>
      </c>
      <c r="C848">
        <f ca="1"/>
        <v>-6.9983828399525647E-2</v>
      </c>
      <c r="D848">
        <f ca="1"/>
        <v>1</v>
      </c>
      <c r="E848">
        <f ca="1"/>
        <v>98.280085764591249</v>
      </c>
      <c r="F848">
        <f ca="1"/>
        <v>2.1816697824586728</v>
      </c>
      <c r="G848">
        <f ca="1"/>
        <v>-2.2198492863390373E-2</v>
      </c>
      <c r="H848">
        <f ca="1"/>
        <v>63.039596589818068</v>
      </c>
      <c r="I848">
        <f ca="1"/>
        <v>-0.60775826945117783</v>
      </c>
      <c r="J848">
        <f ca="1"/>
        <v>3.309061744016752</v>
      </c>
      <c r="K848">
        <f ca="1"/>
        <v>0</v>
      </c>
      <c r="L848">
        <f ca="1"/>
        <v>1.7199142354087513</v>
      </c>
    </row>
    <row r="849" spans="2:12">
      <c r="B849">
        <v>0.1678</v>
      </c>
      <c r="C849">
        <f ca="1"/>
        <v>-5.0729821135751016E-2</v>
      </c>
      <c r="D849">
        <f ca="1"/>
        <v>1</v>
      </c>
      <c r="E849">
        <f ca="1"/>
        <v>98.658877843136466</v>
      </c>
      <c r="F849">
        <f ca="1"/>
        <v>-2.5495890461830468</v>
      </c>
      <c r="G849">
        <f ca="1"/>
        <v>2.5842469546803359E-2</v>
      </c>
      <c r="H849">
        <f ca="1"/>
        <v>60.490007543635024</v>
      </c>
      <c r="I849">
        <f ca="1"/>
        <v>-0.58191579990437448</v>
      </c>
      <c r="J849">
        <f ca="1"/>
        <v>3.0788477258782976</v>
      </c>
      <c r="K849">
        <f ca="1"/>
        <v>0</v>
      </c>
      <c r="L849">
        <f ca="1"/>
        <v>1.3411221568635341</v>
      </c>
    </row>
    <row r="850" spans="2:12">
      <c r="B850">
        <v>0.16800000000000001</v>
      </c>
      <c r="C850">
        <f ca="1"/>
        <v>-4.3254997095936484E-2</v>
      </c>
      <c r="D850">
        <f ca="1"/>
        <v>1</v>
      </c>
      <c r="E850">
        <f ca="1"/>
        <v>98.806084470674548</v>
      </c>
      <c r="F850">
        <f ca="1"/>
        <v>-0.9945850998970055</v>
      </c>
      <c r="G850">
        <f ca="1"/>
        <v>1.0066030905133139E-2</v>
      </c>
      <c r="H850">
        <f ca="1"/>
        <v>59.495422443738015</v>
      </c>
      <c r="I850">
        <f ca="1"/>
        <v>-0.57184976899924134</v>
      </c>
      <c r="J850">
        <f ca="1"/>
        <v>2.9931858634632462</v>
      </c>
      <c r="K850">
        <f ca="1"/>
        <v>0</v>
      </c>
      <c r="L850">
        <f ca="1"/>
        <v>1.1939155293254515</v>
      </c>
    </row>
    <row r="851" spans="2:12">
      <c r="B851">
        <v>0.16820000000000002</v>
      </c>
      <c r="C851">
        <f ca="1"/>
        <v>-4.9454117795970101E-2</v>
      </c>
      <c r="D851">
        <f ca="1"/>
        <v>1</v>
      </c>
      <c r="E851">
        <f ca="1"/>
        <v>98.683263477323266</v>
      </c>
      <c r="F851">
        <f ca="1"/>
        <v>0.8516490724867869</v>
      </c>
      <c r="G851">
        <f ca="1"/>
        <v>-8.6301267558149819E-3</v>
      </c>
      <c r="H851">
        <f ca="1"/>
        <v>60.347071516224801</v>
      </c>
      <c r="I851">
        <f ca="1"/>
        <v>-0.58047989575505632</v>
      </c>
      <c r="J851">
        <f ca="1"/>
        <v>3.0634210201394367</v>
      </c>
      <c r="K851">
        <f ca="1"/>
        <v>0</v>
      </c>
      <c r="L851">
        <f ca="1"/>
        <v>1.3167365226767345</v>
      </c>
    </row>
    <row r="852" spans="2:12">
      <c r="B852">
        <v>0.16840000000000002</v>
      </c>
      <c r="C852">
        <f ca="1"/>
        <v>-5.2820288652180837E-2</v>
      </c>
      <c r="D852">
        <f ca="1"/>
        <v>1</v>
      </c>
      <c r="E852">
        <f ca="1"/>
        <v>98.61645442440701</v>
      </c>
      <c r="F852">
        <f ca="1"/>
        <v>0.46853458829114103</v>
      </c>
      <c r="G852">
        <f ca="1"/>
        <v>-4.7510792293824489E-3</v>
      </c>
      <c r="H852">
        <f ca="1"/>
        <v>60.815606104515943</v>
      </c>
      <c r="I852">
        <f ca="1"/>
        <v>-0.58523097498443877</v>
      </c>
      <c r="J852">
        <f ca="1"/>
        <v>3.1022023322117604</v>
      </c>
      <c r="K852">
        <f ca="1"/>
        <v>0</v>
      </c>
      <c r="L852">
        <f ca="1"/>
        <v>1.38354557559299</v>
      </c>
    </row>
    <row r="853" spans="2:12">
      <c r="B853">
        <v>0.1686</v>
      </c>
      <c r="C853">
        <f ca="1"/>
        <v>-6.1532574072826508E-2</v>
      </c>
      <c r="D853">
        <f ca="1"/>
        <v>1</v>
      </c>
      <c r="E853">
        <f ca="1"/>
        <v>98.444375327083449</v>
      </c>
      <c r="F853">
        <f ca="1"/>
        <v>1.1831950055197016</v>
      </c>
      <c r="G853">
        <f ca="1"/>
        <v>-1.2018919329707889E-2</v>
      </c>
      <c r="H853">
        <f ca="1"/>
        <v>61.998801110035643</v>
      </c>
      <c r="I853">
        <f ca="1"/>
        <v>-0.59724989431414666</v>
      </c>
      <c r="J853">
        <f ca="1"/>
        <v>3.2029083501128639</v>
      </c>
      <c r="K853">
        <f ca="1"/>
        <v>0</v>
      </c>
      <c r="L853">
        <f ca="1"/>
        <v>1.5556246729165508</v>
      </c>
    </row>
    <row r="854" spans="2:12">
      <c r="B854">
        <v>0.16880000000000001</v>
      </c>
      <c r="C854">
        <f ca="1"/>
        <v>-6.4398853649703908E-2</v>
      </c>
      <c r="D854">
        <f ca="1"/>
        <v>1</v>
      </c>
      <c r="E854">
        <f ca="1"/>
        <v>98.387564127968403</v>
      </c>
      <c r="F854">
        <f ca="1"/>
        <v>0.39938434430577535</v>
      </c>
      <c r="G854">
        <f ca="1"/>
        <v>-4.0592970041042342E-3</v>
      </c>
      <c r="H854">
        <f ca="1"/>
        <v>62.398185454341416</v>
      </c>
      <c r="I854">
        <f ca="1"/>
        <v>-0.60130919131825089</v>
      </c>
      <c r="J854">
        <f ca="1"/>
        <v>3.2368388327801867</v>
      </c>
      <c r="K854">
        <f ca="1"/>
        <v>0</v>
      </c>
      <c r="L854">
        <f ca="1"/>
        <v>1.6124358720315968</v>
      </c>
    </row>
    <row r="855" spans="2:12">
      <c r="B855">
        <v>0.16900000000000001</v>
      </c>
      <c r="C855">
        <f ca="1"/>
        <v>-6.9304512599149756E-2</v>
      </c>
      <c r="D855">
        <f ca="1"/>
        <v>1</v>
      </c>
      <c r="E855">
        <f ca="1"/>
        <v>98.290687136952755</v>
      </c>
      <c r="F855">
        <f ca="1"/>
        <v>0.66977302949886774</v>
      </c>
      <c r="G855">
        <f ca="1"/>
        <v>-6.8142064015245252E-3</v>
      </c>
      <c r="H855">
        <f ca="1"/>
        <v>63.067958483840286</v>
      </c>
      <c r="I855">
        <f ca="1"/>
        <v>-0.60812339771977542</v>
      </c>
      <c r="J855">
        <f ca="1"/>
        <v>3.2950918579051489</v>
      </c>
      <c r="K855">
        <f ca="1"/>
        <v>0</v>
      </c>
      <c r="L855">
        <f ca="1"/>
        <v>1.7093128630472449</v>
      </c>
    </row>
    <row r="856" spans="2:12">
      <c r="B856">
        <v>0.16920000000000002</v>
      </c>
      <c r="C856">
        <f ca="1"/>
        <v>-4.2837780844300864E-2</v>
      </c>
      <c r="D856">
        <f ca="1"/>
        <v>1</v>
      </c>
      <c r="E856">
        <f ca="1"/>
        <v>98.811958000056691</v>
      </c>
      <c r="F856">
        <f ca="1"/>
        <v>-3.5564927781816142</v>
      </c>
      <c r="G856">
        <f ca="1"/>
        <v>3.5992534205015692E-2</v>
      </c>
      <c r="H856">
        <f ca="1"/>
        <v>59.511465705658672</v>
      </c>
      <c r="I856">
        <f ca="1"/>
        <v>-0.57213086351475972</v>
      </c>
      <c r="J856">
        <f ca="1"/>
        <v>2.9780948495020638</v>
      </c>
      <c r="K856">
        <f ca="1"/>
        <v>0</v>
      </c>
      <c r="L856">
        <f ca="1"/>
        <v>1.1880419999433087</v>
      </c>
    </row>
    <row r="857" spans="2:12">
      <c r="B857">
        <v>0.1694</v>
      </c>
      <c r="C857">
        <f ca="1"/>
        <v>-5.8491754722331833E-2</v>
      </c>
      <c r="D857">
        <f ca="1"/>
        <v>1</v>
      </c>
      <c r="E857">
        <f ca="1"/>
        <v>98.502687792930359</v>
      </c>
      <c r="F857">
        <f ca="1"/>
        <v>2.1335461287142969</v>
      </c>
      <c r="G857">
        <f ca="1"/>
        <v>-2.1659775753524402E-2</v>
      </c>
      <c r="H857">
        <f ca="1"/>
        <v>61.645011834372966</v>
      </c>
      <c r="I857">
        <f ca="1"/>
        <v>-0.59379063926828413</v>
      </c>
      <c r="J857">
        <f ca="1"/>
        <v>3.1550378801646417</v>
      </c>
      <c r="K857">
        <f ca="1"/>
        <v>0</v>
      </c>
      <c r="L857">
        <f ca="1"/>
        <v>1.4973122070696405</v>
      </c>
    </row>
    <row r="858" spans="2:12">
      <c r="B858">
        <v>0.1696</v>
      </c>
      <c r="C858">
        <f ca="1"/>
        <v>-6.4047717077016897E-2</v>
      </c>
      <c r="D858">
        <f ca="1"/>
        <v>1</v>
      </c>
      <c r="E858">
        <f ca="1"/>
        <v>98.392899566016865</v>
      </c>
      <c r="F858">
        <f ca="1"/>
        <v>0.76256063587287781</v>
      </c>
      <c r="G858">
        <f ca="1"/>
        <v>-7.7501592008805131E-3</v>
      </c>
      <c r="H858">
        <f ca="1"/>
        <v>62.407572470245846</v>
      </c>
      <c r="I858">
        <f ca="1"/>
        <v>-0.60154079846916464</v>
      </c>
      <c r="J858">
        <f ca="1"/>
        <v>3.2202291016077353</v>
      </c>
      <c r="K858">
        <f ca="1"/>
        <v>0</v>
      </c>
      <c r="L858">
        <f ca="1"/>
        <v>1.6071004339831347</v>
      </c>
    </row>
    <row r="859" spans="2:12">
      <c r="B859">
        <v>0.16980000000000001</v>
      </c>
      <c r="C859">
        <f ca="1"/>
        <v>-5.6510672449219618E-2</v>
      </c>
      <c r="D859">
        <f ca="1"/>
        <v>1</v>
      </c>
      <c r="E859">
        <f ca="1"/>
        <v>98.540935580886071</v>
      </c>
      <c r="F859">
        <f ca="1"/>
        <v>-0.99785970768346799</v>
      </c>
      <c r="G859">
        <f ca="1"/>
        <v>1.0126347002910152E-2</v>
      </c>
      <c r="H859">
        <f ca="1"/>
        <v>61.409712762562378</v>
      </c>
      <c r="I859">
        <f ca="1"/>
        <v>-0.59141445146625449</v>
      </c>
      <c r="J859">
        <f ca="1"/>
        <v>3.1311793990211214</v>
      </c>
      <c r="K859">
        <f ca="1"/>
        <v>0</v>
      </c>
      <c r="L859">
        <f ca="1"/>
        <v>1.459064419113929</v>
      </c>
    </row>
    <row r="860" spans="2:12">
      <c r="B860">
        <v>0.17</v>
      </c>
      <c r="C860">
        <f ca="1"/>
        <v>-7.2684427481017028E-2</v>
      </c>
      <c r="D860">
        <f ca="1"/>
        <v>1</v>
      </c>
      <c r="E860">
        <f ca="1"/>
        <v>98.222302292073763</v>
      </c>
      <c r="F860">
        <f ca="1"/>
        <v>2.1822629659926633</v>
      </c>
      <c r="G860">
        <f ca="1"/>
        <v>-2.221759127070233E-2</v>
      </c>
      <c r="H860">
        <f ca="1"/>
        <v>63.591975728555042</v>
      </c>
      <c r="I860">
        <f ca="1"/>
        <v>-0.61363204273695682</v>
      </c>
      <c r="J860">
        <f ca="1"/>
        <v>3.3196237307429399</v>
      </c>
      <c r="K860">
        <f ca="1"/>
        <v>0</v>
      </c>
      <c r="L860">
        <f ca="1"/>
        <v>1.7776977079262366</v>
      </c>
    </row>
    <row r="861" spans="2:12">
      <c r="B861">
        <v>0.17020000000000002</v>
      </c>
      <c r="C861">
        <f ca="1"/>
        <v>-6.8395565526136487E-2</v>
      </c>
      <c r="D861">
        <f ca="1"/>
        <v>1</v>
      </c>
      <c r="E861">
        <f ca="1"/>
        <v>98.306197590597506</v>
      </c>
      <c r="F861">
        <f ca="1"/>
        <v>-0.55333176137579376</v>
      </c>
      <c r="G861">
        <f ca="1"/>
        <v>5.6286559234055566E-3</v>
      </c>
      <c r="H861">
        <f ca="1"/>
        <v>63.038643967179247</v>
      </c>
      <c r="I861">
        <f ca="1"/>
        <v>-0.60800338681355126</v>
      </c>
      <c r="J861">
        <f ca="1"/>
        <v>3.2681428873337879</v>
      </c>
      <c r="K861">
        <f ca="1"/>
        <v>0</v>
      </c>
      <c r="L861">
        <f ca="1"/>
        <v>1.6938024094024939</v>
      </c>
    </row>
    <row r="862" spans="2:12">
      <c r="B862">
        <v>0.1704</v>
      </c>
      <c r="C862">
        <f ca="1"/>
        <v>-6.2057624231180414E-2</v>
      </c>
      <c r="D862">
        <f ca="1"/>
        <v>1</v>
      </c>
      <c r="E862">
        <f ca="1"/>
        <v>98.430494661280349</v>
      </c>
      <c r="F862">
        <f ca="1"/>
        <v>-0.83366417881674748</v>
      </c>
      <c r="G862">
        <f ca="1"/>
        <v>8.469572175630713E-3</v>
      </c>
      <c r="H862">
        <f ca="1"/>
        <v>62.2049797883625</v>
      </c>
      <c r="I862">
        <f ca="1"/>
        <v>-0.59953381463792055</v>
      </c>
      <c r="J862">
        <f ca="1"/>
        <v>3.1925698473876167</v>
      </c>
      <c r="K862">
        <f ca="1"/>
        <v>0</v>
      </c>
      <c r="L862">
        <f ca="1"/>
        <v>1.5695053387196509</v>
      </c>
    </row>
    <row r="863" spans="2:12">
      <c r="B863">
        <v>0.1706</v>
      </c>
      <c r="C863">
        <f ca="1"/>
        <v>-7.2453827995936748E-2</v>
      </c>
      <c r="D863">
        <f ca="1"/>
        <v>1</v>
      </c>
      <c r="E863">
        <f ca="1"/>
        <v>98.225653684086893</v>
      </c>
      <c r="F863">
        <f ca="1"/>
        <v>1.4109880661302965</v>
      </c>
      <c r="G863">
        <f ca="1"/>
        <v>-1.4364761273753524E-2</v>
      </c>
      <c r="H863">
        <f ca="1"/>
        <v>63.615967854492794</v>
      </c>
      <c r="I863">
        <f ca="1"/>
        <v>-0.61389857591167407</v>
      </c>
      <c r="J863">
        <f ca="1"/>
        <v>3.3153789398385669</v>
      </c>
      <c r="K863">
        <f ca="1"/>
        <v>0</v>
      </c>
      <c r="L863">
        <f ca="1"/>
        <v>1.7743463159131068</v>
      </c>
    </row>
    <row r="864" spans="2:12">
      <c r="B864">
        <v>0.17080000000000001</v>
      </c>
      <c r="C864">
        <f ca="1"/>
        <v>-8.1448751683421222E-2</v>
      </c>
      <c r="D864">
        <f ca="1"/>
        <v>1</v>
      </c>
      <c r="E864">
        <f ca="1"/>
        <v>98.048713887472516</v>
      </c>
      <c r="F864">
        <f ca="1"/>
        <v>1.2120299988103047</v>
      </c>
      <c r="G864">
        <f ca="1"/>
        <v>-1.236150838450889E-2</v>
      </c>
      <c r="H864">
        <f ca="1"/>
        <v>64.827997853303103</v>
      </c>
      <c r="I864">
        <f ca="1"/>
        <v>-0.62626008429618296</v>
      </c>
      <c r="J864">
        <f ca="1"/>
        <v>3.4240020290022386</v>
      </c>
      <c r="K864">
        <f ca="1"/>
        <v>0</v>
      </c>
      <c r="L864">
        <f ca="1"/>
        <v>1.9512861125274839</v>
      </c>
    </row>
    <row r="865" spans="2:12">
      <c r="B865">
        <v>0.17100000000000001</v>
      </c>
      <c r="C865">
        <f ca="1"/>
        <v>-0.10557181198606194</v>
      </c>
      <c r="D865">
        <f ca="1"/>
        <v>1</v>
      </c>
      <c r="E865">
        <f ca="1"/>
        <v>97.576415874671369</v>
      </c>
      <c r="F865">
        <f ca="1"/>
        <v>3.1446729610549551</v>
      </c>
      <c r="G865">
        <f ca="1"/>
        <v>-3.2227797392087254E-2</v>
      </c>
      <c r="H865">
        <f ca="1"/>
        <v>67.972670814358054</v>
      </c>
      <c r="I865">
        <f ca="1"/>
        <v>-0.65848788168827022</v>
      </c>
      <c r="J865">
        <f ca="1"/>
        <v>3.7197834223120054</v>
      </c>
      <c r="K865">
        <f ca="1"/>
        <v>0</v>
      </c>
      <c r="L865">
        <f ca="1"/>
        <v>2.423584125328631</v>
      </c>
    </row>
    <row r="866" spans="2:12">
      <c r="B866">
        <v>0.17120000000000002</v>
      </c>
      <c r="C866">
        <f ca="1"/>
        <v>-0.11272523476401931</v>
      </c>
      <c r="D866">
        <f ca="1"/>
        <v>1</v>
      </c>
      <c r="E866">
        <f ca="1"/>
        <v>97.436524871551853</v>
      </c>
      <c r="F866">
        <f ca="1"/>
        <v>0.92986671358224482</v>
      </c>
      <c r="G866">
        <f ca="1"/>
        <v>-9.5433074487012437E-3</v>
      </c>
      <c r="H866">
        <f ca="1"/>
        <v>68.902537527940297</v>
      </c>
      <c r="I866">
        <f ca="1"/>
        <v>-0.66803118913697146</v>
      </c>
      <c r="J866">
        <f ca="1"/>
        <v>3.8118999526234205</v>
      </c>
      <c r="K866">
        <f ca="1"/>
        <v>0</v>
      </c>
      <c r="L866">
        <f ca="1"/>
        <v>2.5634751284481467</v>
      </c>
    </row>
    <row r="867" spans="2:12">
      <c r="B867">
        <v>0.1714</v>
      </c>
      <c r="C867">
        <f ca="1"/>
        <v>-0.12716074540830152</v>
      </c>
      <c r="D867">
        <f ca="1"/>
        <v>1</v>
      </c>
      <c r="E867">
        <f ca="1"/>
        <v>97.155232745131087</v>
      </c>
      <c r="F867">
        <f ca="1"/>
        <v>1.8189408146234245</v>
      </c>
      <c r="G867">
        <f ca="1"/>
        <v>-1.8722005631905403E-2</v>
      </c>
      <c r="H867">
        <f ca="1"/>
        <v>70.721478342563728</v>
      </c>
      <c r="I867">
        <f ca="1"/>
        <v>-0.68675319476887686</v>
      </c>
      <c r="J867">
        <f ca="1"/>
        <v>3.9998118663311573</v>
      </c>
      <c r="K867">
        <f ca="1"/>
        <v>0</v>
      </c>
      <c r="L867">
        <f ca="1"/>
        <v>2.8447672548689127</v>
      </c>
    </row>
    <row r="868" spans="2:12">
      <c r="B868">
        <v>0.1716</v>
      </c>
      <c r="C868">
        <f ca="1"/>
        <v>-0.16478375095697836</v>
      </c>
      <c r="D868">
        <f ca="1"/>
        <v>1</v>
      </c>
      <c r="E868">
        <f ca="1"/>
        <v>96.426536226641645</v>
      </c>
      <c r="F868">
        <f ca="1"/>
        <v>4.4558528437062872</v>
      </c>
      <c r="G868">
        <f ca="1"/>
        <v>-4.6209819600210644E-2</v>
      </c>
      <c r="H868">
        <f ca="1"/>
        <v>75.17733118627001</v>
      </c>
      <c r="I868">
        <f ca="1"/>
        <v>-0.73296301436908751</v>
      </c>
      <c r="J868">
        <f ca="1"/>
        <v>4.5002465284207318</v>
      </c>
      <c r="K868">
        <f ca="1"/>
        <v>0</v>
      </c>
      <c r="L868">
        <f ca="1"/>
        <v>3.5734637733583554</v>
      </c>
    </row>
    <row r="869" spans="2:12">
      <c r="B869">
        <v>0.17180000000000001</v>
      </c>
      <c r="C869">
        <f ca="1"/>
        <v>-0.16164779198753271</v>
      </c>
      <c r="D869">
        <f ca="1"/>
        <v>1</v>
      </c>
      <c r="E869">
        <f ca="1"/>
        <v>96.486647181112588</v>
      </c>
      <c r="F869">
        <f ca="1"/>
        <v>-0.3270742783038641</v>
      </c>
      <c r="G869">
        <f ca="1"/>
        <v>3.389839815761464E-3</v>
      </c>
      <c r="H869">
        <f ca="1"/>
        <v>74.850256907966141</v>
      </c>
      <c r="I869">
        <f ca="1"/>
        <v>-0.72957317455332604</v>
      </c>
      <c r="J869">
        <f ca="1"/>
        <v>4.4561874220351001</v>
      </c>
      <c r="K869">
        <f ca="1"/>
        <v>0</v>
      </c>
      <c r="L869">
        <f ca="1"/>
        <v>3.5133528188874124</v>
      </c>
    </row>
    <row r="870" spans="2:12">
      <c r="B870">
        <v>0.17200000000000001</v>
      </c>
      <c r="C870">
        <f ca="1"/>
        <v>-0.16384397826242952</v>
      </c>
      <c r="D870">
        <f ca="1"/>
        <v>1</v>
      </c>
      <c r="E870">
        <f ca="1"/>
        <v>96.443890180921571</v>
      </c>
      <c r="F870">
        <f ca="1"/>
        <v>0.27977789657095831</v>
      </c>
      <c r="G870">
        <f ca="1"/>
        <v>-2.9009395623311729E-3</v>
      </c>
      <c r="H870">
        <f ca="1"/>
        <v>75.130034804537104</v>
      </c>
      <c r="I870">
        <f ca="1"/>
        <v>-0.73247411411565722</v>
      </c>
      <c r="J870">
        <f ca="1"/>
        <v>4.4873817823988418</v>
      </c>
      <c r="K870">
        <f ca="1"/>
        <v>0</v>
      </c>
      <c r="L870">
        <f ca="1"/>
        <v>3.5561098190784293</v>
      </c>
    </row>
    <row r="871" spans="2:12">
      <c r="B871">
        <v>0.17220000000000002</v>
      </c>
      <c r="C871">
        <f ca="1"/>
        <v>-0.16115891966909607</v>
      </c>
      <c r="D871">
        <f ca="1"/>
        <v>1</v>
      </c>
      <c r="E871">
        <f ca="1"/>
        <v>96.495309606942754</v>
      </c>
      <c r="F871">
        <f ca="1"/>
        <v>-0.2766017543753293</v>
      </c>
      <c r="G871">
        <f ca="1"/>
        <v>2.8664787490917387E-3</v>
      </c>
      <c r="H871">
        <f ca="1"/>
        <v>74.853433050161769</v>
      </c>
      <c r="I871">
        <f ca="1"/>
        <v>-0.72960763536656548</v>
      </c>
      <c r="J871">
        <f ca="1"/>
        <v>4.4497183838756342</v>
      </c>
      <c r="K871">
        <f ca="1"/>
        <v>0</v>
      </c>
      <c r="L871">
        <f ca="1"/>
        <v>3.5046903930572455</v>
      </c>
    </row>
    <row r="872" spans="2:12">
      <c r="B872">
        <v>0.1724</v>
      </c>
      <c r="C872">
        <f ca="1"/>
        <v>-0.16172965537162726</v>
      </c>
      <c r="D872">
        <f ca="1"/>
        <v>1</v>
      </c>
      <c r="E872">
        <f ca="1"/>
        <v>96.483909635490704</v>
      </c>
      <c r="F872">
        <f ca="1"/>
        <v>9.5052865453824256E-2</v>
      </c>
      <c r="G872">
        <f ca="1"/>
        <v>-9.8516805354309511E-4</v>
      </c>
      <c r="H872">
        <f ca="1"/>
        <v>74.948485915615592</v>
      </c>
      <c r="I872">
        <f ca="1"/>
        <v>-0.73059280342010857</v>
      </c>
      <c r="J872">
        <f ca="1"/>
        <v>4.4580358900900166</v>
      </c>
      <c r="K872">
        <f ca="1"/>
        <v>0</v>
      </c>
      <c r="L872">
        <f ca="1"/>
        <v>3.5160903645092958</v>
      </c>
    </row>
    <row r="873" spans="2:12">
      <c r="B873">
        <v>0.1726</v>
      </c>
      <c r="C873">
        <f ca="1"/>
        <v>-0.17402479550354971</v>
      </c>
      <c r="D873">
        <f ca="1"/>
        <v>1</v>
      </c>
      <c r="E873">
        <f ca="1"/>
        <v>96.246559481993927</v>
      </c>
      <c r="F873">
        <f ca="1"/>
        <v>1.414463922208564</v>
      </c>
      <c r="G873">
        <f ca="1"/>
        <v>-1.4696254388949725E-2</v>
      </c>
      <c r="H873">
        <f ca="1"/>
        <v>76.362949837824161</v>
      </c>
      <c r="I873">
        <f ca="1"/>
        <v>-0.7452890578090583</v>
      </c>
      <c r="J873">
        <f ca="1"/>
        <v>4.6314422041254204</v>
      </c>
      <c r="K873">
        <f ca="1"/>
        <v>0</v>
      </c>
      <c r="L873">
        <f ca="1"/>
        <v>3.753440518006073</v>
      </c>
    </row>
    <row r="874" spans="2:12">
      <c r="B874">
        <v>0.17280000000000001</v>
      </c>
      <c r="C874">
        <f ca="1"/>
        <v>-0.16115929470355034</v>
      </c>
      <c r="D874">
        <f ca="1"/>
        <v>1</v>
      </c>
      <c r="E874">
        <f ca="1"/>
        <v>96.494144432449076</v>
      </c>
      <c r="F874">
        <f ca="1"/>
        <v>-1.4236691904904735</v>
      </c>
      <c r="G874">
        <f ca="1"/>
        <v>1.4753943867413799E-2</v>
      </c>
      <c r="H874">
        <f ca="1"/>
        <v>74.939280647333689</v>
      </c>
      <c r="I874">
        <f ca="1"/>
        <v>-0.7305351139416445</v>
      </c>
      <c r="J874">
        <f ca="1"/>
        <v>4.4469198496730087</v>
      </c>
      <c r="K874">
        <f ca="1"/>
        <v>0</v>
      </c>
      <c r="L874">
        <f ca="1"/>
        <v>3.505855567550924</v>
      </c>
    </row>
    <row r="875" spans="2:12">
      <c r="B875">
        <v>0.17300000000000001</v>
      </c>
      <c r="C875">
        <f ca="1"/>
        <v>-0.16437467852300192</v>
      </c>
      <c r="D875">
        <f ca="1"/>
        <v>1</v>
      </c>
      <c r="E875">
        <f ca="1"/>
        <v>96.431725510830219</v>
      </c>
      <c r="F875">
        <f ca="1"/>
        <v>0.3975454532686159</v>
      </c>
      <c r="G875">
        <f ca="1"/>
        <v>-4.1225587446733769E-3</v>
      </c>
      <c r="H875">
        <f ca="1"/>
        <v>75.336826100602309</v>
      </c>
      <c r="I875">
        <f ca="1"/>
        <v>-0.73465767268631788</v>
      </c>
      <c r="J875">
        <f ca="1"/>
        <v>4.4925190636899544</v>
      </c>
      <c r="K875">
        <f ca="1"/>
        <v>0</v>
      </c>
      <c r="L875">
        <f ca="1"/>
        <v>3.5682744891697808</v>
      </c>
    </row>
    <row r="876" spans="2:12">
      <c r="B876">
        <v>0.17320000000000002</v>
      </c>
      <c r="C876">
        <f ca="1"/>
        <v>-0.16507239532398651</v>
      </c>
      <c r="D876">
        <f ca="1"/>
        <v>1</v>
      </c>
      <c r="E876">
        <f ca="1"/>
        <v>96.417884370346471</v>
      </c>
      <c r="F876">
        <f ca="1"/>
        <v>0.10978564821419513</v>
      </c>
      <c r="G876">
        <f ca="1"/>
        <v>-1.1386440278289278E-3</v>
      </c>
      <c r="H876">
        <f ca="1"/>
        <v>75.446611748816508</v>
      </c>
      <c r="I876">
        <f ca="1"/>
        <v>-0.7357963167141468</v>
      </c>
      <c r="J876">
        <f ca="1"/>
        <v>4.5026875637450701</v>
      </c>
      <c r="K876">
        <f ca="1"/>
        <v>0</v>
      </c>
      <c r="L876">
        <f ca="1"/>
        <v>3.5821156296535293</v>
      </c>
    </row>
    <row r="877" spans="2:12">
      <c r="B877">
        <v>0.1734</v>
      </c>
      <c r="C877">
        <f ca="1"/>
        <v>-0.19723940572362475</v>
      </c>
      <c r="D877">
        <f ca="1"/>
        <v>1</v>
      </c>
      <c r="E877">
        <f ca="1"/>
        <v>95.799197186579491</v>
      </c>
      <c r="F877">
        <f ca="1"/>
        <v>3.5313559772328613</v>
      </c>
      <c r="G877">
        <f ca="1"/>
        <v>-3.6862062323498979E-2</v>
      </c>
      <c r="H877">
        <f ca="1"/>
        <v>78.977967726049371</v>
      </c>
      <c r="I877">
        <f ca="1"/>
        <v>-0.77265837903764578</v>
      </c>
      <c r="J877">
        <f ca="1"/>
        <v>4.9579153147590631</v>
      </c>
      <c r="K877">
        <f ca="1"/>
        <v>0</v>
      </c>
      <c r="L877">
        <f ca="1"/>
        <v>4.2008028134205091</v>
      </c>
    </row>
    <row r="878" spans="2:12">
      <c r="B878">
        <v>0.1736</v>
      </c>
      <c r="C878">
        <f ca="1"/>
        <v>-0.20446766278401579</v>
      </c>
      <c r="D878">
        <f ca="1"/>
        <v>1</v>
      </c>
      <c r="E878">
        <f ca="1"/>
        <v>95.660422356968667</v>
      </c>
      <c r="F878">
        <f ca="1"/>
        <v>0.77899708193953843</v>
      </c>
      <c r="G878">
        <f ca="1"/>
        <v>-8.1433581699296154E-3</v>
      </c>
      <c r="H878">
        <f ca="1"/>
        <v>79.756964807988908</v>
      </c>
      <c r="I878">
        <f ca="1"/>
        <v>-0.7808017372075754</v>
      </c>
      <c r="J878">
        <f ca="1"/>
        <v>5.0651408496573822</v>
      </c>
      <c r="K878">
        <f ca="1"/>
        <v>0</v>
      </c>
      <c r="L878">
        <f ca="1"/>
        <v>4.3395776430313333</v>
      </c>
    </row>
    <row r="879" spans="2:12">
      <c r="B879">
        <v>0.17380000000000001</v>
      </c>
      <c r="C879">
        <f ca="1"/>
        <v>-0.1990998592172922</v>
      </c>
      <c r="D879">
        <f ca="1"/>
        <v>1</v>
      </c>
      <c r="E879">
        <f ca="1"/>
        <v>95.762791721910261</v>
      </c>
      <c r="F879">
        <f ca="1"/>
        <v>-0.52101499163538156</v>
      </c>
      <c r="G879">
        <f ca="1"/>
        <v>5.4406829862310158E-3</v>
      </c>
      <c r="H879">
        <f ca="1"/>
        <v>79.235949816353525</v>
      </c>
      <c r="I879">
        <f ca="1"/>
        <v>-0.77536105422134438</v>
      </c>
      <c r="J879">
        <f ca="1"/>
        <v>4.9852106716741531</v>
      </c>
      <c r="K879">
        <f ca="1"/>
        <v>0</v>
      </c>
      <c r="L879">
        <f ca="1"/>
        <v>4.2372082780897387</v>
      </c>
    </row>
    <row r="880" spans="2:12">
      <c r="B880">
        <v>0.17400000000000002</v>
      </c>
      <c r="C880">
        <f ca="1"/>
        <v>-0.18818859530847365</v>
      </c>
      <c r="D880">
        <f ca="1"/>
        <v>1</v>
      </c>
      <c r="E880">
        <f ca="1"/>
        <v>95.971614641352247</v>
      </c>
      <c r="F880">
        <f ca="1"/>
        <v>-1.1213488272388812</v>
      </c>
      <c r="G880">
        <f ca="1"/>
        <v>1.1684171735876103E-2</v>
      </c>
      <c r="H880">
        <f ca="1"/>
        <v>78.114600989114649</v>
      </c>
      <c r="I880">
        <f ca="1"/>
        <v>-0.76367688248546828</v>
      </c>
      <c r="J880">
        <f ca="1"/>
        <v>4.8232975127100417</v>
      </c>
      <c r="K880">
        <f ca="1"/>
        <v>0</v>
      </c>
      <c r="L880">
        <f ca="1"/>
        <v>4.0283853586477534</v>
      </c>
    </row>
    <row r="881" spans="2:12">
      <c r="B881">
        <v>0.17420000000000002</v>
      </c>
      <c r="C881">
        <f ca="1"/>
        <v>-0.19948085546766081</v>
      </c>
      <c r="D881">
        <f ca="1"/>
        <v>1</v>
      </c>
      <c r="E881">
        <f ca="1"/>
        <v>95.75472890610861</v>
      </c>
      <c r="F881">
        <f ca="1"/>
        <v>1.2239145929147304</v>
      </c>
      <c r="G881">
        <f ca="1"/>
        <v>-1.2781766570660213E-2</v>
      </c>
      <c r="H881">
        <f ca="1"/>
        <v>79.338515582029373</v>
      </c>
      <c r="I881">
        <f ca="1"/>
        <v>-0.77645864905612849</v>
      </c>
      <c r="J881">
        <f ca="1"/>
        <v>4.9889281348564651</v>
      </c>
      <c r="K881">
        <f ca="1"/>
        <v>0</v>
      </c>
      <c r="L881">
        <f ca="1"/>
        <v>4.2452710938913896</v>
      </c>
    </row>
    <row r="882" spans="2:12">
      <c r="B882">
        <v>0.1744</v>
      </c>
      <c r="C882">
        <f ca="1"/>
        <v>-0.19548674454730991</v>
      </c>
      <c r="D882">
        <f ca="1"/>
        <v>1</v>
      </c>
      <c r="E882">
        <f ca="1"/>
        <v>95.830867143044387</v>
      </c>
      <c r="F882">
        <f ca="1"/>
        <v>-0.38496237723953508</v>
      </c>
      <c r="G882">
        <f ca="1"/>
        <v>4.0171020957674441E-3</v>
      </c>
      <c r="H882">
        <f ca="1"/>
        <v>78.953553204789841</v>
      </c>
      <c r="I882">
        <f ca="1"/>
        <v>-0.77244154696036105</v>
      </c>
      <c r="J882">
        <f ca="1"/>
        <v>4.9298099422638018</v>
      </c>
      <c r="K882">
        <f ca="1"/>
        <v>0</v>
      </c>
      <c r="L882">
        <f ca="1"/>
        <v>4.1691328569556134</v>
      </c>
    </row>
    <row r="883" spans="2:12">
      <c r="B883">
        <v>0.17460000000000001</v>
      </c>
      <c r="C883">
        <f ca="1"/>
        <v>-0.19938326898957015</v>
      </c>
      <c r="D883">
        <f ca="1"/>
        <v>1</v>
      </c>
      <c r="E883">
        <f ca="1"/>
        <v>95.755831747979116</v>
      </c>
      <c r="F883">
        <f ca="1"/>
        <v>0.44041296985994827</v>
      </c>
      <c r="G883">
        <f ca="1"/>
        <v>-4.599333135334005E-3</v>
      </c>
      <c r="H883">
        <f ca="1"/>
        <v>79.39396617464979</v>
      </c>
      <c r="I883">
        <f ca="1"/>
        <v>-0.77704088009569505</v>
      </c>
      <c r="J883">
        <f ca="1"/>
        <v>4.9877703989048001</v>
      </c>
      <c r="K883">
        <f ca="1"/>
        <v>0</v>
      </c>
      <c r="L883">
        <f ca="1"/>
        <v>4.2441682520208843</v>
      </c>
    </row>
    <row r="884" spans="2:12">
      <c r="B884">
        <v>0.17480000000000001</v>
      </c>
      <c r="C884">
        <f ca="1"/>
        <v>-0.19374036005212431</v>
      </c>
      <c r="D884">
        <f ca="1"/>
        <v>1</v>
      </c>
      <c r="E884">
        <f ca="1"/>
        <v>95.863577585556712</v>
      </c>
      <c r="F884">
        <f ca="1"/>
        <v>-0.55951557228704119</v>
      </c>
      <c r="G884">
        <f ca="1"/>
        <v>5.8365813834527769E-3</v>
      </c>
      <c r="H884">
        <f ca="1"/>
        <v>78.83445060236275</v>
      </c>
      <c r="I884">
        <f ca="1"/>
        <v>-0.77120429871224228</v>
      </c>
      <c r="J884">
        <f ca="1"/>
        <v>4.9040474784468557</v>
      </c>
      <c r="K884">
        <f ca="1"/>
        <v>0</v>
      </c>
      <c r="L884">
        <f ca="1"/>
        <v>4.1364224144432882</v>
      </c>
    </row>
    <row r="885" spans="2:12">
      <c r="B885">
        <v>0.17500000000000002</v>
      </c>
      <c r="C885">
        <f ca="1"/>
        <v>-0.21060497102439368</v>
      </c>
      <c r="D885">
        <f ca="1"/>
        <v>1</v>
      </c>
      <c r="E885">
        <f ca="1"/>
        <v>95.540399723132438</v>
      </c>
      <c r="F885">
        <f ca="1"/>
        <v>1.7713500642844862</v>
      </c>
      <c r="G885">
        <f ca="1"/>
        <v>-1.854032502917824E-2</v>
      </c>
      <c r="H885">
        <f ca="1"/>
        <v>80.605800666647241</v>
      </c>
      <c r="I885">
        <f ca="1"/>
        <v>-0.78974462374142052</v>
      </c>
      <c r="J885">
        <f ca="1"/>
        <v>5.1532836351970985</v>
      </c>
      <c r="K885">
        <f ca="1"/>
        <v>0</v>
      </c>
      <c r="L885">
        <f ca="1"/>
        <v>4.4596002768675618</v>
      </c>
    </row>
    <row r="886" spans="2:12">
      <c r="B886">
        <v>0.17519999999999999</v>
      </c>
      <c r="C886">
        <f ca="1"/>
        <v>-0.1754058447493223</v>
      </c>
      <c r="D886">
        <f ca="1"/>
        <v>1</v>
      </c>
      <c r="E886">
        <f ca="1"/>
        <v>96.21497559657935</v>
      </c>
      <c r="F886">
        <f ca="1"/>
        <v>-3.7150862138939016</v>
      </c>
      <c r="G886">
        <f ca="1"/>
        <v>3.8612348970194832E-2</v>
      </c>
      <c r="H886">
        <f ca="1"/>
        <v>76.890714452753343</v>
      </c>
      <c r="I886">
        <f ca="1"/>
        <v>-0.75113227477122568</v>
      </c>
      <c r="J886">
        <f ca="1"/>
        <v>4.6205409658367245</v>
      </c>
      <c r="K886">
        <f ca="1"/>
        <v>0</v>
      </c>
      <c r="L886">
        <f ca="1"/>
        <v>3.7850244034206497</v>
      </c>
    </row>
    <row r="887" spans="2:12">
      <c r="B887">
        <v>0.1754</v>
      </c>
      <c r="C887">
        <f ca="1"/>
        <v>-0.16544909549522774</v>
      </c>
      <c r="D887">
        <f ca="1"/>
        <v>1</v>
      </c>
      <c r="E887">
        <f ca="1"/>
        <v>96.406378543290131</v>
      </c>
      <c r="F887">
        <f ca="1"/>
        <v>-1.094732860790584</v>
      </c>
      <c r="G887">
        <f ca="1"/>
        <v>1.1355398650297888E-2</v>
      </c>
      <c r="H887">
        <f ca="1"/>
        <v>75.795981591962757</v>
      </c>
      <c r="I887">
        <f ca="1"/>
        <v>-0.7397768761209278</v>
      </c>
      <c r="J887">
        <f ca="1"/>
        <v>4.476772035075939</v>
      </c>
      <c r="K887">
        <f ca="1"/>
        <v>0</v>
      </c>
      <c r="L887">
        <f ca="1"/>
        <v>3.5936214567098688</v>
      </c>
    </row>
    <row r="888" spans="2:12">
      <c r="B888">
        <v>0.17560000000000001</v>
      </c>
      <c r="C888">
        <f ca="1"/>
        <v>-0.16217451530672916</v>
      </c>
      <c r="D888">
        <f ca="1"/>
        <v>1</v>
      </c>
      <c r="E888">
        <f ca="1"/>
        <v>96.46915142894315</v>
      </c>
      <c r="F888">
        <f ca="1"/>
        <v>-0.34542196618477478</v>
      </c>
      <c r="G888">
        <f ca="1"/>
        <v>3.5806468810830605E-3</v>
      </c>
      <c r="H888">
        <f ca="1"/>
        <v>75.450559625777984</v>
      </c>
      <c r="I888">
        <f ca="1"/>
        <v>-0.73619622923984473</v>
      </c>
      <c r="J888">
        <f ca="1"/>
        <v>4.4303341058224532</v>
      </c>
      <c r="K888">
        <f ca="1"/>
        <v>0</v>
      </c>
      <c r="L888">
        <f ca="1"/>
        <v>3.5308485710568505</v>
      </c>
    </row>
    <row r="889" spans="2:12">
      <c r="B889">
        <v>0.17580000000000001</v>
      </c>
      <c r="C889">
        <f ca="1"/>
        <v>-0.1714561730446629</v>
      </c>
      <c r="D889">
        <f ca="1"/>
        <v>1</v>
      </c>
      <c r="E889">
        <f ca="1"/>
        <v>96.289853651536788</v>
      </c>
      <c r="F889">
        <f ca="1"/>
        <v>1.0912264388299886</v>
      </c>
      <c r="G889">
        <f ca="1"/>
        <v>-1.1332725073807115E-2</v>
      </c>
      <c r="H889">
        <f ca="1"/>
        <v>76.541786064607976</v>
      </c>
      <c r="I889">
        <f ca="1"/>
        <v>-0.74752895431365185</v>
      </c>
      <c r="J889">
        <f ca="1"/>
        <v>4.5623324534601153</v>
      </c>
      <c r="K889">
        <f ca="1"/>
        <v>0</v>
      </c>
      <c r="L889">
        <f ca="1"/>
        <v>3.710146348463212</v>
      </c>
    </row>
    <row r="890" spans="2:12">
      <c r="B890">
        <v>0.17600000000000002</v>
      </c>
      <c r="C890">
        <f ca="1"/>
        <v>-0.14032269018994123</v>
      </c>
      <c r="D890">
        <f ca="1"/>
        <v>1</v>
      </c>
      <c r="E890">
        <f ca="1"/>
        <v>96.890904332188924</v>
      </c>
      <c r="F890">
        <f ca="1"/>
        <v>-3.6379491236893151</v>
      </c>
      <c r="G890">
        <f ca="1"/>
        <v>3.7546859003572353E-2</v>
      </c>
      <c r="H890">
        <f ca="1"/>
        <v>72.903836940918666</v>
      </c>
      <c r="I890">
        <f ca="1"/>
        <v>-0.7099820953100795</v>
      </c>
      <c r="J890">
        <f ca="1"/>
        <v>4.1130296666627117</v>
      </c>
      <c r="K890">
        <f ca="1"/>
        <v>0</v>
      </c>
      <c r="L890">
        <f ca="1"/>
        <v>3.1090956678110757</v>
      </c>
    </row>
    <row r="891" spans="2:12">
      <c r="B891">
        <v>0.1762</v>
      </c>
      <c r="C891">
        <f ca="1"/>
        <v>-0.14471210709447099</v>
      </c>
      <c r="D891">
        <f ca="1"/>
        <v>1</v>
      </c>
      <c r="E891">
        <f ca="1"/>
        <v>96.805495519738898</v>
      </c>
      <c r="F891">
        <f ca="1"/>
        <v>0.56245374853237928</v>
      </c>
      <c r="G891">
        <f ca="1"/>
        <v>-5.8101427559729135E-3</v>
      </c>
      <c r="H891">
        <f ca="1"/>
        <v>73.466290689451043</v>
      </c>
      <c r="I891">
        <f ca="1"/>
        <v>-0.71579223806605241</v>
      </c>
      <c r="J891">
        <f ca="1"/>
        <v>4.1736683942839221</v>
      </c>
      <c r="K891">
        <f ca="1"/>
        <v>0</v>
      </c>
      <c r="L891">
        <f ca="1"/>
        <v>3.1945044802611022</v>
      </c>
    </row>
    <row r="892" spans="2:12">
      <c r="B892">
        <v>0.1764</v>
      </c>
      <c r="C892">
        <f ca="1"/>
        <v>-0.14710950718386853</v>
      </c>
      <c r="D892">
        <f ca="1"/>
        <v>1</v>
      </c>
      <c r="E892">
        <f ca="1"/>
        <v>96.75870330949499</v>
      </c>
      <c r="F892">
        <f ca="1"/>
        <v>0.31925377620156109</v>
      </c>
      <c r="G892">
        <f ca="1"/>
        <v>-3.299483821939897E-3</v>
      </c>
      <c r="H892">
        <f ca="1"/>
        <v>73.785544465652606</v>
      </c>
      <c r="I892">
        <f ca="1"/>
        <v>-0.71909172188799231</v>
      </c>
      <c r="J892">
        <f ca="1"/>
        <v>4.2071618951784728</v>
      </c>
      <c r="K892">
        <f ca="1"/>
        <v>0</v>
      </c>
      <c r="L892">
        <f ca="1"/>
        <v>3.2412966905050098</v>
      </c>
    </row>
    <row r="893" spans="2:12">
      <c r="B893">
        <v>0.17660000000000001</v>
      </c>
      <c r="C893">
        <f ca="1"/>
        <v>-0.13709855743233607</v>
      </c>
      <c r="D893">
        <f ca="1"/>
        <v>1</v>
      </c>
      <c r="E893">
        <f ca="1"/>
        <v>96.952238874067646</v>
      </c>
      <c r="F893">
        <f ca="1"/>
        <v>-1.1893230920985081</v>
      </c>
      <c r="G893">
        <f ca="1"/>
        <v>1.2267102914903627E-2</v>
      </c>
      <c r="H893">
        <f ca="1"/>
        <v>72.596221373554101</v>
      </c>
      <c r="I893">
        <f ca="1"/>
        <v>-0.70682461897308868</v>
      </c>
      <c r="J893">
        <f ca="1"/>
        <v>4.0679920728033636</v>
      </c>
      <c r="K893">
        <f ca="1"/>
        <v>0</v>
      </c>
      <c r="L893">
        <f ca="1"/>
        <v>3.0477611259323538</v>
      </c>
    </row>
    <row r="894" spans="2:12">
      <c r="B894">
        <v>0.17680000000000001</v>
      </c>
      <c r="C894">
        <f ca="1"/>
        <v>-0.13124218999732562</v>
      </c>
      <c r="D894">
        <f ca="1"/>
        <v>1</v>
      </c>
      <c r="E894">
        <f ca="1"/>
        <v>97.065474727758499</v>
      </c>
      <c r="F894">
        <f ca="1"/>
        <v>-0.69699492052256584</v>
      </c>
      <c r="G894">
        <f ca="1"/>
        <v>7.180667714008937E-3</v>
      </c>
      <c r="H894">
        <f ca="1"/>
        <v>71.899226453031531</v>
      </c>
      <c r="I894">
        <f ca="1"/>
        <v>-0.69964395125907974</v>
      </c>
      <c r="J894">
        <f ca="1"/>
        <v>3.9879541836642289</v>
      </c>
      <c r="K894">
        <f ca="1"/>
        <v>0</v>
      </c>
      <c r="L894">
        <f ca="1"/>
        <v>2.9345252722415012</v>
      </c>
    </row>
    <row r="895" spans="2:12">
      <c r="B895">
        <v>0.17700000000000002</v>
      </c>
      <c r="C895">
        <f ca="1"/>
        <v>-0.16260469311904452</v>
      </c>
      <c r="D895">
        <f ca="1"/>
        <v>1</v>
      </c>
      <c r="E895">
        <f ca="1"/>
        <v>96.458151142223471</v>
      </c>
      <c r="F895">
        <f ca="1"/>
        <v>3.7978916181582969</v>
      </c>
      <c r="G895">
        <f ca="1"/>
        <v>-3.9373464794680402E-2</v>
      </c>
      <c r="H895">
        <f ca="1"/>
        <v>75.697118071189834</v>
      </c>
      <c r="I895">
        <f ca="1"/>
        <v>-0.73901741605376015</v>
      </c>
      <c r="J895">
        <f ca="1"/>
        <v>4.4128644567407918</v>
      </c>
      <c r="K895">
        <f ca="1"/>
        <v>0</v>
      </c>
      <c r="L895">
        <f ca="1"/>
        <v>3.5418488577765288</v>
      </c>
    </row>
    <row r="896" spans="2:12">
      <c r="B896">
        <v>0.1772</v>
      </c>
      <c r="C896">
        <f ca="1"/>
        <v>-0.14950287840403903</v>
      </c>
      <c r="D896">
        <f ca="1"/>
        <v>1</v>
      </c>
      <c r="E896">
        <f ca="1"/>
        <v>96.710851107683311</v>
      </c>
      <c r="F896">
        <f ca="1"/>
        <v>-1.5163314311270111</v>
      </c>
      <c r="G896">
        <f ca="1"/>
        <v>1.5679020645146036E-2</v>
      </c>
      <c r="H896">
        <f ca="1"/>
        <v>74.18078664006282</v>
      </c>
      <c r="I896">
        <f ca="1"/>
        <v>-0.72333839540861411</v>
      </c>
      <c r="J896">
        <f ca="1"/>
        <v>4.2261147812297821</v>
      </c>
      <c r="K896">
        <f ca="1"/>
        <v>0</v>
      </c>
      <c r="L896">
        <f ca="1"/>
        <v>3.2891488923166889</v>
      </c>
    </row>
    <row r="897" spans="2:12">
      <c r="B897">
        <v>0.1774</v>
      </c>
      <c r="C897">
        <f ca="1"/>
        <v>-0.1381723045596831</v>
      </c>
      <c r="D897">
        <f ca="1"/>
        <v>1</v>
      </c>
      <c r="E897">
        <f ca="1"/>
        <v>96.929869781576357</v>
      </c>
      <c r="F897">
        <f ca="1"/>
        <v>-1.3487982445110536</v>
      </c>
      <c r="G897">
        <f ca="1"/>
        <v>1.3915197116744937E-2</v>
      </c>
      <c r="H897">
        <f ca="1"/>
        <v>72.831988395551761</v>
      </c>
      <c r="I897">
        <f ca="1"/>
        <v>-0.70942319829186917</v>
      </c>
      <c r="J897">
        <f ca="1"/>
        <v>4.067690165091463</v>
      </c>
      <c r="K897">
        <f ca="1"/>
        <v>0</v>
      </c>
      <c r="L897">
        <f ca="1"/>
        <v>3.0701302184236425</v>
      </c>
    </row>
    <row r="898" spans="2:12">
      <c r="B898">
        <v>0.17760000000000001</v>
      </c>
      <c r="C898">
        <f ca="1"/>
        <v>-0.16384974497786001</v>
      </c>
      <c r="D898">
        <f ca="1"/>
        <v>1</v>
      </c>
      <c r="E898">
        <f ca="1"/>
        <v>96.432977849722391</v>
      </c>
      <c r="F898">
        <f ca="1"/>
        <v>3.0952362348767668</v>
      </c>
      <c r="G898">
        <f ca="1"/>
        <v>-3.2097279415142288E-2</v>
      </c>
      <c r="H898">
        <f ca="1"/>
        <v>75.927224630428526</v>
      </c>
      <c r="I898">
        <f ca="1"/>
        <v>-0.74152047770701146</v>
      </c>
      <c r="J898">
        <f ca="1"/>
        <v>4.4201968285927222</v>
      </c>
      <c r="K898">
        <f ca="1"/>
        <v>0</v>
      </c>
      <c r="L898">
        <f ca="1"/>
        <v>3.5670221502776087</v>
      </c>
    </row>
    <row r="899" spans="2:12">
      <c r="B899">
        <v>0.17780000000000001</v>
      </c>
      <c r="C899">
        <f ca="1"/>
        <v>-0.16237005576284416</v>
      </c>
      <c r="D899">
        <f ca="1"/>
        <v>1</v>
      </c>
      <c r="E899">
        <f ca="1"/>
        <v>96.461134395050792</v>
      </c>
      <c r="F899">
        <f ca="1"/>
        <v>-0.13935785701207709</v>
      </c>
      <c r="G899">
        <f ca="1"/>
        <v>1.4447047288635995E-3</v>
      </c>
      <c r="H899">
        <f ca="1"/>
        <v>75.787866773416454</v>
      </c>
      <c r="I899">
        <f ca="1"/>
        <v>-0.74007577297814786</v>
      </c>
      <c r="J899">
        <f ca="1"/>
        <v>4.3993181736502294</v>
      </c>
      <c r="K899">
        <f ca="1"/>
        <v>0</v>
      </c>
      <c r="L899">
        <f ca="1"/>
        <v>3.5388656049492084</v>
      </c>
    </row>
    <row r="900" spans="2:12">
      <c r="B900">
        <v>0.17800000000000002</v>
      </c>
      <c r="C900">
        <f ca="1"/>
        <v>-0.18672167710357201</v>
      </c>
      <c r="D900">
        <f ca="1"/>
        <v>1</v>
      </c>
      <c r="E900">
        <f ca="1"/>
        <v>95.992095598988129</v>
      </c>
      <c r="F900">
        <f ca="1"/>
        <v>2.7711473215651057</v>
      </c>
      <c r="G900">
        <f ca="1"/>
        <v>-2.8868494892972385E-2</v>
      </c>
      <c r="H900">
        <f ca="1"/>
        <v>78.559014094981563</v>
      </c>
      <c r="I900">
        <f ca="1"/>
        <v>-0.76894426787112025</v>
      </c>
      <c r="J900">
        <f ca="1"/>
        <v>4.7464424232030495</v>
      </c>
      <c r="K900">
        <f ca="1"/>
        <v>0</v>
      </c>
      <c r="L900">
        <f ca="1"/>
        <v>4.0079044010118707</v>
      </c>
    </row>
    <row r="901" spans="2:12">
      <c r="B901">
        <v>0.1782</v>
      </c>
      <c r="C901">
        <f ca="1"/>
        <v>-0.16790364631321225</v>
      </c>
      <c r="D901">
        <f ca="1"/>
        <v>1</v>
      </c>
      <c r="E901">
        <f ca="1"/>
        <v>96.353667330492115</v>
      </c>
      <c r="F901">
        <f ca="1"/>
        <v>-2.0762181542207077</v>
      </c>
      <c r="G901">
        <f ca="1"/>
        <v>2.1547889268182185E-2</v>
      </c>
      <c r="H901">
        <f ca="1"/>
        <v>76.482795940760852</v>
      </c>
      <c r="I901">
        <f ca="1"/>
        <v>-0.74739637860293806</v>
      </c>
      <c r="J901">
        <f ca="1"/>
        <v>4.4684139128388267</v>
      </c>
      <c r="K901">
        <f ca="1"/>
        <v>0</v>
      </c>
      <c r="L901">
        <f ca="1"/>
        <v>3.6463326695078848</v>
      </c>
    </row>
    <row r="902" spans="2:12">
      <c r="B902">
        <v>0.1784</v>
      </c>
      <c r="C902">
        <f ca="1"/>
        <v>-0.1638542930628</v>
      </c>
      <c r="D902">
        <f ca="1"/>
        <v>1</v>
      </c>
      <c r="E902">
        <f ca="1"/>
        <v>96.431347218788645</v>
      </c>
      <c r="F902">
        <f ca="1"/>
        <v>-0.43504099150382319</v>
      </c>
      <c r="G902">
        <f ca="1"/>
        <v>4.511406342968316E-3</v>
      </c>
      <c r="H902">
        <f ca="1"/>
        <v>76.047754949257026</v>
      </c>
      <c r="I902">
        <f ca="1"/>
        <v>-0.74288497225996974</v>
      </c>
      <c r="J902">
        <f ca="1"/>
        <v>4.410356245635711</v>
      </c>
      <c r="K902">
        <f ca="1"/>
        <v>0</v>
      </c>
      <c r="L902">
        <f ca="1"/>
        <v>3.5686527812113553</v>
      </c>
    </row>
    <row r="903" spans="2:12">
      <c r="B903">
        <v>0.17860000000000001</v>
      </c>
      <c r="C903">
        <f ca="1"/>
        <v>-0.1534779172252306</v>
      </c>
      <c r="D903">
        <f ca="1"/>
        <v>1</v>
      </c>
      <c r="E903">
        <f ca="1"/>
        <v>96.631290070502089</v>
      </c>
      <c r="F903">
        <f ca="1"/>
        <v>-1.1913694975781253</v>
      </c>
      <c r="G903">
        <f ca="1"/>
        <v>1.2329024032576852E-2</v>
      </c>
      <c r="H903">
        <f ca="1"/>
        <v>74.856385451678904</v>
      </c>
      <c r="I903">
        <f ca="1"/>
        <v>-0.73055594822739289</v>
      </c>
      <c r="J903">
        <f ca="1"/>
        <v>4.2618217057869998</v>
      </c>
      <c r="K903">
        <f ca="1"/>
        <v>0</v>
      </c>
      <c r="L903">
        <f ca="1"/>
        <v>3.3687099294979106</v>
      </c>
    </row>
    <row r="904" spans="2:12">
      <c r="B904">
        <v>0.17880000000000001</v>
      </c>
      <c r="C904">
        <f ca="1"/>
        <v>-0.13675207155665273</v>
      </c>
      <c r="D904">
        <f ca="1"/>
        <v>1</v>
      </c>
      <c r="E904">
        <f ca="1"/>
        <v>96.954691522856749</v>
      </c>
      <c r="F904">
        <f ca="1"/>
        <v>-2.0115790841146697</v>
      </c>
      <c r="G904">
        <f ca="1"/>
        <v>2.0747619867785838E-2</v>
      </c>
      <c r="H904">
        <f ca="1"/>
        <v>72.844806367564232</v>
      </c>
      <c r="I904">
        <f ca="1"/>
        <v>-0.70980832835960705</v>
      </c>
      <c r="J904">
        <f ca="1"/>
        <v>4.0255588511039235</v>
      </c>
      <c r="K904">
        <f ca="1"/>
        <v>0</v>
      </c>
      <c r="L904">
        <f ca="1"/>
        <v>3.0453084771432515</v>
      </c>
    </row>
    <row r="905" spans="2:12">
      <c r="B905">
        <v>0.17900000000000002</v>
      </c>
      <c r="C905">
        <f ca="1"/>
        <v>-0.13446274869670796</v>
      </c>
      <c r="D905">
        <f ca="1"/>
        <v>1</v>
      </c>
      <c r="E905">
        <f ca="1"/>
        <v>96.998705809934322</v>
      </c>
      <c r="F905">
        <f ca="1"/>
        <v>-0.25506712928852077</v>
      </c>
      <c r="G905">
        <f ca="1"/>
        <v>2.629593118369189E-3</v>
      </c>
      <c r="H905">
        <f ca="1"/>
        <v>72.589739238275712</v>
      </c>
      <c r="I905">
        <f ca="1"/>
        <v>-0.70717873524123787</v>
      </c>
      <c r="J905">
        <f ca="1"/>
        <v>3.9943171435694467</v>
      </c>
      <c r="K905">
        <f ca="1"/>
        <v>0</v>
      </c>
      <c r="L905">
        <f ca="1"/>
        <v>3.0012941900656784</v>
      </c>
    </row>
    <row r="906" spans="2:12">
      <c r="B906">
        <v>0.1792</v>
      </c>
      <c r="C906">
        <f ca="1"/>
        <v>-0.12735739752974048</v>
      </c>
      <c r="D906">
        <f ca="1"/>
        <v>1</v>
      </c>
      <c r="E906">
        <f ca="1"/>
        <v>97.136257225605675</v>
      </c>
      <c r="F906">
        <f ca="1"/>
        <v>-0.86717917850312309</v>
      </c>
      <c r="G906">
        <f ca="1"/>
        <v>8.9274510185114453E-3</v>
      </c>
      <c r="H906">
        <f ca="1"/>
        <v>71.72256005977259</v>
      </c>
      <c r="I906">
        <f ca="1"/>
        <v>-0.69825128422272642</v>
      </c>
      <c r="J906">
        <f ca="1"/>
        <v>3.897043707404336</v>
      </c>
      <c r="K906">
        <f ca="1"/>
        <v>0</v>
      </c>
      <c r="L906">
        <f ca="1"/>
        <v>2.8637427743943249</v>
      </c>
    </row>
    <row r="907" spans="2:12">
      <c r="B907">
        <v>0.1794</v>
      </c>
      <c r="C907">
        <f ca="1"/>
        <v>-0.13428539829082023</v>
      </c>
      <c r="D907">
        <f ca="1"/>
        <v>1</v>
      </c>
      <c r="E907">
        <f ca="1"/>
        <v>97.001370408855252</v>
      </c>
      <c r="F907">
        <f ca="1"/>
        <v>0.90518044073946191</v>
      </c>
      <c r="G907">
        <f ca="1"/>
        <v>-9.3316252845107028E-3</v>
      </c>
      <c r="H907">
        <f ca="1"/>
        <v>72.627740500512047</v>
      </c>
      <c r="I907">
        <f ca="1"/>
        <v>-0.70758290950723712</v>
      </c>
      <c r="J907">
        <f ca="1"/>
        <v>3.9912286004250319</v>
      </c>
      <c r="K907">
        <f ca="1"/>
        <v>0</v>
      </c>
      <c r="L907">
        <f ca="1"/>
        <v>2.9986295911447485</v>
      </c>
    </row>
    <row r="908" spans="2:12">
      <c r="B908">
        <v>0.17960000000000001</v>
      </c>
      <c r="C908">
        <f ca="1"/>
        <v>-0.13390028904132614</v>
      </c>
      <c r="D908">
        <f ca="1"/>
        <v>1</v>
      </c>
      <c r="E908">
        <f ca="1"/>
        <v>97.008453886986416</v>
      </c>
      <c r="F908">
        <f ca="1"/>
        <v>-1.7509642573151595E-2</v>
      </c>
      <c r="G908">
        <f ca="1"/>
        <v>1.8049604824699195E-4</v>
      </c>
      <c r="H908">
        <f ca="1"/>
        <v>72.610230857938902</v>
      </c>
      <c r="I908">
        <f ca="1"/>
        <v>-0.70740241345899013</v>
      </c>
      <c r="J908">
        <f ca="1"/>
        <v>3.9862164523595567</v>
      </c>
      <c r="K908">
        <f ca="1"/>
        <v>0</v>
      </c>
      <c r="L908">
        <f ca="1"/>
        <v>2.9915461130135839</v>
      </c>
    </row>
    <row r="909" spans="2:12">
      <c r="B909">
        <v>0.17980000000000002</v>
      </c>
      <c r="C909">
        <f ca="1"/>
        <v>-0.13430786580683332</v>
      </c>
      <c r="D909">
        <f ca="1"/>
        <v>1</v>
      </c>
      <c r="E909">
        <f ca="1"/>
        <v>97.000158529493703</v>
      </c>
      <c r="F909">
        <f ca="1"/>
        <v>8.2173595017929368E-2</v>
      </c>
      <c r="G909">
        <f ca="1"/>
        <v>-8.4714907958571839E-4</v>
      </c>
      <c r="H909">
        <f ca="1"/>
        <v>72.692404452956836</v>
      </c>
      <c r="I909">
        <f ca="1"/>
        <v>-0.70824956253857585</v>
      </c>
      <c r="J909">
        <f ca="1"/>
        <v>3.9920846082704173</v>
      </c>
      <c r="K909">
        <f ca="1"/>
        <v>0</v>
      </c>
      <c r="L909">
        <f ca="1"/>
        <v>2.999841470506297</v>
      </c>
    </row>
    <row r="910" spans="2:12">
      <c r="B910">
        <v>0.18000000000000002</v>
      </c>
      <c r="C910">
        <f ca="1"/>
        <v>-0.12182446072588131</v>
      </c>
      <c r="D910">
        <f ca="1"/>
        <v>1</v>
      </c>
      <c r="E910">
        <f ca="1"/>
        <v>97.242250587013203</v>
      </c>
      <c r="F910">
        <f ca="1"/>
        <v>-1.5629773594256782</v>
      </c>
      <c r="G910">
        <f ca="1"/>
        <v>1.6073027413398999E-2</v>
      </c>
      <c r="H910">
        <f ca="1"/>
        <v>71.129427093531163</v>
      </c>
      <c r="I910">
        <f ca="1"/>
        <v>-0.69217653512517685</v>
      </c>
      <c r="J910">
        <f ca="1"/>
        <v>3.8206230144381692</v>
      </c>
      <c r="K910">
        <f ca="1"/>
        <v>0</v>
      </c>
      <c r="L910">
        <f ca="1"/>
        <v>2.7577494129867972</v>
      </c>
    </row>
    <row r="911" spans="2:12">
      <c r="B911">
        <v>0.1802</v>
      </c>
      <c r="C911">
        <f ca="1"/>
        <v>-0.13278913861196051</v>
      </c>
      <c r="D911">
        <f ca="1"/>
        <v>1</v>
      </c>
      <c r="E911">
        <f ca="1"/>
        <v>97.02885012645396</v>
      </c>
      <c r="F911">
        <f ca="1"/>
        <v>1.4302824325145105</v>
      </c>
      <c r="G911">
        <f ca="1"/>
        <v>-1.4740795450533306E-2</v>
      </c>
      <c r="H911">
        <f ca="1"/>
        <v>72.55970952604568</v>
      </c>
      <c r="I911">
        <f ca="1"/>
        <v>-0.70691733057571016</v>
      </c>
      <c r="J911">
        <f ca="1"/>
        <v>3.9683338058221835</v>
      </c>
      <c r="K911">
        <f ca="1"/>
        <v>0</v>
      </c>
      <c r="L911">
        <f ca="1"/>
        <v>2.9711498735460395</v>
      </c>
    </row>
    <row r="912" spans="2:12">
      <c r="B912">
        <v>0.1804</v>
      </c>
      <c r="C912">
        <f ca="1"/>
        <v>-0.13615318067201457</v>
      </c>
      <c r="D912">
        <f ca="1"/>
        <v>1</v>
      </c>
      <c r="E912">
        <f ca="1"/>
        <v>96.963202402452481</v>
      </c>
      <c r="F912">
        <f ca="1"/>
        <v>0.45473956387500891</v>
      </c>
      <c r="G912">
        <f ca="1"/>
        <v>-4.6898158539316892E-3</v>
      </c>
      <c r="H912">
        <f ca="1"/>
        <v>73.014449089920689</v>
      </c>
      <c r="I912">
        <f ca="1"/>
        <v>-0.71160714642964185</v>
      </c>
      <c r="J912">
        <f ca="1"/>
        <v>4.0147413196316819</v>
      </c>
      <c r="K912">
        <f ca="1"/>
        <v>0</v>
      </c>
      <c r="L912">
        <f ca="1"/>
        <v>3.036797597547519</v>
      </c>
    </row>
    <row r="913" spans="2:12">
      <c r="B913">
        <v>0.18060000000000001</v>
      </c>
      <c r="C913">
        <f ca="1"/>
        <v>-0.12317146128865546</v>
      </c>
      <c r="D913">
        <f ca="1"/>
        <v>1</v>
      </c>
      <c r="E913">
        <f ca="1"/>
        <v>97.214890456505387</v>
      </c>
      <c r="F913">
        <f ca="1"/>
        <v>-1.6250203676442134</v>
      </c>
      <c r="G913">
        <f ca="1"/>
        <v>1.6715755786108288E-2</v>
      </c>
      <c r="H913">
        <f ca="1"/>
        <v>71.389428722276477</v>
      </c>
      <c r="I913">
        <f ca="1"/>
        <v>-0.69489139064353356</v>
      </c>
      <c r="J913">
        <f ca="1"/>
        <v>3.835638301696676</v>
      </c>
      <c r="K913">
        <f ca="1"/>
        <v>0</v>
      </c>
      <c r="L913">
        <f ca="1"/>
        <v>2.7851095434946131</v>
      </c>
    </row>
    <row r="914" spans="2:12">
      <c r="B914">
        <v>0.18080000000000002</v>
      </c>
      <c r="C914">
        <f ca="1"/>
        <v>-0.13192397643438977</v>
      </c>
      <c r="D914">
        <f ca="1"/>
        <v>1</v>
      </c>
      <c r="E914">
        <f ca="1"/>
        <v>97.044476176621657</v>
      </c>
      <c r="F914">
        <f ca="1"/>
        <v>1.1511034803867688</v>
      </c>
      <c r="G914">
        <f ca="1"/>
        <v>-1.1861607437519184E-2</v>
      </c>
      <c r="H914">
        <f ca="1"/>
        <v>72.540532202663243</v>
      </c>
      <c r="I914">
        <f ca="1"/>
        <v>-0.70675299808105274</v>
      </c>
      <c r="J914">
        <f ca="1"/>
        <v>3.9540577176305902</v>
      </c>
      <c r="K914">
        <f ca="1"/>
        <v>0</v>
      </c>
      <c r="L914">
        <f ca="1"/>
        <v>2.9555238233783427</v>
      </c>
    </row>
    <row r="915" spans="2:12">
      <c r="B915">
        <v>0.18100000000000002</v>
      </c>
      <c r="C915">
        <f ca="1"/>
        <v>-0.13959266526957018</v>
      </c>
      <c r="D915">
        <f ca="1"/>
        <v>1</v>
      </c>
      <c r="E915">
        <f ca="1"/>
        <v>96.895361899234018</v>
      </c>
      <c r="F915">
        <f ca="1"/>
        <v>0.99634398232799593</v>
      </c>
      <c r="G915">
        <f ca="1"/>
        <v>-1.0282679818711449E-2</v>
      </c>
      <c r="H915">
        <f ca="1"/>
        <v>73.536876184991243</v>
      </c>
      <c r="I915">
        <f ca="1"/>
        <v>-0.71703567789976419</v>
      </c>
      <c r="J915">
        <f ca="1"/>
        <v>4.059444680230996</v>
      </c>
      <c r="K915">
        <f ca="1"/>
        <v>0</v>
      </c>
      <c r="L915">
        <f ca="1"/>
        <v>3.1046381007659818</v>
      </c>
    </row>
    <row r="916" spans="2:12">
      <c r="B916">
        <v>0.1812</v>
      </c>
      <c r="C916">
        <f ca="1"/>
        <v>-0.14455890940472205</v>
      </c>
      <c r="D916">
        <f ca="1"/>
        <v>1</v>
      </c>
      <c r="E916">
        <f ca="1"/>
        <v>96.798781278694761</v>
      </c>
      <c r="F916">
        <f ca="1"/>
        <v>0.64863242924307785</v>
      </c>
      <c r="G916">
        <f ca="1"/>
        <v>-6.7008326001087859E-3</v>
      </c>
      <c r="H916">
        <f ca="1"/>
        <v>74.185508614234323</v>
      </c>
      <c r="I916">
        <f ca="1"/>
        <v>-0.72373651049987298</v>
      </c>
      <c r="J916">
        <f ca="1"/>
        <v>4.1286964309513507</v>
      </c>
      <c r="K916">
        <f ca="1"/>
        <v>0</v>
      </c>
      <c r="L916">
        <f ca="1"/>
        <v>3.2012187213052385</v>
      </c>
    </row>
    <row r="917" spans="2:12">
      <c r="B917">
        <v>0.18140000000000001</v>
      </c>
      <c r="C917">
        <f ca="1"/>
        <v>-0.12653056071337893</v>
      </c>
      <c r="D917">
        <f ca="1"/>
        <v>1</v>
      </c>
      <c r="E917">
        <f ca="1"/>
        <v>97.148047112462564</v>
      </c>
      <c r="F917">
        <f ca="1"/>
        <v>-2.2464448857550861</v>
      </c>
      <c r="G917">
        <f ca="1"/>
        <v>2.3123932518731016E-2</v>
      </c>
      <c r="H917">
        <f ca="1"/>
        <v>71.93906372847924</v>
      </c>
      <c r="I917">
        <f ca="1"/>
        <v>-0.70061257798114196</v>
      </c>
      <c r="J917">
        <f ca="1"/>
        <v>3.8759199951834091</v>
      </c>
      <c r="K917">
        <f ca="1"/>
        <v>0</v>
      </c>
      <c r="L917">
        <f ca="1"/>
        <v>2.8519528875374363</v>
      </c>
    </row>
    <row r="918" spans="2:12">
      <c r="B918">
        <v>0.18160000000000001</v>
      </c>
      <c r="C918">
        <f ca="1"/>
        <v>-0.14181106454242232</v>
      </c>
      <c r="D918">
        <f ca="1"/>
        <v>1</v>
      </c>
      <c r="E918">
        <f ca="1"/>
        <v>96.851218693163929</v>
      </c>
      <c r="F918">
        <f ca="1"/>
        <v>1.9646679317172193</v>
      </c>
      <c r="G918">
        <f ca="1"/>
        <v>-2.0285422922157736E-2</v>
      </c>
      <c r="H918">
        <f ca="1"/>
        <v>73.903731660196456</v>
      </c>
      <c r="I918">
        <f ca="1"/>
        <v>-0.7208980009032997</v>
      </c>
      <c r="J918">
        <f ca="1"/>
        <v>4.0838817192462926</v>
      </c>
      <c r="K918">
        <f ca="1"/>
        <v>0</v>
      </c>
      <c r="L918">
        <f ca="1"/>
        <v>3.1487813068360708</v>
      </c>
    </row>
    <row r="919" spans="2:12">
      <c r="B919">
        <v>0.18180000000000002</v>
      </c>
      <c r="C919">
        <f ca="1"/>
        <v>-0.15749947320002891</v>
      </c>
      <c r="D919">
        <f ca="1"/>
        <v>1</v>
      </c>
      <c r="E919">
        <f ca="1"/>
        <v>96.547420457282072</v>
      </c>
      <c r="F919">
        <f ca="1"/>
        <v>1.945950501959858</v>
      </c>
      <c r="G919">
        <f ca="1"/>
        <v>-2.0155385744571541E-2</v>
      </c>
      <c r="H919">
        <f ca="1"/>
        <v>75.849682162156313</v>
      </c>
      <c r="I919">
        <f ca="1"/>
        <v>-0.74105338664787124</v>
      </c>
      <c r="J919">
        <f ca="1"/>
        <v>4.3028892601714688</v>
      </c>
      <c r="K919">
        <f ca="1"/>
        <v>0</v>
      </c>
      <c r="L919">
        <f ca="1"/>
        <v>3.4525795427179276</v>
      </c>
    </row>
    <row r="920" spans="2:12">
      <c r="B920">
        <v>0.182</v>
      </c>
      <c r="C920">
        <f ca="1"/>
        <v>-0.15947855213510512</v>
      </c>
      <c r="D920">
        <f ca="1"/>
        <v>1</v>
      </c>
      <c r="E920">
        <f ca="1"/>
        <v>96.508826990040504</v>
      </c>
      <c r="F920">
        <f ca="1"/>
        <v>0.27079122810975387</v>
      </c>
      <c r="G920">
        <f ca="1"/>
        <v>-2.8058700593024399E-3</v>
      </c>
      <c r="H920">
        <f ca="1"/>
        <v>76.120473390266071</v>
      </c>
      <c r="I920">
        <f ca="1"/>
        <v>-0.74385925670717368</v>
      </c>
      <c r="J920">
        <f ca="1"/>
        <v>4.3314890797733199</v>
      </c>
      <c r="K920">
        <f ca="1"/>
        <v>0</v>
      </c>
      <c r="L920">
        <f ca="1"/>
        <v>3.4911730099594962</v>
      </c>
    </row>
    <row r="921" spans="2:12">
      <c r="B921">
        <v>0.1822</v>
      </c>
      <c r="C921">
        <f ca="1"/>
        <v>-0.16508510180888214</v>
      </c>
      <c r="D921">
        <f ca="1"/>
        <v>1</v>
      </c>
      <c r="E921">
        <f ca="1"/>
        <v>96.400285730969628</v>
      </c>
      <c r="F921">
        <f ca="1"/>
        <v>0.69755780716348237</v>
      </c>
      <c r="G921">
        <f ca="1"/>
        <v>-7.2360553900244762E-3</v>
      </c>
      <c r="H921">
        <f ca="1"/>
        <v>76.818031197429548</v>
      </c>
      <c r="I921">
        <f ca="1"/>
        <v>-0.75109531209719815</v>
      </c>
      <c r="J921">
        <f ca="1"/>
        <v>4.4122285000678403</v>
      </c>
      <c r="K921">
        <f ca="1"/>
        <v>0</v>
      </c>
      <c r="L921">
        <f ca="1"/>
        <v>3.5997142690303718</v>
      </c>
    </row>
    <row r="922" spans="2:12">
      <c r="B922">
        <v>0.18240000000000001</v>
      </c>
      <c r="C922">
        <f ca="1"/>
        <v>-0.16648382047676855</v>
      </c>
      <c r="D922">
        <f ca="1"/>
        <v>1</v>
      </c>
      <c r="E922">
        <f ca="1"/>
        <v>96.372936634229305</v>
      </c>
      <c r="F922">
        <f ca="1"/>
        <v>0.19924542137875662</v>
      </c>
      <c r="G922">
        <f ca="1"/>
        <v>-2.0674416318241517E-3</v>
      </c>
      <c r="H922">
        <f ca="1"/>
        <v>77.01727661880831</v>
      </c>
      <c r="I922">
        <f ca="1"/>
        <v>-0.75316275372902231</v>
      </c>
      <c r="J922">
        <f ca="1"/>
        <v>4.4327702784195964</v>
      </c>
      <c r="K922">
        <f ca="1"/>
        <v>0</v>
      </c>
      <c r="L922">
        <f ca="1"/>
        <v>3.6270633657706952</v>
      </c>
    </row>
    <row r="923" spans="2:12">
      <c r="B923">
        <v>0.18260000000000001</v>
      </c>
      <c r="C923">
        <f ca="1"/>
        <v>-0.1741974064145414</v>
      </c>
      <c r="D923">
        <f ca="1"/>
        <v>1</v>
      </c>
      <c r="E923">
        <f ca="1"/>
        <v>96.223990175440093</v>
      </c>
      <c r="F923">
        <f ca="1"/>
        <v>0.92788045231755745</v>
      </c>
      <c r="G923">
        <f ca="1"/>
        <v>-9.6429222133254111E-3</v>
      </c>
      <c r="H923">
        <f ca="1"/>
        <v>77.945157071125863</v>
      </c>
      <c r="I923">
        <f ca="1"/>
        <v>-0.76280567594234772</v>
      </c>
      <c r="J923">
        <f ca="1"/>
        <v>4.5449512034794566</v>
      </c>
      <c r="K923">
        <f ca="1"/>
        <v>0</v>
      </c>
      <c r="L923">
        <f ca="1"/>
        <v>3.7760098245599067</v>
      </c>
    </row>
    <row r="924" spans="2:12">
      <c r="B924">
        <v>0.18280000000000002</v>
      </c>
      <c r="C924">
        <f ca="1"/>
        <v>-0.15881977634264988</v>
      </c>
      <c r="D924">
        <f ca="1"/>
        <v>1</v>
      </c>
      <c r="E924">
        <f ca="1"/>
        <v>96.519999031202744</v>
      </c>
      <c r="F924">
        <f ca="1"/>
        <v>-1.7677056778401903</v>
      </c>
      <c r="G924">
        <f ca="1"/>
        <v>1.8314398006455956E-2</v>
      </c>
      <c r="H924">
        <f ca="1"/>
        <v>76.177451393285679</v>
      </c>
      <c r="I924">
        <f ca="1"/>
        <v>-0.74449127793589176</v>
      </c>
      <c r="J924">
        <f ca="1"/>
        <v>4.3191539681745184</v>
      </c>
      <c r="K924">
        <f ca="1"/>
        <v>0</v>
      </c>
      <c r="L924">
        <f ca="1"/>
        <v>3.4800009687972562</v>
      </c>
    </row>
    <row r="925" spans="2:12">
      <c r="B925">
        <v>0.183</v>
      </c>
      <c r="C925">
        <f ca="1"/>
        <v>-0.17768150842349789</v>
      </c>
      <c r="D925">
        <f ca="1"/>
        <v>1</v>
      </c>
      <c r="E925">
        <f ca="1"/>
        <v>96.156193439090771</v>
      </c>
      <c r="F925">
        <f ca="1"/>
        <v>2.2306326230569469</v>
      </c>
      <c r="G925">
        <f ca="1"/>
        <v>-2.3198012975315208E-2</v>
      </c>
      <c r="H925">
        <f ca="1"/>
        <v>78.408084016342627</v>
      </c>
      <c r="I925">
        <f ca="1"/>
        <v>-0.76768929091120697</v>
      </c>
      <c r="J925">
        <f ca="1"/>
        <v>4.5900040583661763</v>
      </c>
      <c r="K925">
        <f ca="1"/>
        <v>0</v>
      </c>
      <c r="L925">
        <f ca="1"/>
        <v>3.8438065609092291</v>
      </c>
    </row>
    <row r="926" spans="2:12">
      <c r="B926">
        <v>0.1832</v>
      </c>
      <c r="C926">
        <f ca="1"/>
        <v>-0.18111471489205144</v>
      </c>
      <c r="D926">
        <f ca="1"/>
        <v>1</v>
      </c>
      <c r="E926">
        <f ca="1"/>
        <v>96.089806928527253</v>
      </c>
      <c r="F926">
        <f ca="1"/>
        <v>0.42411003301649913</v>
      </c>
      <c r="G926">
        <f ca="1"/>
        <v>-4.4136838919028865E-3</v>
      </c>
      <c r="H926">
        <f ca="1"/>
        <v>78.832194049359131</v>
      </c>
      <c r="I926">
        <f ca="1"/>
        <v>-0.77210297480310985</v>
      </c>
      <c r="J926">
        <f ca="1"/>
        <v>4.6409682715867575</v>
      </c>
      <c r="K926">
        <f ca="1"/>
        <v>0</v>
      </c>
      <c r="L926">
        <f ca="1"/>
        <v>3.9101930714727473</v>
      </c>
    </row>
    <row r="927" spans="2:12">
      <c r="B927">
        <v>0.18340000000000001</v>
      </c>
      <c r="C927">
        <f ca="1"/>
        <v>-0.14805004675506953</v>
      </c>
      <c r="D927">
        <f ca="1"/>
        <v>1</v>
      </c>
      <c r="E927">
        <f ca="1"/>
        <v>96.726961220867523</v>
      </c>
      <c r="F927">
        <f ca="1"/>
        <v>-3.8768620883728153</v>
      </c>
      <c r="G927">
        <f ca="1"/>
        <v>4.0080470216782071E-2</v>
      </c>
      <c r="H927">
        <f ca="1"/>
        <v>74.955331960986314</v>
      </c>
      <c r="I927">
        <f ca="1"/>
        <v>-0.73202250458632778</v>
      </c>
      <c r="J927">
        <f ca="1"/>
        <v>4.1490195470622666</v>
      </c>
      <c r="K927">
        <f ca="1"/>
        <v>0</v>
      </c>
      <c r="L927">
        <f ca="1"/>
        <v>3.2730387791324773</v>
      </c>
    </row>
    <row r="928" spans="2:12">
      <c r="B928">
        <v>0.18360000000000001</v>
      </c>
      <c r="C928">
        <f ca="1"/>
        <v>-0.15238090563289405</v>
      </c>
      <c r="D928">
        <f ca="1"/>
        <v>1</v>
      </c>
      <c r="E928">
        <f ca="1"/>
        <v>96.642828759432405</v>
      </c>
      <c r="F928">
        <f ca="1"/>
        <v>0.5664564277773233</v>
      </c>
      <c r="G928">
        <f ca="1"/>
        <v>-5.8613394811463104E-3</v>
      </c>
      <c r="H928">
        <f ca="1"/>
        <v>75.521788388763639</v>
      </c>
      <c r="I928">
        <f ca="1"/>
        <v>-0.73788384406747409</v>
      </c>
      <c r="J928">
        <f ca="1"/>
        <v>4.2106064021990193</v>
      </c>
      <c r="K928">
        <f ca="1"/>
        <v>0</v>
      </c>
      <c r="L928">
        <f ca="1"/>
        <v>3.3571712405675953</v>
      </c>
    </row>
    <row r="929" spans="2:12">
      <c r="B929">
        <v>0.18380000000000002</v>
      </c>
      <c r="C929">
        <f ca="1"/>
        <v>-0.13911087125436067</v>
      </c>
      <c r="D929">
        <f ca="1"/>
        <v>1</v>
      </c>
      <c r="E929">
        <f ca="1"/>
        <v>96.899272558974843</v>
      </c>
      <c r="F929">
        <f ca="1"/>
        <v>-1.6177507994544955</v>
      </c>
      <c r="G929">
        <f ca="1"/>
        <v>1.669518002284176E-2</v>
      </c>
      <c r="H929">
        <f ca="1"/>
        <v>73.904037589309141</v>
      </c>
      <c r="I929">
        <f ca="1"/>
        <v>-0.72118866404463233</v>
      </c>
      <c r="J929">
        <f ca="1"/>
        <v>4.0213806656053777</v>
      </c>
      <c r="K929">
        <f ca="1"/>
        <v>0</v>
      </c>
      <c r="L929">
        <f ca="1"/>
        <v>3.1007274410251568</v>
      </c>
    </row>
    <row r="930" spans="2:12">
      <c r="B930">
        <v>0.184</v>
      </c>
      <c r="C930">
        <f ca="1"/>
        <v>-0.14463006360830044</v>
      </c>
      <c r="D930">
        <f ca="1"/>
        <v>1</v>
      </c>
      <c r="E930">
        <f ca="1"/>
        <v>96.791983257623471</v>
      </c>
      <c r="F930">
        <f ca="1"/>
        <v>0.72758856732434918</v>
      </c>
      <c r="G930">
        <f ca="1"/>
        <v>-7.5170333620273588E-3</v>
      </c>
      <c r="H930">
        <f ca="1"/>
        <v>74.631626156633487</v>
      </c>
      <c r="I930">
        <f ca="1"/>
        <v>-0.72870569740665969</v>
      </c>
      <c r="J930">
        <f ca="1"/>
        <v>4.0987564935132497</v>
      </c>
      <c r="K930">
        <f ca="1"/>
        <v>0</v>
      </c>
      <c r="L930">
        <f ca="1"/>
        <v>3.2080167423765289</v>
      </c>
    </row>
    <row r="931" spans="2:12">
      <c r="B931">
        <v>0.1842</v>
      </c>
      <c r="C931">
        <f ca="1"/>
        <v>-0.13764385277090038</v>
      </c>
      <c r="D931">
        <f ca="1"/>
        <v>1</v>
      </c>
      <c r="E931">
        <f ca="1"/>
        <v>96.926931916423626</v>
      </c>
      <c r="F931">
        <f ca="1"/>
        <v>-0.8468437365240904</v>
      </c>
      <c r="G931">
        <f ca="1"/>
        <v>8.7369291463211818E-3</v>
      </c>
      <c r="H931">
        <f ca="1"/>
        <v>73.784782420109394</v>
      </c>
      <c r="I931">
        <f ca="1"/>
        <v>-0.71996876826033851</v>
      </c>
      <c r="J931">
        <f ca="1"/>
        <v>4.0004186369881864</v>
      </c>
      <c r="K931">
        <f ca="1"/>
        <v>0</v>
      </c>
      <c r="L931">
        <f ca="1"/>
        <v>3.0730680835763735</v>
      </c>
    </row>
    <row r="932" spans="2:12">
      <c r="B932">
        <v>0.18440000000000001</v>
      </c>
      <c r="C932">
        <f ca="1"/>
        <v>-0.13236242894740491</v>
      </c>
      <c r="D932">
        <f ca="1"/>
        <v>1</v>
      </c>
      <c r="E932">
        <f ca="1"/>
        <v>97.028980332748631</v>
      </c>
      <c r="F932">
        <f ca="1"/>
        <v>-0.64307203460696905</v>
      </c>
      <c r="G932">
        <f ca="1"/>
        <v>6.6276284920405715E-3</v>
      </c>
      <c r="H932">
        <f ca="1"/>
        <v>73.141710385502421</v>
      </c>
      <c r="I932">
        <f ca="1"/>
        <v>-0.71334113976829794</v>
      </c>
      <c r="J932">
        <f ca="1"/>
        <v>3.9269469643837454</v>
      </c>
      <c r="K932">
        <f ca="1"/>
        <v>0</v>
      </c>
      <c r="L932">
        <f ca="1"/>
        <v>2.9710196672513689</v>
      </c>
    </row>
    <row r="933" spans="2:12">
      <c r="B933">
        <v>0.18460000000000001</v>
      </c>
      <c r="C933">
        <f ca="1"/>
        <v>-0.11414428959490949</v>
      </c>
      <c r="D933">
        <f ca="1"/>
        <v>1</v>
      </c>
      <c r="E933">
        <f ca="1"/>
        <v>97.382773160377226</v>
      </c>
      <c r="F933">
        <f ca="1"/>
        <v>-2.3727277227338788</v>
      </c>
      <c r="G933">
        <f ca="1"/>
        <v>2.4364963593984879E-2</v>
      </c>
      <c r="H933">
        <f ca="1"/>
        <v>70.768982662768536</v>
      </c>
      <c r="I933">
        <f ca="1"/>
        <v>-0.68897617617431306</v>
      </c>
      <c r="J933">
        <f ca="1"/>
        <v>3.6745719854813075</v>
      </c>
      <c r="K933">
        <f ca="1"/>
        <v>0</v>
      </c>
      <c r="L933">
        <f ca="1"/>
        <v>2.6172268396227736</v>
      </c>
    </row>
    <row r="934" spans="2:12">
      <c r="B934">
        <v>0.18480000000000002</v>
      </c>
      <c r="C934">
        <f ca="1"/>
        <v>-0.11761377123036626</v>
      </c>
      <c r="D934">
        <f ca="1"/>
        <v>1</v>
      </c>
      <c r="E934">
        <f ca="1"/>
        <v>97.314833790742426</v>
      </c>
      <c r="F934">
        <f ca="1"/>
        <v>0.49672281109095978</v>
      </c>
      <c r="G934">
        <f ca="1"/>
        <v>-5.1042866923974861E-3</v>
      </c>
      <c r="H934">
        <f ca="1"/>
        <v>71.265705473859498</v>
      </c>
      <c r="I934">
        <f ca="1"/>
        <v>-0.69408046286671055</v>
      </c>
      <c r="J934">
        <f ca="1"/>
        <v>3.7213805925839836</v>
      </c>
      <c r="K934">
        <f ca="1"/>
        <v>0</v>
      </c>
      <c r="L934">
        <f ca="1"/>
        <v>2.6851662092575737</v>
      </c>
    </row>
    <row r="935" spans="2:12">
      <c r="B935">
        <v>0.185</v>
      </c>
      <c r="C935">
        <f ca="1"/>
        <v>-0.12528326163581902</v>
      </c>
      <c r="D935">
        <f ca="1"/>
        <v>1</v>
      </c>
      <c r="E935">
        <f ca="1"/>
        <v>97.165288516763454</v>
      </c>
      <c r="F935">
        <f ca="1"/>
        <v>1.0487024398588434</v>
      </c>
      <c r="G935">
        <f ca="1"/>
        <v>-1.0792974074048223E-2</v>
      </c>
      <c r="H935">
        <f ca="1"/>
        <v>72.314407913718341</v>
      </c>
      <c r="I935">
        <f ca="1"/>
        <v>-0.70487343694075877</v>
      </c>
      <c r="J935">
        <f ca="1"/>
        <v>3.8251770455668463</v>
      </c>
      <c r="K935">
        <f ca="1"/>
        <v>0</v>
      </c>
      <c r="L935">
        <f ca="1"/>
        <v>2.8347114832365463</v>
      </c>
    </row>
    <row r="936" spans="2:12">
      <c r="B936">
        <v>0.1852</v>
      </c>
      <c r="C936">
        <f ca="1"/>
        <v>-0.10725657171728351</v>
      </c>
      <c r="D936">
        <f ca="1"/>
        <v>1</v>
      </c>
      <c r="E936">
        <f ca="1"/>
        <v>97.515844417254897</v>
      </c>
      <c r="F936">
        <f ca="1"/>
        <v>-2.392697583960476</v>
      </c>
      <c r="G936">
        <f ca="1"/>
        <v>2.4536500691338947E-2</v>
      </c>
      <c r="H936">
        <f ca="1"/>
        <v>69.921710329757872</v>
      </c>
      <c r="I936">
        <f ca="1"/>
        <v>-0.68033693624941982</v>
      </c>
      <c r="J936">
        <f ca="1"/>
        <v>3.5780795031475918</v>
      </c>
      <c r="K936">
        <f ca="1"/>
        <v>0</v>
      </c>
      <c r="L936">
        <f ca="1"/>
        <v>2.4841555827451032</v>
      </c>
    </row>
    <row r="937" spans="2:12">
      <c r="B937">
        <v>0.18540000000000001</v>
      </c>
      <c r="C937">
        <f ca="1"/>
        <v>-0.11348063270696535</v>
      </c>
      <c r="D937">
        <f ca="1"/>
        <v>1</v>
      </c>
      <c r="E937">
        <f ca="1"/>
        <v>97.394141449146758</v>
      </c>
      <c r="F937">
        <f ca="1"/>
        <v>0.87792113071066191</v>
      </c>
      <c r="G937">
        <f ca="1"/>
        <v>-9.0141061633471908E-3</v>
      </c>
      <c r="H937">
        <f ca="1"/>
        <v>70.799631460468532</v>
      </c>
      <c r="I937">
        <f ca="1"/>
        <v>-0.68935104241276701</v>
      </c>
      <c r="J937">
        <f ca="1"/>
        <v>3.6608785276027334</v>
      </c>
      <c r="K937">
        <f ca="1"/>
        <v>0</v>
      </c>
      <c r="L937">
        <f ca="1"/>
        <v>2.6058585508532417</v>
      </c>
    </row>
    <row r="938" spans="2:12">
      <c r="B938">
        <v>0.18560000000000001</v>
      </c>
      <c r="C938">
        <f ca="1"/>
        <v>-0.13152014005999912</v>
      </c>
      <c r="D938">
        <f ca="1"/>
        <v>1</v>
      </c>
      <c r="E938">
        <f ca="1"/>
        <v>97.042997936050298</v>
      </c>
      <c r="F938">
        <f ca="1"/>
        <v>2.4221307887585857</v>
      </c>
      <c r="G938">
        <f ca="1"/>
        <v>-2.495935657670767E-2</v>
      </c>
      <c r="H938">
        <f ca="1"/>
        <v>73.221762249227112</v>
      </c>
      <c r="I938">
        <f ca="1"/>
        <v>-0.71431039898947468</v>
      </c>
      <c r="J938">
        <f ca="1"/>
        <v>3.9029396743922575</v>
      </c>
      <c r="K938">
        <f ca="1"/>
        <v>0</v>
      </c>
      <c r="L938">
        <f ca="1"/>
        <v>2.9570020639497017</v>
      </c>
    </row>
    <row r="939" spans="2:12">
      <c r="B939">
        <v>0.18580000000000002</v>
      </c>
      <c r="C939">
        <f ca="1"/>
        <v>-0.13420686433578483</v>
      </c>
      <c r="D939">
        <f ca="1"/>
        <v>1</v>
      </c>
      <c r="E939">
        <f ca="1"/>
        <v>96.990478425254665</v>
      </c>
      <c r="F939">
        <f ca="1"/>
        <v>0.38253868725354473</v>
      </c>
      <c r="G939">
        <f ca="1"/>
        <v>-3.9440849603432637E-3</v>
      </c>
      <c r="H939">
        <f ca="1"/>
        <v>73.604300936480655</v>
      </c>
      <c r="I939">
        <f ca="1"/>
        <v>-0.71825448394981795</v>
      </c>
      <c r="J939">
        <f ca="1"/>
        <v>3.9404549071034154</v>
      </c>
      <c r="K939">
        <f ca="1"/>
        <v>0</v>
      </c>
      <c r="L939">
        <f ca="1"/>
        <v>3.0095215747453352</v>
      </c>
    </row>
    <row r="940" spans="2:12">
      <c r="B940">
        <v>0.186</v>
      </c>
      <c r="C940">
        <f ca="1"/>
        <v>-0.11569197850083429</v>
      </c>
      <c r="D940">
        <f ca="1"/>
        <v>1</v>
      </c>
      <c r="E940">
        <f ca="1"/>
        <v>97.34990834206998</v>
      </c>
      <c r="F940">
        <f ca="1"/>
        <v>-2.4186770445613872</v>
      </c>
      <c r="G940">
        <f ca="1"/>
        <v>2.4845190773704617E-2</v>
      </c>
      <c r="H940">
        <f ca="1"/>
        <v>71.185623891919263</v>
      </c>
      <c r="I940">
        <f ca="1"/>
        <v>-0.69340929317611333</v>
      </c>
      <c r="J940">
        <f ca="1"/>
        <v>3.6822927576851043</v>
      </c>
      <c r="K940">
        <f ca="1"/>
        <v>0</v>
      </c>
      <c r="L940">
        <f ca="1"/>
        <v>2.6500916579300196</v>
      </c>
    </row>
    <row r="941" spans="2:12">
      <c r="B941">
        <v>0.1862</v>
      </c>
      <c r="C941">
        <f ca="1"/>
        <v>-0.12842601637446024</v>
      </c>
      <c r="D941">
        <f ca="1"/>
        <v>1</v>
      </c>
      <c r="E941">
        <f ca="1"/>
        <v>97.101903898751047</v>
      </c>
      <c r="F941">
        <f ca="1"/>
        <v>1.7277870135263267</v>
      </c>
      <c r="G941">
        <f ca="1"/>
        <v>-1.779354414438572E-2</v>
      </c>
      <c r="H941">
        <f ca="1"/>
        <v>72.913410905445588</v>
      </c>
      <c r="I941">
        <f ca="1"/>
        <v>-0.71120283732049905</v>
      </c>
      <c r="J941">
        <f ca="1"/>
        <v>3.8542613434314177</v>
      </c>
      <c r="K941">
        <f ca="1"/>
        <v>0</v>
      </c>
      <c r="L941">
        <f ca="1"/>
        <v>2.898096101248953</v>
      </c>
    </row>
    <row r="942" spans="2:12">
      <c r="B942">
        <v>0.18640000000000001</v>
      </c>
      <c r="C942">
        <f ca="1"/>
        <v>-0.12135020377067485</v>
      </c>
      <c r="D942">
        <f ca="1"/>
        <v>1</v>
      </c>
      <c r="E942">
        <f ca="1"/>
        <v>97.239027195100007</v>
      </c>
      <c r="F942">
        <f ca="1"/>
        <v>-0.90442209190233802</v>
      </c>
      <c r="G942">
        <f ca="1"/>
        <v>9.3010195390756945E-3</v>
      </c>
      <c r="H942">
        <f ca="1"/>
        <v>72.008988813543255</v>
      </c>
      <c r="I942">
        <f ca="1"/>
        <v>-0.70190181778142335</v>
      </c>
      <c r="J942">
        <f ca="1"/>
        <v>3.7567388660052927</v>
      </c>
      <c r="K942">
        <f ca="1"/>
        <v>0</v>
      </c>
      <c r="L942">
        <f ca="1"/>
        <v>2.7609728048999926</v>
      </c>
    </row>
    <row r="943" spans="2:12">
      <c r="B943">
        <v>0.18660000000000002</v>
      </c>
      <c r="C943">
        <f ca="1"/>
        <v>-0.12985786172437294</v>
      </c>
      <c r="D943">
        <f ca="1"/>
        <v>1</v>
      </c>
      <c r="E943">
        <f ca="1"/>
        <v>97.073324308286942</v>
      </c>
      <c r="F943">
        <f ca="1"/>
        <v>1.1596188228955926</v>
      </c>
      <c r="G943">
        <f ca="1"/>
        <v>-1.1945803145804068E-2</v>
      </c>
      <c r="H943">
        <f ca="1"/>
        <v>73.16860763643885</v>
      </c>
      <c r="I943">
        <f ca="1"/>
        <v>-0.71384762092722742</v>
      </c>
      <c r="J943">
        <f ca="1"/>
        <v>3.8730460234710193</v>
      </c>
      <c r="K943">
        <f ca="1"/>
        <v>0</v>
      </c>
      <c r="L943">
        <f ca="1"/>
        <v>2.9266756917130579</v>
      </c>
    </row>
    <row r="944" spans="2:12">
      <c r="B944">
        <v>0.18680000000000002</v>
      </c>
      <c r="C944">
        <f ca="1"/>
        <v>-0.16445627770883642</v>
      </c>
      <c r="D944">
        <f ca="1"/>
        <v>1</v>
      </c>
      <c r="E944">
        <f ca="1"/>
        <v>96.403540724217976</v>
      </c>
      <c r="F944">
        <f ca="1"/>
        <v>4.3602956353403419</v>
      </c>
      <c r="G944">
        <f ca="1"/>
        <v>-4.5229621262707131E-2</v>
      </c>
      <c r="H944">
        <f ca="1"/>
        <v>77.528903271779186</v>
      </c>
      <c r="I944">
        <f ca="1"/>
        <v>-0.75907724218993455</v>
      </c>
      <c r="J944">
        <f ca="1"/>
        <v>4.3511694414947613</v>
      </c>
      <c r="K944">
        <f ca="1"/>
        <v>0</v>
      </c>
      <c r="L944">
        <f ca="1"/>
        <v>3.5964592757820242</v>
      </c>
    </row>
    <row r="945" spans="2:12">
      <c r="B945">
        <v>0.187</v>
      </c>
      <c r="C945">
        <f ca="1"/>
        <v>-0.15346822550625847</v>
      </c>
      <c r="D945">
        <f ca="1"/>
        <v>1</v>
      </c>
      <c r="E945">
        <f ca="1"/>
        <v>96.615244650733061</v>
      </c>
      <c r="F945">
        <f ca="1"/>
        <v>-1.2981576409414664</v>
      </c>
      <c r="G945">
        <f ca="1"/>
        <v>1.3436364474719742E-2</v>
      </c>
      <c r="H945">
        <f ca="1"/>
        <v>76.230745630837717</v>
      </c>
      <c r="I945">
        <f ca="1"/>
        <v>-0.74564087771521481</v>
      </c>
      <c r="J945">
        <f ca="1"/>
        <v>4.1904698087949015</v>
      </c>
      <c r="K945">
        <f ca="1"/>
        <v>0</v>
      </c>
      <c r="L945">
        <f ca="1"/>
        <v>3.3847553492669391</v>
      </c>
    </row>
    <row r="946" spans="2:12">
      <c r="B946">
        <v>0.18720000000000001</v>
      </c>
      <c r="C946">
        <f ca="1"/>
        <v>-0.16367804130819918</v>
      </c>
      <c r="D946">
        <f ca="1"/>
        <v>1</v>
      </c>
      <c r="E946">
        <f ca="1"/>
        <v>96.417775495637343</v>
      </c>
      <c r="F946">
        <f ca="1"/>
        <v>1.2789843374065675</v>
      </c>
      <c r="G946">
        <f ca="1"/>
        <v>-1.3265026400286928E-2</v>
      </c>
      <c r="H946">
        <f ca="1"/>
        <v>77.509729968244287</v>
      </c>
      <c r="I946">
        <f ca="1"/>
        <v>-0.75890590411550174</v>
      </c>
      <c r="J946">
        <f ca="1"/>
        <v>4.3377108829221527</v>
      </c>
      <c r="K946">
        <f ca="1"/>
        <v>0</v>
      </c>
      <c r="L946">
        <f ca="1"/>
        <v>3.5822245043626566</v>
      </c>
    </row>
    <row r="947" spans="2:12">
      <c r="B947">
        <v>0.18740000000000001</v>
      </c>
      <c r="C947">
        <f ca="1"/>
        <v>-0.15151485021379085</v>
      </c>
      <c r="D947">
        <f ca="1"/>
        <v>1</v>
      </c>
      <c r="E947">
        <f ca="1"/>
        <v>96.652223970211509</v>
      </c>
      <c r="F947">
        <f ca="1"/>
        <v>-1.4491309528859739</v>
      </c>
      <c r="G947">
        <f ca="1"/>
        <v>1.4993249957006682E-2</v>
      </c>
      <c r="H947">
        <f ca="1"/>
        <v>76.060599015358306</v>
      </c>
      <c r="I947">
        <f ca="1"/>
        <v>-0.74391265415849506</v>
      </c>
      <c r="J947">
        <f ca="1"/>
        <v>4.1597865513569445</v>
      </c>
      <c r="K947">
        <f ca="1"/>
        <v>0</v>
      </c>
      <c r="L947">
        <f ca="1"/>
        <v>3.3477760297884913</v>
      </c>
    </row>
    <row r="948" spans="2:12">
      <c r="B948">
        <v>0.18760000000000002</v>
      </c>
      <c r="C948">
        <f ca="1"/>
        <v>-0.16386473688242711</v>
      </c>
      <c r="D948">
        <f ca="1"/>
        <v>1</v>
      </c>
      <c r="E948">
        <f ca="1"/>
        <v>96.413404098139381</v>
      </c>
      <c r="F948">
        <f ca="1"/>
        <v>1.5450856706115299</v>
      </c>
      <c r="G948">
        <f ca="1"/>
        <v>-1.6025631343114743E-2</v>
      </c>
      <c r="H948">
        <f ca="1"/>
        <v>77.605684685969834</v>
      </c>
      <c r="I948">
        <f ca="1"/>
        <v>-0.7599382855016098</v>
      </c>
      <c r="J948">
        <f ca="1"/>
        <v>4.3374476762559198</v>
      </c>
      <c r="K948">
        <f ca="1"/>
        <v>0</v>
      </c>
      <c r="L948">
        <f ca="1"/>
        <v>3.5865959018606191</v>
      </c>
    </row>
    <row r="949" spans="2:12">
      <c r="B949">
        <v>0.18780000000000002</v>
      </c>
      <c r="C949">
        <f ca="1"/>
        <v>-0.1713765627285723</v>
      </c>
      <c r="D949">
        <f ca="1"/>
        <v>1</v>
      </c>
      <c r="E949">
        <f ca="1"/>
        <v>96.268279637018125</v>
      </c>
      <c r="F949">
        <f ca="1"/>
        <v>0.92977280384442518</v>
      </c>
      <c r="G949">
        <f ca="1"/>
        <v>-9.6581429246492823E-3</v>
      </c>
      <c r="H949">
        <f ca="1"/>
        <v>78.535457489814263</v>
      </c>
      <c r="I949">
        <f ca="1"/>
        <v>-0.76959642842625908</v>
      </c>
      <c r="J949">
        <f ca="1"/>
        <v>4.4477333104247521</v>
      </c>
      <c r="K949">
        <f ca="1"/>
        <v>0</v>
      </c>
      <c r="L949">
        <f ca="1"/>
        <v>3.7317203629818749</v>
      </c>
    </row>
    <row r="950" spans="2:12">
      <c r="B950">
        <v>0.188</v>
      </c>
      <c r="C950">
        <f ca="1"/>
        <v>-0.17792603563783052</v>
      </c>
      <c r="D950">
        <f ca="1"/>
        <v>1</v>
      </c>
      <c r="E950">
        <f ca="1"/>
        <v>96.141876324496963</v>
      </c>
      <c r="F950">
        <f ca="1"/>
        <v>0.79977546755696283</v>
      </c>
      <c r="G950">
        <f ca="1"/>
        <v>-8.3187004262073039E-3</v>
      </c>
      <c r="H950">
        <f ca="1"/>
        <v>79.335232957371232</v>
      </c>
      <c r="I950">
        <f ca="1"/>
        <v>-0.77791512885246639</v>
      </c>
      <c r="J950">
        <f ca="1"/>
        <v>4.5450128482822834</v>
      </c>
      <c r="K950">
        <f ca="1"/>
        <v>0</v>
      </c>
      <c r="L950">
        <f ca="1"/>
        <v>3.8581236755030375</v>
      </c>
    </row>
    <row r="951" spans="2:12">
      <c r="B951">
        <v>0.18820000000000001</v>
      </c>
      <c r="C951">
        <f ca="1"/>
        <v>-0.17618991213755081</v>
      </c>
      <c r="D951">
        <f ca="1"/>
        <v>1</v>
      </c>
      <c r="E951">
        <f ca="1"/>
        <v>96.174880254719284</v>
      </c>
      <c r="F951">
        <f ca="1"/>
        <v>-0.16026409850480619</v>
      </c>
      <c r="G951">
        <f ca="1"/>
        <v>1.6663820956194231E-3</v>
      </c>
      <c r="H951">
        <f ca="1"/>
        <v>79.174968858866421</v>
      </c>
      <c r="I951">
        <f ca="1"/>
        <v>-0.77624874675684696</v>
      </c>
      <c r="J951">
        <f ca="1"/>
        <v>4.5193385916507509</v>
      </c>
      <c r="K951">
        <f ca="1"/>
        <v>0</v>
      </c>
      <c r="L951">
        <f ca="1"/>
        <v>3.8251197452807162</v>
      </c>
    </row>
    <row r="952" spans="2:12">
      <c r="B952">
        <v>0.18840000000000001</v>
      </c>
      <c r="C952">
        <f ca="1"/>
        <v>-0.19153386617115922</v>
      </c>
      <c r="D952">
        <f ca="1"/>
        <v>1</v>
      </c>
      <c r="E952">
        <f ca="1"/>
        <v>95.879808545825512</v>
      </c>
      <c r="F952">
        <f ca="1"/>
        <v>1.7680909666818558</v>
      </c>
      <c r="G952">
        <f ca="1"/>
        <v>-1.8440701890187872E-2</v>
      </c>
      <c r="H952">
        <f ca="1"/>
        <v>80.943059825548275</v>
      </c>
      <c r="I952">
        <f ca="1"/>
        <v>-0.79468944864703484</v>
      </c>
      <c r="J952">
        <f ca="1"/>
        <v>4.7483876358829349</v>
      </c>
      <c r="K952">
        <f ca="1"/>
        <v>0</v>
      </c>
      <c r="L952">
        <f ca="1"/>
        <v>4.1201914541744884</v>
      </c>
    </row>
    <row r="953" spans="2:12">
      <c r="B953">
        <v>0.18860000000000002</v>
      </c>
      <c r="C953">
        <f ca="1"/>
        <v>-0.20767764738481265</v>
      </c>
      <c r="D953">
        <f ca="1"/>
        <v>1</v>
      </c>
      <c r="E953">
        <f ca="1"/>
        <v>95.57035296293347</v>
      </c>
      <c r="F953">
        <f ca="1"/>
        <v>1.7614175990627112</v>
      </c>
      <c r="G953">
        <f ca="1"/>
        <v>-1.843058589252955E-2</v>
      </c>
      <c r="H953">
        <f ca="1"/>
        <v>82.704477424610985</v>
      </c>
      <c r="I953">
        <f ca="1"/>
        <v>-0.81312003453956438</v>
      </c>
      <c r="J953">
        <f ca="1"/>
        <v>4.9943087224321658</v>
      </c>
      <c r="K953">
        <f ca="1"/>
        <v>0</v>
      </c>
      <c r="L953">
        <f ca="1"/>
        <v>4.4296470370665304</v>
      </c>
    </row>
    <row r="954" spans="2:12">
      <c r="B954">
        <v>0.1888</v>
      </c>
      <c r="C954">
        <f ca="1"/>
        <v>-0.19826401525750678</v>
      </c>
      <c r="D954">
        <f ca="1"/>
        <v>1</v>
      </c>
      <c r="E954">
        <f ca="1"/>
        <v>95.750072279388448</v>
      </c>
      <c r="F954">
        <f ca="1"/>
        <v>-0.95231089260181789</v>
      </c>
      <c r="G954">
        <f ca="1"/>
        <v>9.9457981590141964E-3</v>
      </c>
      <c r="H954">
        <f ca="1"/>
        <v>81.75216653200917</v>
      </c>
      <c r="I954">
        <f ca="1"/>
        <v>-0.80317423638055019</v>
      </c>
      <c r="J954">
        <f ca="1"/>
        <v>4.8481753456288601</v>
      </c>
      <c r="K954">
        <f ca="1"/>
        <v>0</v>
      </c>
      <c r="L954">
        <f ca="1"/>
        <v>4.2499277206115522</v>
      </c>
    </row>
    <row r="955" spans="2:12">
      <c r="B955">
        <v>0.189</v>
      </c>
      <c r="C955">
        <f ca="1"/>
        <v>-0.19133256611223642</v>
      </c>
      <c r="D955">
        <f ca="1"/>
        <v>1</v>
      </c>
      <c r="E955">
        <f ca="1"/>
        <v>95.882518148631448</v>
      </c>
      <c r="F955">
        <f ca="1"/>
        <v>-0.71260432358192416</v>
      </c>
      <c r="G955">
        <f ca="1"/>
        <v>7.4320568268481102E-3</v>
      </c>
      <c r="H955">
        <f ca="1"/>
        <v>81.039562208427242</v>
      </c>
      <c r="I955">
        <f ca="1"/>
        <v>-0.79574217955370208</v>
      </c>
      <c r="J955">
        <f ca="1"/>
        <v>4.7417982357378605</v>
      </c>
      <c r="K955">
        <f ca="1"/>
        <v>0</v>
      </c>
      <c r="L955">
        <f ca="1"/>
        <v>4.1174818513685523</v>
      </c>
    </row>
    <row r="956" spans="2:12">
      <c r="B956">
        <v>0.18920000000000001</v>
      </c>
      <c r="C956">
        <f ca="1"/>
        <v>-0.18959346032449365</v>
      </c>
      <c r="D956">
        <f ca="1"/>
        <v>1</v>
      </c>
      <c r="E956">
        <f ca="1"/>
        <v>95.915490254939044</v>
      </c>
      <c r="F956">
        <f ca="1"/>
        <v>-0.15079097015984905</v>
      </c>
      <c r="G956">
        <f ca="1"/>
        <v>1.5721232280526687E-3</v>
      </c>
      <c r="H956">
        <f ca="1"/>
        <v>80.888771238267395</v>
      </c>
      <c r="I956">
        <f ca="1"/>
        <v>-0.79417005632564941</v>
      </c>
      <c r="J956">
        <f ca="1"/>
        <v>4.7155609400001737</v>
      </c>
      <c r="K956">
        <f ca="1"/>
        <v>0</v>
      </c>
      <c r="L956">
        <f ca="1"/>
        <v>4.0845097450609558</v>
      </c>
    </row>
    <row r="957" spans="2:12">
      <c r="B957">
        <v>0.18940000000000001</v>
      </c>
      <c r="C957">
        <f ca="1"/>
        <v>-0.18909933458085934</v>
      </c>
      <c r="D957">
        <f ca="1"/>
        <v>1</v>
      </c>
      <c r="E957">
        <f ca="1"/>
        <v>95.924585886808188</v>
      </c>
      <c r="F957">
        <f ca="1"/>
        <v>-1.3420418812860057E-2</v>
      </c>
      <c r="G957">
        <f ca="1"/>
        <v>1.399059343211162E-4</v>
      </c>
      <c r="H957">
        <f ca="1"/>
        <v>80.875350819454539</v>
      </c>
      <c r="I957">
        <f ca="1"/>
        <v>-0.79403015039132829</v>
      </c>
      <c r="J957">
        <f ca="1"/>
        <v>4.7083374615263409</v>
      </c>
      <c r="K957">
        <f ca="1"/>
        <v>0</v>
      </c>
      <c r="L957">
        <f ca="1"/>
        <v>4.0754141131918118</v>
      </c>
    </row>
    <row r="958" spans="2:12">
      <c r="B958">
        <v>0.18960000000000002</v>
      </c>
      <c r="C958">
        <f ca="1"/>
        <v>-0.17760952184435805</v>
      </c>
      <c r="D958">
        <f ca="1"/>
        <v>1</v>
      </c>
      <c r="E958">
        <f ca="1"/>
        <v>96.144885877555396</v>
      </c>
      <c r="F958">
        <f ca="1"/>
        <v>-1.2619066574184243</v>
      </c>
      <c r="G958">
        <f ca="1"/>
        <v>1.3125052319740815E-2</v>
      </c>
      <c r="H958">
        <f ca="1"/>
        <v>79.613444162036117</v>
      </c>
      <c r="I958">
        <f ca="1"/>
        <v>-0.78090509807158748</v>
      </c>
      <c r="J958">
        <f ca="1"/>
        <v>4.533412626742134</v>
      </c>
      <c r="K958">
        <f ca="1"/>
        <v>0</v>
      </c>
      <c r="L958">
        <f ca="1"/>
        <v>3.8551141224446042</v>
      </c>
    </row>
    <row r="959" spans="2:12">
      <c r="B959">
        <v>0.1898</v>
      </c>
      <c r="C959">
        <f ca="1"/>
        <v>-0.18106593610915347</v>
      </c>
      <c r="D959">
        <f ca="1"/>
        <v>1</v>
      </c>
      <c r="E959">
        <f ca="1"/>
        <v>96.078061220716066</v>
      </c>
      <c r="F959">
        <f ca="1"/>
        <v>0.43829149155329578</v>
      </c>
      <c r="G959">
        <f ca="1"/>
        <v>-4.5618269767790931E-3</v>
      </c>
      <c r="H959">
        <f ca="1"/>
        <v>80.051735653589418</v>
      </c>
      <c r="I959">
        <f ca="1"/>
        <v>-0.78546692504836657</v>
      </c>
      <c r="J959">
        <f ca="1"/>
        <v>4.5855963419448642</v>
      </c>
      <c r="K959">
        <f ca="1"/>
        <v>0</v>
      </c>
      <c r="L959">
        <f ca="1"/>
        <v>3.9219387792839342</v>
      </c>
    </row>
    <row r="960" spans="2:12">
      <c r="B960">
        <v>0.19</v>
      </c>
      <c r="C960">
        <f ca="1"/>
        <v>-0.15660606518896525</v>
      </c>
      <c r="D960">
        <f ca="1"/>
        <v>1</v>
      </c>
      <c r="E960">
        <f ca="1"/>
        <v>96.548837938509322</v>
      </c>
      <c r="F960">
        <f ca="1"/>
        <v>-2.877701514961112</v>
      </c>
      <c r="G960">
        <f ca="1"/>
        <v>2.980565666459789E-2</v>
      </c>
      <c r="H960">
        <f ca="1"/>
        <v>77.174034138628301</v>
      </c>
      <c r="I960">
        <f ca="1"/>
        <v>-0.75566126838376868</v>
      </c>
      <c r="J960">
        <f ca="1"/>
        <v>4.215816801035416</v>
      </c>
      <c r="K960">
        <f ca="1"/>
        <v>0</v>
      </c>
      <c r="L960">
        <f ca="1"/>
        <v>3.4511620614906775</v>
      </c>
    </row>
    <row r="961" spans="2:12">
      <c r="B961">
        <v>0.19020000000000001</v>
      </c>
      <c r="C961">
        <f ca="1"/>
        <v>-0.11999214912230076</v>
      </c>
      <c r="D961">
        <f ca="1"/>
        <v>1</v>
      </c>
      <c r="E961">
        <f ca="1"/>
        <v>97.258050072090981</v>
      </c>
      <c r="F961">
        <f ca="1"/>
        <v>-4.7538702129786437</v>
      </c>
      <c r="G961">
        <f ca="1"/>
        <v>4.887893813884725E-2</v>
      </c>
      <c r="H961">
        <f ca="1"/>
        <v>72.420163925649661</v>
      </c>
      <c r="I961">
        <f ca="1"/>
        <v>-0.70678233024492143</v>
      </c>
      <c r="J961">
        <f ca="1"/>
        <v>3.6798926606199416</v>
      </c>
      <c r="K961">
        <f ca="1"/>
        <v>0</v>
      </c>
      <c r="L961">
        <f ca="1"/>
        <v>2.7419499279090189</v>
      </c>
    </row>
    <row r="962" spans="2:12">
      <c r="B962">
        <v>0.19040000000000001</v>
      </c>
      <c r="C962">
        <f ca="1"/>
        <v>-0.1311655934357096</v>
      </c>
      <c r="D962">
        <f ca="1"/>
        <v>1</v>
      </c>
      <c r="E962">
        <f ca="1"/>
        <v>97.040563092260328</v>
      </c>
      <c r="F962">
        <f ca="1"/>
        <v>1.5437407570408035</v>
      </c>
      <c r="G962">
        <f ca="1"/>
        <v>-1.5908200734296107E-2</v>
      </c>
      <c r="H962">
        <f ca="1"/>
        <v>73.963904682690469</v>
      </c>
      <c r="I962">
        <f ca="1"/>
        <v>-0.72269053097921754</v>
      </c>
      <c r="J962">
        <f ca="1"/>
        <v>3.8336086150225981</v>
      </c>
      <c r="K962">
        <f ca="1"/>
        <v>0</v>
      </c>
      <c r="L962">
        <f ca="1"/>
        <v>2.9594369077396721</v>
      </c>
    </row>
    <row r="963" spans="2:12">
      <c r="B963">
        <v>0.19060000000000002</v>
      </c>
      <c r="C963">
        <f ca="1"/>
        <v>-0.14307591108103251</v>
      </c>
      <c r="D963">
        <f ca="1"/>
        <v>1</v>
      </c>
      <c r="E963">
        <f ca="1"/>
        <v>96.809294164726296</v>
      </c>
      <c r="F963">
        <f ca="1"/>
        <v>1.5982255128886016</v>
      </c>
      <c r="G963">
        <f ca="1"/>
        <v>-1.6509009043792156E-2</v>
      </c>
      <c r="H963">
        <f ca="1"/>
        <v>75.562130195579073</v>
      </c>
      <c r="I963">
        <f ca="1"/>
        <v>-0.73919954002300969</v>
      </c>
      <c r="J963">
        <f ca="1"/>
        <v>4.0007444790611544</v>
      </c>
      <c r="K963">
        <f ca="1"/>
        <v>0</v>
      </c>
      <c r="L963">
        <f ca="1"/>
        <v>3.1907058352737039</v>
      </c>
    </row>
    <row r="964" spans="2:12">
      <c r="B964">
        <v>0.1908</v>
      </c>
      <c r="C964">
        <f ca="1"/>
        <v>-0.12849153155407073</v>
      </c>
      <c r="D964">
        <f ca="1"/>
        <v>1</v>
      </c>
      <c r="E964">
        <f ca="1"/>
        <v>97.091698730163969</v>
      </c>
      <c r="F964">
        <f ca="1"/>
        <v>-1.8856027857408715</v>
      </c>
      <c r="G964">
        <f ca="1"/>
        <v>1.9420844525352421E-2</v>
      </c>
      <c r="H964">
        <f ca="1"/>
        <v>73.676527409838201</v>
      </c>
      <c r="I964">
        <f ca="1"/>
        <v>-0.71977869549765727</v>
      </c>
      <c r="J964">
        <f ca="1"/>
        <v>3.7919911541892333</v>
      </c>
      <c r="K964">
        <f ca="1"/>
        <v>0</v>
      </c>
      <c r="L964">
        <f ca="1"/>
        <v>2.9083012698360307</v>
      </c>
    </row>
    <row r="965" spans="2:12">
      <c r="B965">
        <v>0.191</v>
      </c>
      <c r="C965">
        <f ca="1"/>
        <v>-0.12213825891130704</v>
      </c>
      <c r="D965">
        <f ca="1"/>
        <v>1</v>
      </c>
      <c r="E965">
        <f ca="1"/>
        <v>97.214758290566934</v>
      </c>
      <c r="F965">
        <f ca="1"/>
        <v>-0.82451081663414261</v>
      </c>
      <c r="G965">
        <f ca="1"/>
        <v>8.4813338132235794E-3</v>
      </c>
      <c r="H965">
        <f ca="1"/>
        <v>72.852016593204056</v>
      </c>
      <c r="I965">
        <f ca="1"/>
        <v>-0.71129736168443369</v>
      </c>
      <c r="J965">
        <f ca="1"/>
        <v>3.7034155043338615</v>
      </c>
      <c r="K965">
        <f ca="1"/>
        <v>0</v>
      </c>
      <c r="L965">
        <f ca="1"/>
        <v>2.7852417094330661</v>
      </c>
    </row>
    <row r="966" spans="2:12">
      <c r="B966">
        <v>0.19120000000000001</v>
      </c>
      <c r="C966">
        <f ca="1"/>
        <v>-0.10278638065144843</v>
      </c>
      <c r="D966">
        <f ca="1"/>
        <v>1</v>
      </c>
      <c r="E966">
        <f ca="1"/>
        <v>97.591354627347087</v>
      </c>
      <c r="F966">
        <f ca="1"/>
        <v>-2.6788809260422668</v>
      </c>
      <c r="G966">
        <f ca="1"/>
        <v>2.7449981981207072E-2</v>
      </c>
      <c r="H966">
        <f ca="1"/>
        <v>70.173135667161787</v>
      </c>
      <c r="I966">
        <f ca="1"/>
        <v>-0.68384737970322662</v>
      </c>
      <c r="J966">
        <f ca="1"/>
        <v>3.4355435235621172</v>
      </c>
      <c r="K966">
        <f ca="1"/>
        <v>0</v>
      </c>
      <c r="L966">
        <f ca="1"/>
        <v>2.4086453726529129</v>
      </c>
    </row>
    <row r="967" spans="2:12">
      <c r="B967">
        <v>0.19140000000000001</v>
      </c>
      <c r="C967">
        <f ca="1"/>
        <v>-9.8064376512442514E-2</v>
      </c>
      <c r="D967">
        <f ca="1"/>
        <v>1</v>
      </c>
      <c r="E967">
        <f ca="1"/>
        <v>97.683172784193587</v>
      </c>
      <c r="F967">
        <f ca="1"/>
        <v>-0.64666927383328976</v>
      </c>
      <c r="G967">
        <f ca="1"/>
        <v>6.6200682819951284E-3</v>
      </c>
      <c r="H967">
        <f ca="1"/>
        <v>69.526466393328491</v>
      </c>
      <c r="I967">
        <f ca="1"/>
        <v>-0.67722731142123149</v>
      </c>
      <c r="J967">
        <f ca="1"/>
        <v>3.3727539175934567</v>
      </c>
      <c r="K967">
        <f ca="1"/>
        <v>0</v>
      </c>
      <c r="L967">
        <f ca="1"/>
        <v>2.3168272158064127</v>
      </c>
    </row>
    <row r="968" spans="2:12">
      <c r="B968">
        <v>0.19160000000000002</v>
      </c>
      <c r="C968">
        <f ca="1"/>
        <v>-8.1551089083732209E-2</v>
      </c>
      <c r="D968">
        <f ca="1"/>
        <v>1</v>
      </c>
      <c r="E968">
        <f ca="1"/>
        <v>98.005928150369371</v>
      </c>
      <c r="F968">
        <f ca="1"/>
        <v>-2.405301149651021</v>
      </c>
      <c r="G968">
        <f ca="1"/>
        <v>2.4542404679445462E-2</v>
      </c>
      <c r="H968">
        <f ca="1"/>
        <v>67.121165243677467</v>
      </c>
      <c r="I968">
        <f ca="1"/>
        <v>-0.65268490674178603</v>
      </c>
      <c r="J968">
        <f ca="1"/>
        <v>3.1541751687114541</v>
      </c>
      <c r="K968">
        <f ca="1"/>
        <v>0</v>
      </c>
      <c r="L968">
        <f ca="1"/>
        <v>1.9940718496306289</v>
      </c>
    </row>
    <row r="969" spans="2:12">
      <c r="B969">
        <v>0.1918</v>
      </c>
      <c r="C969">
        <f ca="1"/>
        <v>-8.8990698882076585E-2</v>
      </c>
      <c r="D969">
        <f ca="1"/>
        <v>1</v>
      </c>
      <c r="E969">
        <f ca="1"/>
        <v>97.859819972084949</v>
      </c>
      <c r="F969">
        <f ca="1"/>
        <v>1.1377186386548817</v>
      </c>
      <c r="G969">
        <f ca="1"/>
        <v>-1.1626003797875595E-2</v>
      </c>
      <c r="H969">
        <f ca="1"/>
        <v>68.258883882332356</v>
      </c>
      <c r="I969">
        <f ca="1"/>
        <v>-0.66431091053966163</v>
      </c>
      <c r="J969">
        <f ca="1"/>
        <v>3.2495377714292317</v>
      </c>
      <c r="K969">
        <f ca="1"/>
        <v>0</v>
      </c>
      <c r="L969">
        <f ca="1"/>
        <v>2.1401800279150507</v>
      </c>
    </row>
    <row r="970" spans="2:12">
      <c r="B970">
        <v>0.192</v>
      </c>
      <c r="C970">
        <f ca="1"/>
        <v>-0.10025476347409629</v>
      </c>
      <c r="D970">
        <f ca="1"/>
        <v>1</v>
      </c>
      <c r="E970">
        <f ca="1"/>
        <v>97.639217688851616</v>
      </c>
      <c r="F970">
        <f ca="1"/>
        <v>1.679314915458834</v>
      </c>
      <c r="G970">
        <f ca="1"/>
        <v>-1.7199184458957184E-2</v>
      </c>
      <c r="H970">
        <f ca="1"/>
        <v>69.938198797791188</v>
      </c>
      <c r="I970">
        <f ca="1"/>
        <v>-0.68151009499861881</v>
      </c>
      <c r="J970">
        <f ca="1"/>
        <v>3.3960862750710987</v>
      </c>
      <c r="K970">
        <f ca="1"/>
        <v>0</v>
      </c>
      <c r="L970">
        <f ca="1"/>
        <v>2.3607823111483839</v>
      </c>
    </row>
    <row r="971" spans="2:12">
      <c r="B971">
        <v>0.19220000000000001</v>
      </c>
      <c r="C971">
        <f ca="1"/>
        <v>-9.1036604752615227E-2</v>
      </c>
      <c r="D971">
        <f ca="1"/>
        <v>1</v>
      </c>
      <c r="E971">
        <f ca="1"/>
        <v>97.819003212074946</v>
      </c>
      <c r="F971">
        <f ca="1"/>
        <v>-1.3155733515104899</v>
      </c>
      <c r="G971">
        <f ca="1"/>
        <v>1.3449057016644117E-2</v>
      </c>
      <c r="H971">
        <f ca="1"/>
        <v>68.622625446280693</v>
      </c>
      <c r="I971">
        <f ca="1"/>
        <v>-0.66806103798197469</v>
      </c>
      <c r="J971">
        <f ca="1"/>
        <v>3.2735606260597905</v>
      </c>
      <c r="K971">
        <f ca="1"/>
        <v>0</v>
      </c>
      <c r="L971">
        <f ca="1"/>
        <v>2.1809967879250536</v>
      </c>
    </row>
    <row r="972" spans="2:12">
      <c r="B972">
        <v>0.19240000000000002</v>
      </c>
      <c r="C972">
        <f ca="1"/>
        <v>-8.8653932862433435E-2</v>
      </c>
      <c r="D972">
        <f ca="1"/>
        <v>1</v>
      </c>
      <c r="E972">
        <f ca="1"/>
        <v>97.865236976579183</v>
      </c>
      <c r="F972">
        <f ca="1"/>
        <v>-0.32060587867600587</v>
      </c>
      <c r="G972">
        <f ca="1"/>
        <v>3.2759934843128447E-3</v>
      </c>
      <c r="H972">
        <f ca="1"/>
        <v>68.302019567604688</v>
      </c>
      <c r="I972">
        <f ca="1"/>
        <v>-0.66478504449766185</v>
      </c>
      <c r="J972">
        <f ca="1"/>
        <v>3.2426736493552681</v>
      </c>
      <c r="K972">
        <f ca="1"/>
        <v>0</v>
      </c>
      <c r="L972">
        <f ca="1"/>
        <v>2.1347630234208168</v>
      </c>
    </row>
    <row r="973" spans="2:12">
      <c r="B973">
        <v>0.19260000000000002</v>
      </c>
      <c r="C973">
        <f ca="1"/>
        <v>-9.5844769428661269E-2</v>
      </c>
      <c r="D973">
        <f ca="1"/>
        <v>1</v>
      </c>
      <c r="E973">
        <f ca="1"/>
        <v>97.72420065414012</v>
      </c>
      <c r="F973">
        <f ca="1"/>
        <v>1.093771561343327</v>
      </c>
      <c r="G973">
        <f ca="1"/>
        <v>-1.1192432928813001E-2</v>
      </c>
      <c r="H973">
        <f ca="1"/>
        <v>69.395791128948019</v>
      </c>
      <c r="I973">
        <f ca="1"/>
        <v>-0.67597747742647485</v>
      </c>
      <c r="J973">
        <f ca="1"/>
        <v>3.3364324872437123</v>
      </c>
      <c r="K973">
        <f ca="1"/>
        <v>0</v>
      </c>
      <c r="L973">
        <f ca="1"/>
        <v>2.2757993458598804</v>
      </c>
    </row>
    <row r="974" spans="2:12">
      <c r="B974">
        <v>0.1928</v>
      </c>
      <c r="C974">
        <f ca="1"/>
        <v>-0.12235104214840535</v>
      </c>
      <c r="D974">
        <f ca="1"/>
        <v>1</v>
      </c>
      <c r="E974">
        <f ca="1"/>
        <v>97.207121725031342</v>
      </c>
      <c r="F974">
        <f ca="1"/>
        <v>3.8005639178184967</v>
      </c>
      <c r="G974">
        <f ca="1"/>
        <v>-3.9097587197048256E-2</v>
      </c>
      <c r="H974">
        <f ca="1"/>
        <v>73.196355046766513</v>
      </c>
      <c r="I974">
        <f ca="1"/>
        <v>-0.7150750646235231</v>
      </c>
      <c r="J974">
        <f ca="1"/>
        <v>3.6859661973730482</v>
      </c>
      <c r="K974">
        <f ca="1"/>
        <v>0</v>
      </c>
      <c r="L974">
        <f ca="1"/>
        <v>2.7928782749686576</v>
      </c>
    </row>
    <row r="975" spans="2:12">
      <c r="B975">
        <v>0.193</v>
      </c>
      <c r="C975">
        <f ca="1"/>
        <v>-0.11772724192951567</v>
      </c>
      <c r="D975">
        <f ca="1"/>
        <v>1</v>
      </c>
      <c r="E975">
        <f ca="1"/>
        <v>97.296667377389397</v>
      </c>
      <c r="F975">
        <f ca="1"/>
        <v>-0.60430870957542604</v>
      </c>
      <c r="G975">
        <f ca="1"/>
        <v>6.2109908372448563E-3</v>
      </c>
      <c r="H975">
        <f ca="1"/>
        <v>72.592046337191093</v>
      </c>
      <c r="I975">
        <f ca="1"/>
        <v>-0.70886407378627825</v>
      </c>
      <c r="J975">
        <f ca="1"/>
        <v>3.621934334226367</v>
      </c>
      <c r="K975">
        <f ca="1"/>
        <v>0</v>
      </c>
      <c r="L975">
        <f ca="1"/>
        <v>2.7033326226106027</v>
      </c>
    </row>
    <row r="976" spans="2:12">
      <c r="B976">
        <v>0.19320000000000001</v>
      </c>
      <c r="C976">
        <f ca="1"/>
        <v>-9.4824360798998156E-2</v>
      </c>
      <c r="D976">
        <f ca="1"/>
        <v>1</v>
      </c>
      <c r="E976">
        <f ca="1"/>
        <v>97.742973490168808</v>
      </c>
      <c r="F976">
        <f ca="1"/>
        <v>-3.2627034051117207</v>
      </c>
      <c r="G976">
        <f ca="1"/>
        <v>3.3380439417876828E-2</v>
      </c>
      <c r="H976">
        <f ca="1"/>
        <v>69.329342932079371</v>
      </c>
      <c r="I976">
        <f ca="1"/>
        <v>-0.67548363436840142</v>
      </c>
      <c r="J976">
        <f ca="1"/>
        <v>3.3055639649658275</v>
      </c>
      <c r="K976">
        <f ca="1"/>
        <v>0</v>
      </c>
      <c r="L976">
        <f ca="1"/>
        <v>2.2570265098311921</v>
      </c>
    </row>
    <row r="977" spans="2:12">
      <c r="B977">
        <v>0.19340000000000002</v>
      </c>
      <c r="C977">
        <f ca="1"/>
        <v>-0.10060655925749527</v>
      </c>
      <c r="D977">
        <f ca="1"/>
        <v>1</v>
      </c>
      <c r="E977">
        <f ca="1"/>
        <v>97.629614450031852</v>
      </c>
      <c r="F977">
        <f ca="1"/>
        <v>0.88243065624485761</v>
      </c>
      <c r="G977">
        <f ca="1"/>
        <v>-9.0385551680786103E-3</v>
      </c>
      <c r="H977">
        <f ca="1"/>
        <v>70.211773588324235</v>
      </c>
      <c r="I977">
        <f ca="1"/>
        <v>-0.68452218953648003</v>
      </c>
      <c r="J977">
        <f ca="1"/>
        <v>3.3821361413860558</v>
      </c>
      <c r="K977">
        <f ca="1"/>
        <v>0</v>
      </c>
      <c r="L977">
        <f ca="1"/>
        <v>2.3703855499681481</v>
      </c>
    </row>
    <row r="978" spans="2:12">
      <c r="B978">
        <v>0.19360000000000002</v>
      </c>
      <c r="C978">
        <f ca="1"/>
        <v>-9.9776448671383383E-2</v>
      </c>
      <c r="D978">
        <f ca="1"/>
        <v>1</v>
      </c>
      <c r="E978">
        <f ca="1"/>
        <v>97.645433888383494</v>
      </c>
      <c r="F978">
        <f ca="1"/>
        <v>-8.5991633193315306E-2</v>
      </c>
      <c r="G978">
        <f ca="1"/>
        <v>8.8065186224284275E-4</v>
      </c>
      <c r="H978">
        <f ca="1"/>
        <v>70.125781955130918</v>
      </c>
      <c r="I978">
        <f ca="1"/>
        <v>-0.68364153767423719</v>
      </c>
      <c r="J978">
        <f ca="1"/>
        <v>3.371307384808361</v>
      </c>
      <c r="K978">
        <f ca="1"/>
        <v>0</v>
      </c>
      <c r="L978">
        <f ca="1"/>
        <v>2.3545661116165064</v>
      </c>
    </row>
    <row r="979" spans="2:12">
      <c r="B979">
        <v>0.1938</v>
      </c>
      <c r="C979">
        <f ca="1"/>
        <v>-0.11691821608462785</v>
      </c>
      <c r="D979">
        <f ca="1"/>
        <v>1</v>
      </c>
      <c r="E979">
        <f ca="1"/>
        <v>97.31085476868968</v>
      </c>
      <c r="F979">
        <f ca="1"/>
        <v>2.4932411191032955</v>
      </c>
      <c r="G979">
        <f ca="1"/>
        <v>-2.5621408064185558E-2</v>
      </c>
      <c r="H979">
        <f ca="1"/>
        <v>72.619023074234207</v>
      </c>
      <c r="I979">
        <f ca="1"/>
        <v>-0.70926294573842275</v>
      </c>
      <c r="J979">
        <f ca="1"/>
        <v>3.6000395686695157</v>
      </c>
      <c r="K979">
        <f ca="1"/>
        <v>0</v>
      </c>
      <c r="L979">
        <f ca="1"/>
        <v>2.6891452313103201</v>
      </c>
    </row>
    <row r="980" spans="2:12">
      <c r="B980">
        <v>0.19400000000000001</v>
      </c>
      <c r="C980">
        <f ca="1"/>
        <v>-0.12093868336729524</v>
      </c>
      <c r="D980">
        <f ca="1"/>
        <v>1</v>
      </c>
      <c r="E980">
        <f ca="1"/>
        <v>97.232250267870285</v>
      </c>
      <c r="F980">
        <f ca="1"/>
        <v>0.6014948867683374</v>
      </c>
      <c r="G980">
        <f ca="1"/>
        <v>-6.1861664736879707E-3</v>
      </c>
      <c r="H980">
        <f ca="1"/>
        <v>73.220517961002543</v>
      </c>
      <c r="I980">
        <f ca="1"/>
        <v>-0.71544911221211072</v>
      </c>
      <c r="J980">
        <f ca="1"/>
        <v>3.6557908284689802</v>
      </c>
      <c r="K980">
        <f ca="1"/>
        <v>0</v>
      </c>
      <c r="L980">
        <f ca="1"/>
        <v>2.7677497321297153</v>
      </c>
    </row>
    <row r="981" spans="2:12">
      <c r="B981">
        <v>0.19420000000000001</v>
      </c>
      <c r="C981">
        <f ca="1"/>
        <v>-0.12367443149511043</v>
      </c>
      <c r="D981">
        <f ca="1"/>
        <v>1</v>
      </c>
      <c r="E981">
        <f ca="1"/>
        <v>97.178675514751248</v>
      </c>
      <c r="F981">
        <f ca="1"/>
        <v>0.41946034108287511</v>
      </c>
      <c r="G981">
        <f ca="1"/>
        <v>-4.3163825691285851E-3</v>
      </c>
      <c r="H981">
        <f ca="1"/>
        <v>73.639978302085424</v>
      </c>
      <c r="I981">
        <f ca="1"/>
        <v>-0.7197654947812393</v>
      </c>
      <c r="J981">
        <f ca="1"/>
        <v>3.6941208380249861</v>
      </c>
      <c r="K981">
        <f ca="1"/>
        <v>0</v>
      </c>
      <c r="L981">
        <f ca="1"/>
        <v>2.821324485248752</v>
      </c>
    </row>
    <row r="982" spans="2:12">
      <c r="B982">
        <v>0.19440000000000002</v>
      </c>
      <c r="C982">
        <f ca="1"/>
        <v>-0.14619325723492396</v>
      </c>
      <c r="D982">
        <f ca="1"/>
        <v>1</v>
      </c>
      <c r="E982">
        <f ca="1"/>
        <v>96.741602719006309</v>
      </c>
      <c r="F982">
        <f ca="1"/>
        <v>3.0591433027419122</v>
      </c>
      <c r="G982">
        <f ca="1"/>
        <v>-3.1621796794368162E-2</v>
      </c>
      <c r="H982">
        <f ca="1"/>
        <v>76.69912160482734</v>
      </c>
      <c r="I982">
        <f ca="1"/>
        <v>-0.75138729157560746</v>
      </c>
      <c r="J982">
        <f ca="1"/>
        <v>4.0087107551097603</v>
      </c>
      <c r="K982">
        <f ca="1"/>
        <v>0</v>
      </c>
      <c r="L982">
        <f ca="1"/>
        <v>3.258397280993691</v>
      </c>
    </row>
    <row r="983" spans="2:12">
      <c r="B983">
        <v>0.19460000000000002</v>
      </c>
      <c r="C983">
        <f ca="1"/>
        <v>-0.13587341803250599</v>
      </c>
      <c r="D983">
        <f ca="1"/>
        <v>1</v>
      </c>
      <c r="E983">
        <f ca="1"/>
        <v>96.941092710383572</v>
      </c>
      <c r="F983">
        <f ca="1"/>
        <v>-1.32242158365712</v>
      </c>
      <c r="G983">
        <f ca="1"/>
        <v>1.3641496569549938E-2</v>
      </c>
      <c r="H983">
        <f ca="1"/>
        <v>75.376700021170222</v>
      </c>
      <c r="I983">
        <f ca="1"/>
        <v>-0.73774579500605753</v>
      </c>
      <c r="J983">
        <f ca="1"/>
        <v>3.8588165107923658</v>
      </c>
      <c r="K983">
        <f ca="1"/>
        <v>0</v>
      </c>
      <c r="L983">
        <f ca="1"/>
        <v>3.0589072896164282</v>
      </c>
    </row>
    <row r="984" spans="2:12">
      <c r="B984">
        <v>0.1948</v>
      </c>
      <c r="C984">
        <f ca="1"/>
        <v>-8.5263863379815896E-2</v>
      </c>
      <c r="D984">
        <f ca="1"/>
        <v>1</v>
      </c>
      <c r="E984">
        <f ca="1"/>
        <v>97.926912862153472</v>
      </c>
      <c r="F984">
        <f ca="1"/>
        <v>-7.2602789209736658</v>
      </c>
      <c r="G984">
        <f ca="1"/>
        <v>7.4139771272005439E-2</v>
      </c>
      <c r="H984">
        <f ca="1"/>
        <v>68.116421100196561</v>
      </c>
      <c r="I984">
        <f ca="1"/>
        <v>-0.66360602373405209</v>
      </c>
      <c r="J984">
        <f ca="1"/>
        <v>3.1315318391918936</v>
      </c>
      <c r="K984">
        <f ca="1"/>
        <v>0</v>
      </c>
      <c r="L984">
        <f ca="1"/>
        <v>2.0730871378465281</v>
      </c>
    </row>
    <row r="985" spans="2:12">
      <c r="B985">
        <v>0.19500000000000001</v>
      </c>
      <c r="C985">
        <f ca="1"/>
        <v>-8.5870109785136248E-2</v>
      </c>
      <c r="D985">
        <f ca="1"/>
        <v>1</v>
      </c>
      <c r="E985">
        <f ca="1"/>
        <v>97.914648354797066</v>
      </c>
      <c r="F985">
        <f ca="1"/>
        <v>0.125773213253317</v>
      </c>
      <c r="G985">
        <f ca="1"/>
        <v>-1.2845188678773933E-3</v>
      </c>
      <c r="H985">
        <f ca="1"/>
        <v>68.242194313449872</v>
      </c>
      <c r="I985">
        <f ca="1"/>
        <v>-0.66489054260192948</v>
      </c>
      <c r="J985">
        <f ca="1"/>
        <v>3.1396706401517349</v>
      </c>
      <c r="K985">
        <f ca="1"/>
        <v>0</v>
      </c>
      <c r="L985">
        <f ca="1"/>
        <v>2.0853516452029339</v>
      </c>
    </row>
    <row r="986" spans="2:12">
      <c r="B986">
        <v>0.19520000000000001</v>
      </c>
      <c r="C986">
        <f ca="1"/>
        <v>-8.5434637278966025E-2</v>
      </c>
      <c r="D986">
        <f ca="1"/>
        <v>1</v>
      </c>
      <c r="E986">
        <f ca="1"/>
        <v>97.922784861710426</v>
      </c>
      <c r="F986">
        <f ca="1"/>
        <v>-3.2581017826840815E-2</v>
      </c>
      <c r="G986">
        <f ca="1"/>
        <v>3.327215200512601E-4</v>
      </c>
      <c r="H986">
        <f ca="1"/>
        <v>68.209613295623029</v>
      </c>
      <c r="I986">
        <f ca="1"/>
        <v>-0.66455782108187822</v>
      </c>
      <c r="J986">
        <f ca="1"/>
        <v>3.1342607536552123</v>
      </c>
      <c r="K986">
        <f ca="1"/>
        <v>0</v>
      </c>
      <c r="L986">
        <f ca="1"/>
        <v>2.0772151382895743</v>
      </c>
    </row>
    <row r="987" spans="2:12">
      <c r="B987">
        <v>0.19540000000000002</v>
      </c>
      <c r="C987">
        <f ca="1"/>
        <v>-9.7227215010335349E-2</v>
      </c>
      <c r="D987">
        <f ca="1"/>
        <v>1</v>
      </c>
      <c r="E987">
        <f ca="1"/>
        <v>97.691713822078412</v>
      </c>
      <c r="F987">
        <f ca="1"/>
        <v>1.810225174262587</v>
      </c>
      <c r="G987">
        <f ca="1"/>
        <v>-1.8529976631994294E-2</v>
      </c>
      <c r="H987">
        <f ca="1"/>
        <v>70.019838469885613</v>
      </c>
      <c r="I987">
        <f ca="1"/>
        <v>-0.68308779771387251</v>
      </c>
      <c r="J987">
        <f ca="1"/>
        <v>3.2878208202681947</v>
      </c>
      <c r="K987">
        <f ca="1"/>
        <v>0</v>
      </c>
      <c r="L987">
        <f ca="1"/>
        <v>2.3082861779215875</v>
      </c>
    </row>
    <row r="988" spans="2:12">
      <c r="B988">
        <v>0.1956</v>
      </c>
      <c r="C988">
        <f ca="1"/>
        <v>-9.3903209898225121E-2</v>
      </c>
      <c r="D988">
        <f ca="1"/>
        <v>1</v>
      </c>
      <c r="E988">
        <f ca="1"/>
        <v>97.756289940086816</v>
      </c>
      <c r="F988">
        <f ca="1"/>
        <v>-0.46119150653543073</v>
      </c>
      <c r="G988">
        <f ca="1"/>
        <v>4.7177681028820473E-3</v>
      </c>
      <c r="H988">
        <f ca="1"/>
        <v>69.558646963350185</v>
      </c>
      <c r="I988">
        <f ca="1"/>
        <v>-0.67837002961099047</v>
      </c>
      <c r="J988">
        <f ca="1"/>
        <v>3.2437096620329271</v>
      </c>
      <c r="K988">
        <f ca="1"/>
        <v>0</v>
      </c>
      <c r="L988">
        <f ca="1"/>
        <v>2.2437100599131838</v>
      </c>
    </row>
    <row r="989" spans="2:12">
      <c r="B989">
        <v>0.1958</v>
      </c>
      <c r="C989">
        <f ca="1"/>
        <v>-9.5619624472654319E-2</v>
      </c>
      <c r="D989">
        <f ca="1"/>
        <v>1</v>
      </c>
      <c r="E989">
        <f ca="1"/>
        <v>97.722346745054992</v>
      </c>
      <c r="F989">
        <f ca="1"/>
        <v>0.29353530909056952</v>
      </c>
      <c r="G989">
        <f ca="1"/>
        <v>-3.0037685224277855E-3</v>
      </c>
      <c r="H989">
        <f ca="1"/>
        <v>69.852182272440757</v>
      </c>
      <c r="I989">
        <f ca="1"/>
        <v>-0.68137379813341825</v>
      </c>
      <c r="J989">
        <f ca="1"/>
        <v>3.2667357082517583</v>
      </c>
      <c r="K989">
        <f ca="1"/>
        <v>0</v>
      </c>
      <c r="L989">
        <f ca="1"/>
        <v>2.2776532549450081</v>
      </c>
    </row>
    <row r="990" spans="2:12">
      <c r="B990">
        <v>0.19600000000000001</v>
      </c>
      <c r="C990">
        <f ca="1"/>
        <v>-8.9545170315188452E-2</v>
      </c>
      <c r="D990">
        <f ca="1"/>
        <v>1</v>
      </c>
      <c r="E990">
        <f ca="1"/>
        <v>97.840749510704853</v>
      </c>
      <c r="F990">
        <f ca="1"/>
        <v>-0.88160235033544876</v>
      </c>
      <c r="G990">
        <f ca="1"/>
        <v>9.0105845953172281E-3</v>
      </c>
      <c r="H990">
        <f ca="1"/>
        <v>68.970579922105301</v>
      </c>
      <c r="I990">
        <f ca="1"/>
        <v>-0.67236321353810102</v>
      </c>
      <c r="J990">
        <f ca="1"/>
        <v>3.1860591661114057</v>
      </c>
      <c r="K990">
        <f ca="1"/>
        <v>0</v>
      </c>
      <c r="L990">
        <f ca="1"/>
        <v>2.1592504892951467</v>
      </c>
    </row>
    <row r="991" spans="2:12">
      <c r="B991">
        <v>0.19620000000000001</v>
      </c>
      <c r="C991">
        <f ca="1"/>
        <v>-9.1308325841039151E-2</v>
      </c>
      <c r="D991">
        <f ca="1"/>
        <v>1</v>
      </c>
      <c r="E991">
        <f ca="1"/>
        <v>97.805862677310913</v>
      </c>
      <c r="F991">
        <f ca="1"/>
        <v>0.3032533600842896</v>
      </c>
      <c r="G991">
        <f ca="1"/>
        <v>-3.1005642380028675E-3</v>
      </c>
      <c r="H991">
        <f ca="1"/>
        <v>69.273833282189585</v>
      </c>
      <c r="I991">
        <f ca="1"/>
        <v>-0.67546377777610389</v>
      </c>
      <c r="J991">
        <f ca="1"/>
        <v>3.2095157895223139</v>
      </c>
      <c r="K991">
        <f ca="1"/>
        <v>0</v>
      </c>
      <c r="L991">
        <f ca="1"/>
        <v>2.1941373226890875</v>
      </c>
    </row>
    <row r="992" spans="2:12">
      <c r="B992">
        <v>0.19640000000000002</v>
      </c>
      <c r="C992">
        <f ca="1"/>
        <v>-8.5098912652559588E-2</v>
      </c>
      <c r="D992">
        <f ca="1"/>
        <v>1</v>
      </c>
      <c r="E992">
        <f ca="1"/>
        <v>97.927009824088799</v>
      </c>
      <c r="F992">
        <f ca="1"/>
        <v>-0.9140382771758141</v>
      </c>
      <c r="G992">
        <f ca="1"/>
        <v>9.3338730429709527E-3</v>
      </c>
      <c r="H992">
        <f ca="1"/>
        <v>68.359795005013765</v>
      </c>
      <c r="I992">
        <f ca="1"/>
        <v>-0.66612990473313294</v>
      </c>
      <c r="J992">
        <f ca="1"/>
        <v>3.1276852800929191</v>
      </c>
      <c r="K992">
        <f ca="1"/>
        <v>0</v>
      </c>
      <c r="L992">
        <f ca="1"/>
        <v>2.072990175911201</v>
      </c>
    </row>
    <row r="993" spans="2:12">
      <c r="B993">
        <v>0.1966</v>
      </c>
      <c r="C993">
        <f ca="1"/>
        <v>-8.1399724083150951E-2</v>
      </c>
      <c r="D993">
        <f ca="1"/>
        <v>1</v>
      </c>
      <c r="E993">
        <f ca="1"/>
        <v>97.999094729268379</v>
      </c>
      <c r="F993">
        <f ca="1"/>
        <v>-0.53767121955715813</v>
      </c>
      <c r="G993">
        <f ca="1"/>
        <v>5.4864916971174571E-3</v>
      </c>
      <c r="H993">
        <f ca="1"/>
        <v>67.822123785456611</v>
      </c>
      <c r="I993">
        <f ca="1"/>
        <v>-0.66064341303601548</v>
      </c>
      <c r="J993">
        <f ca="1"/>
        <v>3.0796673690729506</v>
      </c>
      <c r="K993">
        <f ca="1"/>
        <v>0</v>
      </c>
      <c r="L993">
        <f ca="1"/>
        <v>2.0009052707316215</v>
      </c>
    </row>
    <row r="994" spans="2:12">
      <c r="B994">
        <v>0.1968</v>
      </c>
      <c r="C994">
        <f ca="1"/>
        <v>-9.0026278923418246E-2</v>
      </c>
      <c r="D994">
        <f ca="1"/>
        <v>1</v>
      </c>
      <c r="E994">
        <f ca="1"/>
        <v>97.829770269413828</v>
      </c>
      <c r="F994">
        <f ca="1"/>
        <v>1.3625803022598921</v>
      </c>
      <c r="G994">
        <f ca="1"/>
        <v>-1.3928074230446175E-2</v>
      </c>
      <c r="H994">
        <f ca="1"/>
        <v>69.184704087716497</v>
      </c>
      <c r="I994">
        <f ca="1"/>
        <v>-0.67457148726646166</v>
      </c>
      <c r="J994">
        <f ca="1"/>
        <v>3.1915304581417416</v>
      </c>
      <c r="K994">
        <f ca="1"/>
        <v>0</v>
      </c>
      <c r="L994">
        <f ca="1"/>
        <v>2.170229730586172</v>
      </c>
    </row>
    <row r="995" spans="2:12">
      <c r="B995">
        <v>0.19700000000000001</v>
      </c>
      <c r="C995">
        <f ca="1"/>
        <v>-0.11717240941290917</v>
      </c>
      <c r="D995">
        <f ca="1"/>
        <v>1</v>
      </c>
      <c r="E995">
        <f ca="1"/>
        <v>97.299680361613454</v>
      </c>
      <c r="F995">
        <f ca="1"/>
        <v>4.0479474034431364</v>
      </c>
      <c r="G995">
        <f ca="1"/>
        <v>-4.1602884905674653E-2</v>
      </c>
      <c r="H995">
        <f ca="1"/>
        <v>73.232651491159629</v>
      </c>
      <c r="I995">
        <f ca="1"/>
        <v>-0.71617437217213631</v>
      </c>
      <c r="J995">
        <f ca="1"/>
        <v>3.549113995631572</v>
      </c>
      <c r="K995">
        <f ca="1"/>
        <v>0</v>
      </c>
      <c r="L995">
        <f ca="1"/>
        <v>2.7003196383865458</v>
      </c>
    </row>
    <row r="996" spans="2:12">
      <c r="B996">
        <v>0.19720000000000001</v>
      </c>
      <c r="C996">
        <f ca="1"/>
        <v>-0.1101900650826368</v>
      </c>
      <c r="D996">
        <f ca="1"/>
        <v>1</v>
      </c>
      <c r="E996">
        <f ca="1"/>
        <v>97.435261511551801</v>
      </c>
      <c r="F996">
        <f ca="1"/>
        <v>-0.96965681471016651</v>
      </c>
      <c r="G996">
        <f ca="1"/>
        <v>9.9518059444547724E-3</v>
      </c>
      <c r="H996">
        <f ca="1"/>
        <v>72.262994676449466</v>
      </c>
      <c r="I996">
        <f ca="1"/>
        <v>-0.70622256622768154</v>
      </c>
      <c r="J996">
        <f ca="1"/>
        <v>3.4520142506961093</v>
      </c>
      <c r="K996">
        <f ca="1"/>
        <v>0</v>
      </c>
      <c r="L996">
        <f ca="1"/>
        <v>2.5647384884481994</v>
      </c>
    </row>
    <row r="997" spans="2:12">
      <c r="B997">
        <v>0.19740000000000002</v>
      </c>
      <c r="C997">
        <f ca="1"/>
        <v>-0.10095769916187844</v>
      </c>
      <c r="D997">
        <f ca="1"/>
        <v>1</v>
      </c>
      <c r="E997">
        <f ca="1"/>
        <v>97.614948851798445</v>
      </c>
      <c r="F997">
        <f ca="1"/>
        <v>-1.3263822728799497</v>
      </c>
      <c r="G997">
        <f ca="1"/>
        <v>1.3587901120490242E-2</v>
      </c>
      <c r="H997">
        <f ca="1"/>
        <v>70.936612403569512</v>
      </c>
      <c r="I997">
        <f ca="1"/>
        <v>-0.69263466510719129</v>
      </c>
      <c r="J997">
        <f ca="1"/>
        <v>3.3251149961484856</v>
      </c>
      <c r="K997">
        <f ca="1"/>
        <v>0</v>
      </c>
      <c r="L997">
        <f ca="1"/>
        <v>2.3850511482015548</v>
      </c>
    </row>
    <row r="998" spans="2:12">
      <c r="B998">
        <v>0.1976</v>
      </c>
      <c r="C998">
        <f ca="1"/>
        <v>-8.2873333802363017E-2</v>
      </c>
      <c r="D998">
        <f ca="1"/>
        <v>1</v>
      </c>
      <c r="E998">
        <f ca="1"/>
        <v>97.968257116571621</v>
      </c>
      <c r="F998">
        <f ca="1"/>
        <v>-2.7317096627406223</v>
      </c>
      <c r="G998">
        <f ca="1"/>
        <v>2.7883620094314665E-2</v>
      </c>
      <c r="H998">
        <f ca="1"/>
        <v>68.204902740828885</v>
      </c>
      <c r="I998">
        <f ca="1"/>
        <v>-0.66475104501287663</v>
      </c>
      <c r="J998">
        <f ca="1"/>
        <v>3.0804014444977099</v>
      </c>
      <c r="K998">
        <f ca="1"/>
        <v>0</v>
      </c>
      <c r="L998">
        <f ca="1"/>
        <v>2.0317428834283788</v>
      </c>
    </row>
    <row r="999" spans="2:12">
      <c r="B999">
        <v>0.1978</v>
      </c>
      <c r="C999">
        <f ca="1"/>
        <v>-9.0088220460971494E-2</v>
      </c>
      <c r="D999">
        <f ca="1"/>
        <v>1</v>
      </c>
      <c r="E999">
        <f ca="1"/>
        <v>97.826601780041926</v>
      </c>
      <c r="F999">
        <f ca="1"/>
        <v>1.1528398455119309</v>
      </c>
      <c r="G999">
        <f ca="1"/>
        <v>-1.1784523069747754E-2</v>
      </c>
      <c r="H999">
        <f ca="1"/>
        <v>69.357742586340819</v>
      </c>
      <c r="I999">
        <f ca="1"/>
        <v>-0.67653556808262438</v>
      </c>
      <c r="J999">
        <f ca="1"/>
        <v>3.174566977487487</v>
      </c>
      <c r="K999">
        <f ca="1"/>
        <v>0</v>
      </c>
      <c r="L999">
        <f ca="1"/>
        <v>2.1733982199580737</v>
      </c>
    </row>
    <row r="1000" spans="2:12">
      <c r="B1000">
        <v>0.19800000000000001</v>
      </c>
      <c r="C1000">
        <f ca="1"/>
        <v>-9.5925318070578414E-2</v>
      </c>
      <c r="D1000">
        <f ca="1"/>
        <v>1</v>
      </c>
      <c r="E1000">
        <f ca="1"/>
        <v>97.712072882743215</v>
      </c>
      <c r="F1000">
        <f ca="1"/>
        <v>0.92970442675850196</v>
      </c>
      <c r="G1000">
        <f ca="1"/>
        <v>-9.5147344573701664E-3</v>
      </c>
      <c r="H1000">
        <f ca="1"/>
        <v>70.287447013099325</v>
      </c>
      <c r="I1000">
        <f ca="1"/>
        <v>-0.68605030253999455</v>
      </c>
      <c r="J1000">
        <f ca="1"/>
        <v>3.2520498500833384</v>
      </c>
      <c r="K1000">
        <f ca="1"/>
        <v>0</v>
      </c>
      <c r="L1000">
        <f ca="1"/>
        <v>2.2879271172567854</v>
      </c>
    </row>
    <row r="1001" spans="2:12">
      <c r="B1001">
        <v>0.19820000000000002</v>
      </c>
      <c r="C1001">
        <f ca="1"/>
        <v>-6.976150505085349E-2</v>
      </c>
      <c r="D1001">
        <f ca="1"/>
        <v>1</v>
      </c>
      <c r="E1001">
        <f ca="1"/>
        <v>98.224324168492956</v>
      </c>
      <c r="F1001">
        <f ca="1"/>
        <v>-4.0693411153671777</v>
      </c>
      <c r="G1001">
        <f ca="1"/>
        <v>4.1429056904343509E-2</v>
      </c>
      <c r="H1001">
        <f ca="1"/>
        <v>66.218105897732144</v>
      </c>
      <c r="I1001">
        <f ca="1"/>
        <v>-0.64462124563565104</v>
      </c>
      <c r="J1001">
        <f ca="1"/>
        <v>2.9006197005182344</v>
      </c>
      <c r="K1001">
        <f ca="1"/>
        <v>0</v>
      </c>
      <c r="L1001">
        <f ca="1"/>
        <v>1.7756758315070442</v>
      </c>
    </row>
    <row r="1002" spans="2:12">
      <c r="B1002">
        <v>0.19840000000000002</v>
      </c>
      <c r="C1002">
        <f ca="1"/>
        <v>-7.062146062562269E-2</v>
      </c>
      <c r="D1002">
        <f ca="1"/>
        <v>1</v>
      </c>
      <c r="E1002">
        <f ca="1"/>
        <v>98.207039081222476</v>
      </c>
      <c r="F1002">
        <f ca="1"/>
        <v>0.17101763687204344</v>
      </c>
      <c r="G1002">
        <f ca="1"/>
        <v>-1.7413989717234291E-3</v>
      </c>
      <c r="H1002">
        <f ca="1"/>
        <v>66.389123534604181</v>
      </c>
      <c r="I1002">
        <f ca="1"/>
        <v>-0.64636264460737447</v>
      </c>
      <c r="J1002">
        <f ca="1"/>
        <v>2.9117620350054452</v>
      </c>
      <c r="K1002">
        <f ca="1"/>
        <v>0</v>
      </c>
      <c r="L1002">
        <f ca="1"/>
        <v>1.7929609187775242</v>
      </c>
    </row>
    <row r="1003" spans="2:12">
      <c r="B1003">
        <v>0.1986</v>
      </c>
      <c r="C1003">
        <f ca="1"/>
        <v>-5.8021985982527294E-2</v>
      </c>
      <c r="D1003">
        <f ca="1"/>
        <v>1</v>
      </c>
      <c r="E1003">
        <f ca="1"/>
        <v>98.454428745510086</v>
      </c>
      <c r="F1003">
        <f ca="1"/>
        <v>-2.0207026851241539</v>
      </c>
      <c r="G1003">
        <f ca="1"/>
        <v>2.0524243661474761E-2</v>
      </c>
      <c r="H1003">
        <f ca="1"/>
        <v>64.368420849480032</v>
      </c>
      <c r="I1003">
        <f ca="1"/>
        <v>-0.62583840094589971</v>
      </c>
      <c r="J1003">
        <f ca="1"/>
        <v>2.7518585973479759</v>
      </c>
      <c r="K1003">
        <f ca="1"/>
        <v>0</v>
      </c>
      <c r="L1003">
        <f ca="1"/>
        <v>1.5455712544899143</v>
      </c>
    </row>
    <row r="1004" spans="2:12">
      <c r="B1004">
        <v>0.1988</v>
      </c>
      <c r="C1004">
        <f ca="1"/>
        <v>-3.5307466597592485E-2</v>
      </c>
      <c r="D1004">
        <f ca="1"/>
        <v>1</v>
      </c>
      <c r="E1004">
        <f ca="1"/>
        <v>98.902319631749009</v>
      </c>
      <c r="F1004">
        <f ca="1"/>
        <v>-3.7859690762949061</v>
      </c>
      <c r="G1004">
        <f ca="1"/>
        <v>3.8279881507243818E-2</v>
      </c>
      <c r="H1004">
        <f ca="1"/>
        <v>60.582451773185127</v>
      </c>
      <c r="I1004">
        <f ca="1"/>
        <v>-0.58755851943865589</v>
      </c>
      <c r="J1004">
        <f ca="1"/>
        <v>2.4715512813059703</v>
      </c>
      <c r="K1004">
        <f ca="1"/>
        <v>0</v>
      </c>
      <c r="L1004">
        <f ca="1"/>
        <v>1.097680368250991</v>
      </c>
    </row>
    <row r="1005" spans="2:12">
      <c r="B1005">
        <v>0.19900000000000001</v>
      </c>
      <c r="C1005">
        <f ca="1"/>
        <v>-2.3763432214443946E-2</v>
      </c>
      <c r="D1005">
        <f ca="1"/>
        <v>1</v>
      </c>
      <c r="E1005">
        <f ca="1"/>
        <v>99.130533271308664</v>
      </c>
      <c r="F1005">
        <f ca="1"/>
        <v>-1.9592231332915147</v>
      </c>
      <c r="G1005">
        <f ca="1"/>
        <v>1.9764073375146185E-2</v>
      </c>
      <c r="H1005">
        <f ca="1"/>
        <v>58.623228639893611</v>
      </c>
      <c r="I1005">
        <f ca="1"/>
        <v>-0.56779444606350971</v>
      </c>
      <c r="J1005">
        <f ca="1"/>
        <v>2.3374624131305879</v>
      </c>
      <c r="K1005">
        <f ca="1"/>
        <v>0</v>
      </c>
      <c r="L1005">
        <f ca="1"/>
        <v>0.86946672869133579</v>
      </c>
    </row>
    <row r="1006" spans="2:12">
      <c r="B1006">
        <v>0.19920000000000002</v>
      </c>
      <c r="C1006">
        <f ca="1"/>
        <v>-5.2636959577413364E-3</v>
      </c>
      <c r="D1006">
        <f ca="1"/>
        <v>1</v>
      </c>
      <c r="E1006">
        <f ca="1"/>
        <v>99.497592391012617</v>
      </c>
      <c r="F1006">
        <f ca="1"/>
        <v>-3.2095561753425259</v>
      </c>
      <c r="G1006">
        <f ca="1"/>
        <v>3.2257626523558347E-2</v>
      </c>
      <c r="H1006">
        <f ca="1"/>
        <v>55.413672464551084</v>
      </c>
      <c r="I1006">
        <f ca="1"/>
        <v>-0.53553681953995136</v>
      </c>
      <c r="J1006">
        <f ca="1"/>
        <v>2.1290482835857247</v>
      </c>
      <c r="K1006">
        <f ca="1"/>
        <v>0</v>
      </c>
      <c r="L1006">
        <f ca="1"/>
        <v>0.50240760898738301</v>
      </c>
    </row>
    <row r="1007" spans="2:12">
      <c r="B1007">
        <v>0.19940000000000002</v>
      </c>
      <c r="C1007">
        <f ca="1"/>
        <v>-6.7046076621480296E-3</v>
      </c>
      <c r="D1007">
        <f ca="1"/>
        <v>1</v>
      </c>
      <c r="E1007">
        <f ca="1"/>
        <v>99.468525198222764</v>
      </c>
      <c r="F1007">
        <f ca="1"/>
        <v>0.26708666970818212</v>
      </c>
      <c r="G1007">
        <f ca="1"/>
        <v>-2.6851375264278499E-3</v>
      </c>
      <c r="H1007">
        <f ca="1"/>
        <v>55.680759134259269</v>
      </c>
      <c r="I1007">
        <f ca="1"/>
        <v>-0.53822195706637921</v>
      </c>
      <c r="J1007">
        <f ca="1"/>
        <v>2.1446148355653563</v>
      </c>
      <c r="K1007">
        <f ca="1"/>
        <v>0</v>
      </c>
      <c r="L1007">
        <f ca="1"/>
        <v>0.53147480177723594</v>
      </c>
    </row>
    <row r="1008" spans="2:12">
      <c r="B1008">
        <v>0.1996</v>
      </c>
      <c r="C1008">
        <f ca="1"/>
        <v>-1.4388235996583372E-2</v>
      </c>
      <c r="D1008">
        <f ca="1"/>
        <v>1</v>
      </c>
      <c r="E1008">
        <f ca="1"/>
        <v>99.315389488754761</v>
      </c>
      <c r="F1008">
        <f ca="1"/>
        <v>1.3618226260451638</v>
      </c>
      <c r="G1008">
        <f ca="1"/>
        <v>-1.3712100743453859E-2</v>
      </c>
      <c r="H1008">
        <f ca="1"/>
        <v>57.042581760304429</v>
      </c>
      <c r="I1008">
        <f ca="1"/>
        <v>-0.55193405780983307</v>
      </c>
      <c r="J1008">
        <f ca="1"/>
        <v>2.2270358368119716</v>
      </c>
      <c r="K1008">
        <f ca="1"/>
        <v>0</v>
      </c>
      <c r="L1008">
        <f ca="1"/>
        <v>0.68461051124523919</v>
      </c>
    </row>
    <row r="1009" spans="2:12">
      <c r="B1009">
        <v>0.19980000000000001</v>
      </c>
      <c r="C1009">
        <f ca="1"/>
        <v>7.2144612367293515E-3</v>
      </c>
      <c r="D1009">
        <f ca="1"/>
        <v>1</v>
      </c>
      <c r="E1009">
        <f ca="1"/>
        <v>99.745014865503478</v>
      </c>
      <c r="F1009">
        <f ca="1"/>
        <v>-3.8048092190094049</v>
      </c>
      <c r="G1009">
        <f ca="1"/>
        <v>3.8145357180404682E-2</v>
      </c>
      <c r="H1009">
        <f ca="1"/>
        <v>53.237772541295023</v>
      </c>
      <c r="I1009">
        <f ca="1"/>
        <v>-0.51378870062942839</v>
      </c>
      <c r="J1009">
        <f ca="1"/>
        <v>1.9899109592849697</v>
      </c>
      <c r="K1009">
        <f ca="1"/>
        <v>0</v>
      </c>
      <c r="L1009">
        <f ca="1"/>
        <v>0.25498513449652194</v>
      </c>
    </row>
    <row r="1010" spans="2:12">
      <c r="B1010">
        <v>0.2</v>
      </c>
      <c r="C1010">
        <f ca="1"/>
        <v>1.2474769567810903E-2</v>
      </c>
      <c r="D1010">
        <f ca="1"/>
        <v>1</v>
      </c>
      <c r="E1010">
        <f ca="1"/>
        <v>99.849608592744104</v>
      </c>
      <c r="F1010">
        <f ca="1"/>
        <v>-0.92695103356912856</v>
      </c>
      <c r="G1010">
        <f ca="1"/>
        <v>9.2834718796933613E-3</v>
      </c>
      <c r="H1010">
        <f ca="1"/>
        <v>52.310821507725898</v>
      </c>
      <c r="I1010">
        <f ca="1"/>
        <v>-0.50450522874973502</v>
      </c>
      <c r="J1010">
        <f ca="1"/>
        <v>1.9361718840720243</v>
      </c>
      <c r="K1010">
        <f ca="1"/>
        <v>0</v>
      </c>
      <c r="L1010">
        <f ca="1"/>
        <v>0.15039140725589561</v>
      </c>
    </row>
    <row r="1011" spans="2:12">
      <c r="B1011">
        <v>0.20020000000000002</v>
      </c>
      <c r="C1011">
        <f ca="1"/>
        <v>2.993385364404403E-2</v>
      </c>
      <c r="D1011">
        <f ca="1"/>
        <v>1</v>
      </c>
      <c r="E1011">
        <f ca="1"/>
        <v>100.19847377185054</v>
      </c>
      <c r="F1011">
        <f ca="1"/>
        <v>-3.1173011266812334</v>
      </c>
      <c r="G1011">
        <f ca="1"/>
        <v>3.1111263568537495E-2</v>
      </c>
      <c r="H1011">
        <f ca="1"/>
        <v>49.193520381044664</v>
      </c>
      <c r="I1011">
        <f ca="1"/>
        <v>-0.47339396518119753</v>
      </c>
      <c r="J1011">
        <f ca="1"/>
        <v>1.7601675770841112</v>
      </c>
      <c r="K1011">
        <f ca="1"/>
        <v>0</v>
      </c>
      <c r="L1011">
        <f ca="1"/>
        <v>0</v>
      </c>
    </row>
    <row r="1012" spans="2:12">
      <c r="B1012">
        <v>0.20040000000000002</v>
      </c>
      <c r="C1012">
        <f ca="1"/>
        <v>2.1631115655365577E-2</v>
      </c>
      <c r="D1012">
        <f ca="1"/>
        <v>1</v>
      </c>
      <c r="E1012">
        <f ca="1"/>
        <v>100.03182737694249</v>
      </c>
      <c r="F1012">
        <f ca="1"/>
        <v>1.4877422666984284</v>
      </c>
      <c r="G1012">
        <f ca="1"/>
        <v>-1.4872689080169255E-2</v>
      </c>
      <c r="H1012">
        <f ca="1"/>
        <v>50.68126264774309</v>
      </c>
      <c r="I1012">
        <f ca="1"/>
        <v>-0.48826665426136678</v>
      </c>
      <c r="J1012">
        <f ca="1"/>
        <v>1.8390569747527863</v>
      </c>
      <c r="K1012">
        <f ca="1"/>
        <v>0</v>
      </c>
      <c r="L1012">
        <f ca="1"/>
        <v>0</v>
      </c>
    </row>
    <row r="1013" spans="2:12">
      <c r="B1013">
        <v>0.2006</v>
      </c>
      <c r="C1013">
        <f ca="1"/>
        <v>-1.6403904706490263E-2</v>
      </c>
      <c r="D1013">
        <f ca="1"/>
        <v>1</v>
      </c>
      <c r="E1013">
        <f ca="1"/>
        <v>99.273374685931287</v>
      </c>
      <c r="F1013">
        <f ca="1"/>
        <v>6.7632259241466919</v>
      </c>
      <c r="G1013">
        <f ca="1"/>
        <v>-6.812728937183149E-2</v>
      </c>
      <c r="H1013">
        <f ca="1"/>
        <v>57.444488571889778</v>
      </c>
      <c r="I1013">
        <f ca="1"/>
        <v>-0.55639394363319827</v>
      </c>
      <c r="J1013">
        <f ca="1"/>
        <v>2.2093841326083563</v>
      </c>
      <c r="K1013">
        <f ca="1"/>
        <v>0</v>
      </c>
      <c r="L1013">
        <f ca="1"/>
        <v>0.72662531406871267</v>
      </c>
    </row>
    <row r="1014" spans="2:12">
      <c r="B1014">
        <v>0.20080000000000001</v>
      </c>
      <c r="C1014">
        <f ca="1"/>
        <v>-1.5857614784662258E-2</v>
      </c>
      <c r="D1014">
        <f ca="1"/>
        <v>1</v>
      </c>
      <c r="E1014">
        <f ca="1"/>
        <v>99.283824551208127</v>
      </c>
      <c r="F1014">
        <f ca="1"/>
        <v>-7.8221374221614862E-2</v>
      </c>
      <c r="G1014">
        <f ca="1"/>
        <v>7.8785617471122116E-4</v>
      </c>
      <c r="H1014">
        <f ca="1"/>
        <v>57.366267197668165</v>
      </c>
      <c r="I1014">
        <f ca="1"/>
        <v>-0.55560608745848705</v>
      </c>
      <c r="J1014">
        <f ca="1"/>
        <v>2.2035698908565351</v>
      </c>
      <c r="K1014">
        <f ca="1"/>
        <v>0</v>
      </c>
      <c r="L1014">
        <f ca="1"/>
        <v>0.71617544879187278</v>
      </c>
    </row>
    <row r="1015" spans="2:12">
      <c r="B1015">
        <v>0.20100000000000001</v>
      </c>
      <c r="C1015">
        <f ca="1"/>
        <v>-2.6164179756783056E-2</v>
      </c>
      <c r="D1015">
        <f ca="1"/>
        <v>1</v>
      </c>
      <c r="E1015">
        <f ca="1"/>
        <v>99.078983980984702</v>
      </c>
      <c r="F1015">
        <f ca="1"/>
        <v>1.8339919948383565</v>
      </c>
      <c r="G1015">
        <f ca="1"/>
        <v>-1.8510403731939129E-2</v>
      </c>
      <c r="H1015">
        <f ca="1"/>
        <v>59.200259192506522</v>
      </c>
      <c r="I1015">
        <f ca="1"/>
        <v>-0.57411649119042618</v>
      </c>
      <c r="J1015">
        <f ca="1"/>
        <v>2.3173805586311431</v>
      </c>
      <c r="K1015">
        <f ca="1"/>
        <v>0</v>
      </c>
      <c r="L1015">
        <f ca="1"/>
        <v>0.92101601901529762</v>
      </c>
    </row>
    <row r="1016" spans="2:12">
      <c r="B1016">
        <v>0.20120000000000002</v>
      </c>
      <c r="C1016">
        <f ca="1"/>
        <v>-3.4939208651860475E-2</v>
      </c>
      <c r="D1016">
        <f ca="1"/>
        <v>1</v>
      </c>
      <c r="E1016">
        <f ca="1"/>
        <v>98.904856665957169</v>
      </c>
      <c r="F1016">
        <f ca="1"/>
        <v>1.5557922886061903</v>
      </c>
      <c r="G1016">
        <f ca="1"/>
        <v>-1.5730191024498907E-2</v>
      </c>
      <c r="H1016">
        <f ca="1"/>
        <v>60.756051481112713</v>
      </c>
      <c r="I1016">
        <f ca="1"/>
        <v>-0.58984668221492509</v>
      </c>
      <c r="J1016">
        <f ca="1"/>
        <v>2.4173499217551608</v>
      </c>
      <c r="K1016">
        <f ca="1"/>
        <v>0</v>
      </c>
      <c r="L1016">
        <f ca="1"/>
        <v>1.0951433340428309</v>
      </c>
    </row>
    <row r="1017" spans="2:12">
      <c r="B1017">
        <v>0.20140000000000002</v>
      </c>
      <c r="C1017">
        <f ca="1"/>
        <v>-1.7623189129297036E-2</v>
      </c>
      <c r="D1017">
        <f ca="1"/>
        <v>1</v>
      </c>
      <c r="E1017">
        <f ca="1"/>
        <v>99.247581167522313</v>
      </c>
      <c r="F1017">
        <f ca="1"/>
        <v>-3.0294448412446555</v>
      </c>
      <c r="G1017">
        <f ca="1"/>
        <v>3.052411762188123E-2</v>
      </c>
      <c r="H1017">
        <f ca="1"/>
        <v>57.726606639868059</v>
      </c>
      <c r="I1017">
        <f ca="1"/>
        <v>-0.55932256459304386</v>
      </c>
      <c r="J1017">
        <f ca="1"/>
        <v>2.2151950115931953</v>
      </c>
      <c r="K1017">
        <f ca="1"/>
        <v>0</v>
      </c>
      <c r="L1017">
        <f ca="1"/>
        <v>0.75241883247768726</v>
      </c>
    </row>
    <row r="1018" spans="2:12">
      <c r="B1018">
        <v>0.2016</v>
      </c>
      <c r="C1018">
        <f ca="1"/>
        <v>-4.8743659783307074E-2</v>
      </c>
      <c r="D1018">
        <f ca="1"/>
        <v>1</v>
      </c>
      <c r="E1018">
        <f ca="1"/>
        <v>98.631378764869908</v>
      </c>
      <c r="F1018">
        <f ca="1"/>
        <v>5.4471805270554494</v>
      </c>
      <c r="G1018">
        <f ca="1"/>
        <v>-5.5227662791180632E-2</v>
      </c>
      <c r="H1018">
        <f ca="1"/>
        <v>63.17378716692351</v>
      </c>
      <c r="I1018">
        <f ca="1"/>
        <v>-0.61455022738422449</v>
      </c>
      <c r="J1018">
        <f ca="1"/>
        <v>2.5598509197531385</v>
      </c>
      <c r="K1018">
        <f ca="1"/>
        <v>0</v>
      </c>
      <c r="L1018">
        <f ca="1"/>
        <v>1.3686212351300924</v>
      </c>
    </row>
    <row r="1019" spans="2:12">
      <c r="B1019">
        <v>0.20180000000000001</v>
      </c>
      <c r="C1019">
        <f ca="1"/>
        <v>-4.6774537773037771E-2</v>
      </c>
      <c r="D1019">
        <f ca="1"/>
        <v>1</v>
      </c>
      <c r="E1019">
        <f ca="1"/>
        <v>98.669835178257841</v>
      </c>
      <c r="F1019">
        <f ca="1"/>
        <v>-0.30911996384662382</v>
      </c>
      <c r="G1019">
        <f ca="1"/>
        <v>3.1328719997166798E-3</v>
      </c>
      <c r="H1019">
        <f ca="1"/>
        <v>62.864667203076884</v>
      </c>
      <c r="I1019">
        <f ca="1"/>
        <v>-0.61141735538450781</v>
      </c>
      <c r="J1019">
        <f ca="1"/>
        <v>2.536217522161202</v>
      </c>
      <c r="K1019">
        <f ca="1"/>
        <v>0</v>
      </c>
      <c r="L1019">
        <f ca="1"/>
        <v>1.3301648217421587</v>
      </c>
    </row>
    <row r="1020" spans="2:12">
      <c r="B1020">
        <v>0.20200000000000001</v>
      </c>
      <c r="C1020">
        <f ca="1"/>
        <v>-4.6189997081521772E-2</v>
      </c>
      <c r="D1020">
        <f ca="1"/>
        <v>1</v>
      </c>
      <c r="E1020">
        <f ca="1"/>
        <v>98.680976434611935</v>
      </c>
      <c r="F1020">
        <f ca="1"/>
        <v>-7.1748688831894544E-2</v>
      </c>
      <c r="G1020">
        <f ca="1"/>
        <v>7.2707720803144582E-4</v>
      </c>
      <c r="H1020">
        <f ca="1"/>
        <v>62.792918514244988</v>
      </c>
      <c r="I1020">
        <f ca="1"/>
        <v>-0.61069027817647636</v>
      </c>
      <c r="J1020">
        <f ca="1"/>
        <v>2.5294055646655167</v>
      </c>
      <c r="K1020">
        <f ca="1"/>
        <v>0</v>
      </c>
      <c r="L1020">
        <f ca="1"/>
        <v>1.3190235653880649</v>
      </c>
    </row>
    <row r="1021" spans="2:12">
      <c r="B1021">
        <v>0.20220000000000002</v>
      </c>
      <c r="C1021">
        <f ca="1"/>
        <v>-3.1695655799568782E-2</v>
      </c>
      <c r="D1021">
        <f ca="1"/>
        <v>1</v>
      </c>
      <c r="E1021">
        <f ca="1"/>
        <v>98.967058746316511</v>
      </c>
      <c r="F1021">
        <f ca="1"/>
        <v>-2.5080826581330173</v>
      </c>
      <c r="G1021">
        <f ca="1"/>
        <v>2.5342600759329592E-2</v>
      </c>
      <c r="H1021">
        <f ca="1"/>
        <v>60.284835856111968</v>
      </c>
      <c r="I1021">
        <f ca="1"/>
        <v>-0.58534767741714677</v>
      </c>
      <c r="J1021">
        <f ca="1"/>
        <v>2.354697878149274</v>
      </c>
      <c r="K1021">
        <f ca="1"/>
        <v>0</v>
      </c>
      <c r="L1021">
        <f ca="1"/>
        <v>1.0329412536834894</v>
      </c>
    </row>
    <row r="1022" spans="2:12">
      <c r="B1022">
        <v>0.2024</v>
      </c>
      <c r="C1022">
        <f ca="1"/>
        <v>-3.2265686985139937E-2</v>
      </c>
      <c r="D1022">
        <f ca="1"/>
        <v>1</v>
      </c>
      <c r="E1022">
        <f ca="1"/>
        <v>98.955380705169986</v>
      </c>
      <c r="F1022">
        <f ca="1"/>
        <v>0.1252535013274525</v>
      </c>
      <c r="G1022">
        <f ca="1"/>
        <v>-1.2657573588710225E-3</v>
      </c>
      <c r="H1022">
        <f ca="1"/>
        <v>60.410089357439418</v>
      </c>
      <c r="I1022">
        <f ca="1"/>
        <v>-0.58661343477601779</v>
      </c>
      <c r="J1022">
        <f ca="1"/>
        <v>2.3615335924111776</v>
      </c>
      <c r="K1022">
        <f ca="1"/>
        <v>0</v>
      </c>
      <c r="L1022">
        <f ca="1"/>
        <v>1.0446192948300137</v>
      </c>
    </row>
    <row r="1023" spans="2:12">
      <c r="B1023">
        <v>0.2026</v>
      </c>
      <c r="C1023">
        <f ca="1"/>
        <v>-3.8231486491412628E-2</v>
      </c>
      <c r="D1023">
        <f ca="1"/>
        <v>1</v>
      </c>
      <c r="E1023">
        <f ca="1"/>
        <v>98.836986174109114</v>
      </c>
      <c r="F1023">
        <f ca="1"/>
        <v>1.076276003220614</v>
      </c>
      <c r="G1023">
        <f ca="1"/>
        <v>-1.0889405321654277E-2</v>
      </c>
      <c r="H1023">
        <f ca="1"/>
        <v>61.486365360660031</v>
      </c>
      <c r="I1023">
        <f ca="1"/>
        <v>-0.59750284009767207</v>
      </c>
      <c r="J1023">
        <f ca="1"/>
        <v>2.4309854149354848</v>
      </c>
      <c r="K1023">
        <f ca="1"/>
        <v>0</v>
      </c>
      <c r="L1023">
        <f ca="1"/>
        <v>1.1630138258908858</v>
      </c>
    </row>
    <row r="1024" spans="2:12">
      <c r="B1024">
        <v>0.20280000000000001</v>
      </c>
      <c r="C1024">
        <f ca="1"/>
        <v>-4.7180715068618075E-2</v>
      </c>
      <c r="D1024">
        <f ca="1"/>
        <v>1</v>
      </c>
      <c r="E1024">
        <f ca="1"/>
        <v>98.659846797790337</v>
      </c>
      <c r="F1024">
        <f ca="1"/>
        <v>1.590907738896514</v>
      </c>
      <c r="G1024">
        <f ca="1"/>
        <v>-1.6125179498374664E-2</v>
      </c>
      <c r="H1024">
        <f ca="1"/>
        <v>63.077273099556542</v>
      </c>
      <c r="I1024">
        <f ca="1"/>
        <v>-0.61362801959604674</v>
      </c>
      <c r="J1024">
        <f ca="1"/>
        <v>2.5368266953790837</v>
      </c>
      <c r="K1024">
        <f ca="1"/>
        <v>0</v>
      </c>
      <c r="L1024">
        <f ca="1"/>
        <v>1.3401532022096632</v>
      </c>
    </row>
    <row r="1025" spans="2:12">
      <c r="B1025">
        <v>0.20300000000000001</v>
      </c>
      <c r="C1025">
        <f ca="1"/>
        <v>-4.5861796465012684E-2</v>
      </c>
      <c r="D1025">
        <f ca="1"/>
        <v>1</v>
      </c>
      <c r="E1025">
        <f ca="1"/>
        <v>98.685480349322788</v>
      </c>
      <c r="F1025">
        <f ca="1"/>
        <v>-0.19973895972570119</v>
      </c>
      <c r="G1025">
        <f ca="1"/>
        <v>2.0239954147122097E-3</v>
      </c>
      <c r="H1025">
        <f ca="1"/>
        <v>62.877534139830843</v>
      </c>
      <c r="I1025">
        <f ca="1"/>
        <v>-0.61160402418133453</v>
      </c>
      <c r="J1025">
        <f ca="1"/>
        <v>2.521097229917018</v>
      </c>
      <c r="K1025">
        <f ca="1"/>
        <v>0</v>
      </c>
      <c r="L1025">
        <f ca="1"/>
        <v>1.3145196506772123</v>
      </c>
    </row>
    <row r="1026" spans="2:12">
      <c r="B1026">
        <v>0.20320000000000002</v>
      </c>
      <c r="C1026">
        <f ca="1"/>
        <v>-5.4186791740306578E-2</v>
      </c>
      <c r="D1026">
        <f ca="1"/>
        <v>1</v>
      </c>
      <c r="E1026">
        <f ca="1"/>
        <v>98.52091174649432</v>
      </c>
      <c r="F1026">
        <f ca="1"/>
        <v>1.4741631971481604</v>
      </c>
      <c r="G1026">
        <f ca="1"/>
        <v>-1.4962947165383045E-2</v>
      </c>
      <c r="H1026">
        <f ca="1"/>
        <v>64.351697336979001</v>
      </c>
      <c r="I1026">
        <f ca="1"/>
        <v>-0.62656697134671757</v>
      </c>
      <c r="J1026">
        <f ca="1"/>
        <v>2.6217480496608019</v>
      </c>
      <c r="K1026">
        <f ca="1"/>
        <v>0</v>
      </c>
      <c r="L1026">
        <f ca="1"/>
        <v>1.4790882535056795</v>
      </c>
    </row>
    <row r="1027" spans="2:12">
      <c r="B1027">
        <v>0.2034</v>
      </c>
      <c r="C1027">
        <f ca="1"/>
        <v>-5.5498434944837728E-2</v>
      </c>
      <c r="D1027">
        <f ca="1"/>
        <v>1</v>
      </c>
      <c r="E1027">
        <f ca="1"/>
        <v>98.494676299748548</v>
      </c>
      <c r="F1027">
        <f ca="1"/>
        <v>0.25905874760242242</v>
      </c>
      <c r="G1027">
        <f ca="1"/>
        <v>-2.6301802019637055E-3</v>
      </c>
      <c r="H1027">
        <f ca="1"/>
        <v>64.610756084581425</v>
      </c>
      <c r="I1027">
        <f ca="1"/>
        <v>-0.62919715154868128</v>
      </c>
      <c r="J1027">
        <f ca="1"/>
        <v>2.6381863140702322</v>
      </c>
      <c r="K1027">
        <f ca="1"/>
        <v>0</v>
      </c>
      <c r="L1027">
        <f ca="1"/>
        <v>1.5053237002514521</v>
      </c>
    </row>
    <row r="1028" spans="2:12">
      <c r="B1028">
        <v>0.2036</v>
      </c>
      <c r="C1028">
        <f ca="1"/>
        <v>-4.9070699052014811E-2</v>
      </c>
      <c r="D1028">
        <f ca="1"/>
        <v>1</v>
      </c>
      <c r="E1028">
        <f ca="1"/>
        <v>98.620982790841012</v>
      </c>
      <c r="F1028">
        <f ca="1"/>
        <v>-1.083552202065214</v>
      </c>
      <c r="G1028">
        <f ca="1"/>
        <v>1.0987035125813449E-2</v>
      </c>
      <c r="H1028">
        <f ca="1"/>
        <v>63.527203882516211</v>
      </c>
      <c r="I1028">
        <f ca="1"/>
        <v>-0.61821011642286783</v>
      </c>
      <c r="J1028">
        <f ca="1"/>
        <v>2.5587146296527479</v>
      </c>
      <c r="K1028">
        <f ca="1"/>
        <v>0</v>
      </c>
      <c r="L1028">
        <f ca="1"/>
        <v>1.3790172091589881</v>
      </c>
    </row>
    <row r="1029" spans="2:12">
      <c r="B1029">
        <v>0.20380000000000001</v>
      </c>
      <c r="C1029">
        <f ca="1"/>
        <v>-5.0089503487999766E-2</v>
      </c>
      <c r="D1029">
        <f ca="1"/>
        <v>1</v>
      </c>
      <c r="E1029">
        <f ca="1"/>
        <v>98.600495336279721</v>
      </c>
      <c r="F1029">
        <f ca="1"/>
        <v>0.20947254274449356</v>
      </c>
      <c r="G1029">
        <f ca="1"/>
        <v>-2.1244573065285488E-3</v>
      </c>
      <c r="H1029">
        <f ca="1"/>
        <v>63.736676425260704</v>
      </c>
      <c r="I1029">
        <f ca="1"/>
        <v>-0.62033457372939638</v>
      </c>
      <c r="J1029">
        <f ca="1"/>
        <v>2.5713801813222901</v>
      </c>
      <c r="K1029">
        <f ca="1"/>
        <v>0</v>
      </c>
      <c r="L1029">
        <f ca="1"/>
        <v>1.399504663720279</v>
      </c>
    </row>
    <row r="1030" spans="2:12">
      <c r="B1030">
        <v>0.20400000000000001</v>
      </c>
      <c r="C1030">
        <f ca="1"/>
        <v>-4.3655020084805429E-2</v>
      </c>
      <c r="D1030">
        <f ca="1"/>
        <v>1</v>
      </c>
      <c r="E1030">
        <f ca="1"/>
        <v>98.72707075869053</v>
      </c>
      <c r="F1030">
        <f ca="1"/>
        <v>-1.1001974657046911</v>
      </c>
      <c r="G1030">
        <f ca="1"/>
        <v>1.114382769842126E-2</v>
      </c>
      <c r="H1030">
        <f ca="1"/>
        <v>62.636478959556015</v>
      </c>
      <c r="I1030">
        <f ca="1"/>
        <v>-0.60919074603097512</v>
      </c>
      <c r="J1030">
        <f ca="1"/>
        <v>2.4928610706164633</v>
      </c>
      <c r="K1030">
        <f ca="1"/>
        <v>0</v>
      </c>
      <c r="L1030">
        <f ca="1"/>
        <v>1.2729292413094697</v>
      </c>
    </row>
    <row r="1031" spans="2:12">
      <c r="B1031">
        <v>0.20420000000000002</v>
      </c>
      <c r="C1031">
        <f ca="1"/>
        <v>-4.9251724280537514E-2</v>
      </c>
      <c r="D1031">
        <f ca="1"/>
        <v>1</v>
      </c>
      <c r="E1031">
        <f ca="1"/>
        <v>98.616228876440402</v>
      </c>
      <c r="F1031">
        <f ca="1"/>
        <v>1.0161256203215476</v>
      </c>
      <c r="G1031">
        <f ca="1"/>
        <v>-1.0303837734402577E-2</v>
      </c>
      <c r="H1031">
        <f ca="1"/>
        <v>63.652604579877561</v>
      </c>
      <c r="I1031">
        <f ca="1"/>
        <v>-0.61949458376537769</v>
      </c>
      <c r="J1031">
        <f ca="1"/>
        <v>2.5603849195558936</v>
      </c>
      <c r="K1031">
        <f ca="1"/>
        <v>0</v>
      </c>
      <c r="L1031">
        <f ca="1"/>
        <v>1.3837711235595975</v>
      </c>
    </row>
    <row r="1032" spans="2:12">
      <c r="B1032">
        <v>0.2044</v>
      </c>
      <c r="C1032">
        <f ca="1"/>
        <v>-3.4805821487877579E-2</v>
      </c>
      <c r="D1032">
        <f ca="1"/>
        <v>1</v>
      </c>
      <c r="E1032">
        <f ca="1"/>
        <v>98.901165351682593</v>
      </c>
      <c r="F1032">
        <f ca="1"/>
        <v>-2.5401851956255999</v>
      </c>
      <c r="G1032">
        <f ca="1"/>
        <v>2.568407749891477E-2</v>
      </c>
      <c r="H1032">
        <f ca="1"/>
        <v>61.112419384251965</v>
      </c>
      <c r="I1032">
        <f ca="1"/>
        <v>-0.59381050626646292</v>
      </c>
      <c r="J1032">
        <f ca="1"/>
        <v>2.3838683164261596</v>
      </c>
      <c r="K1032">
        <f ca="1"/>
        <v>0</v>
      </c>
      <c r="L1032">
        <f ca="1"/>
        <v>1.098834648317407</v>
      </c>
    </row>
    <row r="1033" spans="2:12">
      <c r="B1033">
        <v>0.2046</v>
      </c>
      <c r="C1033">
        <f ca="1"/>
        <v>-5.7463159877425382E-2</v>
      </c>
      <c r="D1033">
        <f ca="1"/>
        <v>1</v>
      </c>
      <c r="E1033">
        <f ca="1"/>
        <v>98.453617998387969</v>
      </c>
      <c r="F1033">
        <f ca="1"/>
        <v>4.0285587357111883</v>
      </c>
      <c r="G1033">
        <f ca="1"/>
        <v>-4.0918341221113375E-2</v>
      </c>
      <c r="H1033">
        <f ca="1"/>
        <v>65.140978119963151</v>
      </c>
      <c r="I1033">
        <f ca="1"/>
        <v>-0.6347288474875763</v>
      </c>
      <c r="J1033">
        <f ca="1"/>
        <v>2.6496266368642551</v>
      </c>
      <c r="K1033">
        <f ca="1"/>
        <v>0</v>
      </c>
      <c r="L1033">
        <f ca="1"/>
        <v>1.5463820016120309</v>
      </c>
    </row>
    <row r="1034" spans="2:12">
      <c r="B1034">
        <v>0.20480000000000001</v>
      </c>
      <c r="C1034">
        <f ca="1"/>
        <v>-3.4734620924684989E-2</v>
      </c>
      <c r="D1034">
        <f ca="1"/>
        <v>1</v>
      </c>
      <c r="E1034">
        <f ca="1"/>
        <v>98.901782508020034</v>
      </c>
      <c r="F1034">
        <f ca="1"/>
        <v>-4.0051153180253953</v>
      </c>
      <c r="G1034">
        <f ca="1"/>
        <v>4.0495886084769173E-2</v>
      </c>
      <c r="H1034">
        <f ca="1"/>
        <v>61.135862801937755</v>
      </c>
      <c r="I1034">
        <f ca="1"/>
        <v>-0.59423296140280712</v>
      </c>
      <c r="J1034">
        <f ca="1"/>
        <v>2.3651636941806586</v>
      </c>
      <c r="K1034">
        <f ca="1"/>
        <v>0</v>
      </c>
      <c r="L1034">
        <f ca="1"/>
        <v>1.0982174919799661</v>
      </c>
    </row>
    <row r="1035" spans="2:12">
      <c r="B1035">
        <v>0.20500000000000002</v>
      </c>
      <c r="C1035">
        <f ca="1"/>
        <v>-1.8397860866927542E-2</v>
      </c>
      <c r="D1035">
        <f ca="1"/>
        <v>1</v>
      </c>
      <c r="E1035">
        <f ca="1"/>
        <v>99.225061037838628</v>
      </c>
      <c r="F1035">
        <f ca="1"/>
        <v>-2.9594488260496572</v>
      </c>
      <c r="G1035">
        <f ca="1"/>
        <v>2.982561859973154E-2</v>
      </c>
      <c r="H1035">
        <f ca="1"/>
        <v>58.176413975888096</v>
      </c>
      <c r="I1035">
        <f ca="1"/>
        <v>-0.56440734280307558</v>
      </c>
      <c r="J1035">
        <f ca="1"/>
        <v>2.1730609360486071</v>
      </c>
      <c r="K1035">
        <f ca="1"/>
        <v>0</v>
      </c>
      <c r="L1035">
        <f ca="1"/>
        <v>0.77493896216137159</v>
      </c>
    </row>
    <row r="1036" spans="2:12">
      <c r="B1036">
        <v>0.20520000000000002</v>
      </c>
      <c r="C1036">
        <f ca="1"/>
        <v>-3.1829957972083642E-2</v>
      </c>
      <c r="D1036">
        <f ca="1"/>
        <v>1</v>
      </c>
      <c r="E1036">
        <f ca="1"/>
        <v>98.958462797921641</v>
      </c>
      <c r="F1036">
        <f ca="1"/>
        <v>2.4794870745439264</v>
      </c>
      <c r="G1036">
        <f ca="1"/>
        <v>-2.5055836604972015E-2</v>
      </c>
      <c r="H1036">
        <f ca="1"/>
        <v>60.655901050432021</v>
      </c>
      <c r="I1036">
        <f ca="1"/>
        <v>-0.5894631794080476</v>
      </c>
      <c r="J1036">
        <f ca="1"/>
        <v>2.3235309402361324</v>
      </c>
      <c r="K1036">
        <f ca="1"/>
        <v>0</v>
      </c>
      <c r="L1036">
        <f ca="1"/>
        <v>1.0415372020783593</v>
      </c>
    </row>
    <row r="1037" spans="2:12">
      <c r="B1037">
        <v>0.2054</v>
      </c>
      <c r="C1037">
        <f ca="1"/>
        <v>-1.7709674989738876E-2</v>
      </c>
      <c r="D1037">
        <f ca="1"/>
        <v>1</v>
      </c>
      <c r="E1037">
        <f ca="1"/>
        <v>99.237925128298372</v>
      </c>
      <c r="F1037">
        <f ca="1"/>
        <v>-2.5706800047346059</v>
      </c>
      <c r="G1037">
        <f ca="1"/>
        <v>2.5904209518801791E-2</v>
      </c>
      <c r="H1037">
        <f ca="1"/>
        <v>58.085221045697416</v>
      </c>
      <c r="I1037">
        <f ca="1"/>
        <v>-0.56355896988924581</v>
      </c>
      <c r="J1037">
        <f ca="1"/>
        <v>2.1587981864474841</v>
      </c>
      <c r="K1037">
        <f ca="1"/>
        <v>0</v>
      </c>
      <c r="L1037">
        <f ca="1"/>
        <v>0.76207487170162835</v>
      </c>
    </row>
    <row r="1038" spans="2:12">
      <c r="B1038">
        <v>0.2056</v>
      </c>
      <c r="C1038">
        <f ca="1"/>
        <v>-3.0690479913194769E-2</v>
      </c>
      <c r="D1038">
        <f ca="1"/>
        <v>1</v>
      </c>
      <c r="E1038">
        <f ca="1"/>
        <v>98.980225722337266</v>
      </c>
      <c r="F1038">
        <f ca="1"/>
        <v>2.4095276621791197</v>
      </c>
      <c r="G1038">
        <f ca="1"/>
        <v>-2.4343525634487939E-2</v>
      </c>
      <c r="H1038">
        <f ca="1"/>
        <v>60.494748707876539</v>
      </c>
      <c r="I1038">
        <f ca="1"/>
        <v>-0.58790249552373375</v>
      </c>
      <c r="J1038">
        <f ca="1"/>
        <v>2.3040269982119952</v>
      </c>
      <c r="K1038">
        <f ca="1"/>
        <v>0</v>
      </c>
      <c r="L1038">
        <f ca="1"/>
        <v>1.0197742776627337</v>
      </c>
    </row>
    <row r="1039" spans="2:12">
      <c r="B1039">
        <v>0.20580000000000001</v>
      </c>
      <c r="C1039">
        <f ca="1"/>
        <v>-5.0113103338803124E-2</v>
      </c>
      <c r="D1039">
        <f ca="1"/>
        <v>1</v>
      </c>
      <c r="E1039">
        <f ca="1"/>
        <v>98.596086023663347</v>
      </c>
      <c r="F1039">
        <f ca="1"/>
        <v>3.5300960750738568</v>
      </c>
      <c r="G1039">
        <f ca="1"/>
        <v>-3.5803612673089513E-2</v>
      </c>
      <c r="H1039">
        <f ca="1"/>
        <v>64.024844782950396</v>
      </c>
      <c r="I1039">
        <f ca="1"/>
        <v>-0.62370610819682326</v>
      </c>
      <c r="J1039">
        <f ca="1"/>
        <v>2.5298636856921277</v>
      </c>
      <c r="K1039">
        <f ca="1"/>
        <v>0</v>
      </c>
      <c r="L1039">
        <f ca="1"/>
        <v>1.4039139763366535</v>
      </c>
    </row>
    <row r="1040" spans="2:12">
      <c r="B1040">
        <v>0.20600000000000002</v>
      </c>
      <c r="C1040">
        <f ca="1"/>
        <v>-5.3959091451664491E-2</v>
      </c>
      <c r="D1040">
        <f ca="1"/>
        <v>1</v>
      </c>
      <c r="E1040">
        <f ca="1"/>
        <v>98.519881228834507</v>
      </c>
      <c r="F1040">
        <f ca="1"/>
        <v>0.71737836218283213</v>
      </c>
      <c r="G1040">
        <f ca="1"/>
        <v>-7.2815593485802133E-3</v>
      </c>
      <c r="H1040">
        <f ca="1"/>
        <v>64.742223145133224</v>
      </c>
      <c r="I1040">
        <f ca="1"/>
        <v>-0.63098766754540347</v>
      </c>
      <c r="J1040">
        <f ca="1"/>
        <v>2.5773930817007624</v>
      </c>
      <c r="K1040">
        <f ca="1"/>
        <v>0</v>
      </c>
      <c r="L1040">
        <f ca="1"/>
        <v>1.4801187711654933</v>
      </c>
    </row>
    <row r="1041" spans="2:12">
      <c r="B1041">
        <v>0.20620000000000002</v>
      </c>
      <c r="C1041">
        <f ca="1"/>
        <v>-6.2444670027748631E-2</v>
      </c>
      <c r="D1041">
        <f ca="1"/>
        <v>1</v>
      </c>
      <c r="E1041">
        <f ca="1"/>
        <v>98.352429977972804</v>
      </c>
      <c r="F1041">
        <f ca="1"/>
        <v>1.528661761174013</v>
      </c>
      <c r="G1041">
        <f ca="1"/>
        <v>-1.554269438504341E-2</v>
      </c>
      <c r="H1041">
        <f ca="1"/>
        <v>66.270884906307231</v>
      </c>
      <c r="I1041">
        <f ca="1"/>
        <v>-0.64653036193044688</v>
      </c>
      <c r="J1041">
        <f ca="1"/>
        <v>2.683052755909543</v>
      </c>
      <c r="K1041">
        <f ca="1"/>
        <v>0</v>
      </c>
      <c r="L1041">
        <f ca="1"/>
        <v>1.647570022027196</v>
      </c>
    </row>
    <row r="1042" spans="2:12">
      <c r="B1042">
        <v>0.2064</v>
      </c>
      <c r="C1042">
        <f ca="1"/>
        <v>-5.8972665408989128E-2</v>
      </c>
      <c r="D1042">
        <f ca="1"/>
        <v>1</v>
      </c>
      <c r="E1042">
        <f ca="1"/>
        <v>98.420356031889938</v>
      </c>
      <c r="F1042">
        <f ca="1"/>
        <v>-0.57145615622287771</v>
      </c>
      <c r="G1042">
        <f ca="1"/>
        <v>5.8062801158503818E-3</v>
      </c>
      <c r="H1042">
        <f ca="1"/>
        <v>65.699428750084351</v>
      </c>
      <c r="I1042">
        <f ca="1"/>
        <v>-0.6407240818145965</v>
      </c>
      <c r="J1042">
        <f ca="1"/>
        <v>2.6391364996859892</v>
      </c>
      <c r="K1042">
        <f ca="1"/>
        <v>0</v>
      </c>
      <c r="L1042">
        <f ca="1"/>
        <v>1.5796439681100622</v>
      </c>
    </row>
    <row r="1043" spans="2:12">
      <c r="B1043">
        <v>0.20660000000000001</v>
      </c>
      <c r="C1043">
        <f ca="1"/>
        <v>-3.9642817956541759E-2</v>
      </c>
      <c r="D1043">
        <f ca="1"/>
        <v>1</v>
      </c>
      <c r="E1043">
        <f ca="1"/>
        <v>98.801187350259099</v>
      </c>
      <c r="F1043">
        <f ca="1"/>
        <v>-3.4413685249457706</v>
      </c>
      <c r="G1043">
        <f ca="1"/>
        <v>3.4831246640243396E-2</v>
      </c>
      <c r="H1043">
        <f ca="1"/>
        <v>62.258060225138578</v>
      </c>
      <c r="I1043">
        <f ca="1"/>
        <v>-0.60589283517435311</v>
      </c>
      <c r="J1043">
        <f ca="1"/>
        <v>2.395128702897658</v>
      </c>
      <c r="K1043">
        <f ca="1"/>
        <v>0</v>
      </c>
      <c r="L1043">
        <f ca="1"/>
        <v>1.1988126497409013</v>
      </c>
    </row>
    <row r="1044" spans="2:12">
      <c r="B1044">
        <v>0.20680000000000001</v>
      </c>
      <c r="C1044">
        <f ca="1"/>
        <v>-4.8290540289214895E-3</v>
      </c>
      <c r="D1044">
        <f ca="1"/>
        <v>1</v>
      </c>
      <c r="E1044">
        <f ca="1"/>
        <v>99.491118132710639</v>
      </c>
      <c r="F1044">
        <f ca="1"/>
        <v>-6.4960387572192397</v>
      </c>
      <c r="G1044">
        <f ca="1"/>
        <v>6.5292650028861976E-2</v>
      </c>
      <c r="H1044">
        <f ca="1"/>
        <v>55.76202146791934</v>
      </c>
      <c r="I1044">
        <f ca="1"/>
        <v>-0.54060018514549113</v>
      </c>
      <c r="J1044">
        <f ca="1"/>
        <v>1.9771045850440387</v>
      </c>
      <c r="K1044">
        <f ca="1"/>
        <v>0</v>
      </c>
      <c r="L1044">
        <f ca="1"/>
        <v>0.50888186728936091</v>
      </c>
    </row>
    <row r="1045" spans="2:12">
      <c r="B1045">
        <v>0.20700000000000002</v>
      </c>
      <c r="C1045">
        <f ca="1"/>
        <v>-1.1352787271656152E-2</v>
      </c>
      <c r="D1045">
        <f ca="1"/>
        <v>1</v>
      </c>
      <c r="E1045">
        <f ca="1"/>
        <v>99.360994633214361</v>
      </c>
      <c r="F1045">
        <f ca="1"/>
        <v>1.2552886315738849</v>
      </c>
      <c r="G1045">
        <f ca="1"/>
        <v>-1.2633615798711695E-2</v>
      </c>
      <c r="H1045">
        <f ca="1"/>
        <v>57.017310099493223</v>
      </c>
      <c r="I1045">
        <f ca="1"/>
        <v>-0.55323380094420282</v>
      </c>
      <c r="J1045">
        <f ca="1"/>
        <v>2.0474493729635057</v>
      </c>
      <c r="K1045">
        <f ca="1"/>
        <v>0</v>
      </c>
      <c r="L1045">
        <f ca="1"/>
        <v>0.63900536678563924</v>
      </c>
    </row>
    <row r="1046" spans="2:12">
      <c r="B1046">
        <v>0.20720000000000002</v>
      </c>
      <c r="C1046">
        <f ca="1"/>
        <v>-2.2597494669387305E-2</v>
      </c>
      <c r="D1046">
        <f ca="1"/>
        <v>1</v>
      </c>
      <c r="E1046">
        <f ca="1"/>
        <v>99.137392103242689</v>
      </c>
      <c r="F1046">
        <f ca="1"/>
        <v>2.1413880934483607</v>
      </c>
      <c r="G1046">
        <f ca="1"/>
        <v>-2.1600206017304724E-2</v>
      </c>
      <c r="H1046">
        <f ca="1"/>
        <v>59.158698192941586</v>
      </c>
      <c r="I1046">
        <f ca="1"/>
        <v>-0.57483400696150755</v>
      </c>
      <c r="J1046">
        <f ca="1"/>
        <v>2.1711538505204757</v>
      </c>
      <c r="K1046">
        <f ca="1"/>
        <v>0</v>
      </c>
      <c r="L1046">
        <f ca="1"/>
        <v>0.86260789675731075</v>
      </c>
    </row>
    <row r="1047" spans="2:12">
      <c r="B1047">
        <v>0.2074</v>
      </c>
      <c r="C1047">
        <f ca="1"/>
        <v>-6.0213271854902828E-3</v>
      </c>
      <c r="D1047">
        <f ca="1"/>
        <v>1</v>
      </c>
      <c r="E1047">
        <f ca="1"/>
        <v>99.466203241554894</v>
      </c>
      <c r="F1047">
        <f ca="1"/>
        <v>-3.1259844006001702</v>
      </c>
      <c r="G1047">
        <f ca="1"/>
        <v>3.1427603534928128E-2</v>
      </c>
      <c r="H1047">
        <f ca="1"/>
        <v>56.032713792341418</v>
      </c>
      <c r="I1047">
        <f ca="1"/>
        <v>-0.54340640342657942</v>
      </c>
      <c r="J1047">
        <f ca="1"/>
        <v>1.9821420263508998</v>
      </c>
      <c r="K1047">
        <f ca="1"/>
        <v>0</v>
      </c>
      <c r="L1047">
        <f ca="1"/>
        <v>0.53379675844510643</v>
      </c>
    </row>
    <row r="1048" spans="2:12">
      <c r="B1048">
        <v>0.20760000000000001</v>
      </c>
      <c r="C1048">
        <f ca="1"/>
        <v>-4.6511402153748497E-3</v>
      </c>
      <c r="D1048">
        <f ca="1"/>
        <v>1</v>
      </c>
      <c r="E1048">
        <f ca="1"/>
        <v>99.493066462745503</v>
      </c>
      <c r="F1048">
        <f ca="1"/>
        <v>-0.24483738582841727</v>
      </c>
      <c r="G1048">
        <f ca="1"/>
        <v>2.4608487257762324E-3</v>
      </c>
      <c r="H1048">
        <f ca="1"/>
        <v>55.787876406513</v>
      </c>
      <c r="I1048">
        <f ca="1"/>
        <v>-0.54094555470080319</v>
      </c>
      <c r="J1048">
        <f ca="1"/>
        <v>1.9675443799392554</v>
      </c>
      <c r="K1048">
        <f ca="1"/>
        <v>0</v>
      </c>
      <c r="L1048">
        <f ca="1"/>
        <v>0.50693353725449697</v>
      </c>
    </row>
    <row r="1049" spans="2:12">
      <c r="B1049">
        <v>0.20780000000000001</v>
      </c>
      <c r="C1049">
        <f ca="1"/>
        <v>-3.2511027533170929E-2</v>
      </c>
      <c r="D1049">
        <f ca="1"/>
        <v>1</v>
      </c>
      <c r="E1049">
        <f ca="1"/>
        <v>98.939839191157347</v>
      </c>
      <c r="F1049">
        <f ca="1"/>
        <v>5.2886125560034349</v>
      </c>
      <c r="G1049">
        <f ca="1"/>
        <v>-5.3452811316840099E-2</v>
      </c>
      <c r="H1049">
        <f ca="1"/>
        <v>61.076488962516436</v>
      </c>
      <c r="I1049">
        <f ca="1"/>
        <v>-0.59439836601764329</v>
      </c>
      <c r="J1049">
        <f ca="1"/>
        <v>2.2668102132441206</v>
      </c>
      <c r="K1049">
        <f ca="1"/>
        <v>0</v>
      </c>
      <c r="L1049">
        <f ca="1"/>
        <v>1.0601608088426531</v>
      </c>
    </row>
    <row r="1050" spans="2:12">
      <c r="B1050">
        <v>0.20800000000000002</v>
      </c>
      <c r="C1050">
        <f ca="1"/>
        <v>7.6435294802758152E-3</v>
      </c>
      <c r="D1050">
        <f ca="1"/>
        <v>1</v>
      </c>
      <c r="E1050">
        <f ca="1"/>
        <v>99.737216471599666</v>
      </c>
      <c r="F1050">
        <f ca="1"/>
        <v>-7.6766638030475995</v>
      </c>
      <c r="G1050">
        <f ca="1"/>
        <v>7.6968899620670106E-2</v>
      </c>
      <c r="H1050">
        <f ca="1"/>
        <v>53.399825159468833</v>
      </c>
      <c r="I1050">
        <f ca="1"/>
        <v>-0.51742946639697318</v>
      </c>
      <c r="J1050">
        <f ca="1"/>
        <v>1.7928504606496105</v>
      </c>
      <c r="K1050">
        <f ca="1"/>
        <v>0</v>
      </c>
      <c r="L1050">
        <f ca="1"/>
        <v>0.26278352840033392</v>
      </c>
    </row>
    <row r="1051" spans="2:12">
      <c r="B1051">
        <v>0.2082</v>
      </c>
      <c r="C1051">
        <f ca="1"/>
        <v>2.0605102070686216E-3</v>
      </c>
      <c r="D1051">
        <f ca="1"/>
        <v>1</v>
      </c>
      <c r="E1051">
        <f ca="1"/>
        <v>99.62551316163956</v>
      </c>
      <c r="F1051">
        <f ca="1"/>
        <v>1.0954084425189006</v>
      </c>
      <c r="G1051">
        <f ca="1"/>
        <v>-1.0995260227584791E-2</v>
      </c>
      <c r="H1051">
        <f ca="1"/>
        <v>54.495233601987735</v>
      </c>
      <c r="I1051">
        <f ca="1"/>
        <v>-0.52842472662455797</v>
      </c>
      <c r="J1051">
        <f ca="1"/>
        <v>1.8506490447170449</v>
      </c>
      <c r="K1051">
        <f ca="1"/>
        <v>0</v>
      </c>
      <c r="L1051">
        <f ca="1"/>
        <v>0.37448683836043983</v>
      </c>
    </row>
    <row r="1052" spans="2:12">
      <c r="B1052">
        <v>0.2084</v>
      </c>
      <c r="C1052">
        <f ca="1"/>
        <v>1.890199019336956E-2</v>
      </c>
      <c r="D1052">
        <f ca="1"/>
        <v>1</v>
      </c>
      <c r="E1052">
        <f ca="1"/>
        <v>99.96124731466098</v>
      </c>
      <c r="F1052">
        <f ca="1"/>
        <v>-3.2758099369951355</v>
      </c>
      <c r="G1052">
        <f ca="1"/>
        <v>3.2770798934545542E-2</v>
      </c>
      <c r="H1052">
        <f ca="1"/>
        <v>51.219423664992597</v>
      </c>
      <c r="I1052">
        <f ca="1"/>
        <v>-0.49565392769001243</v>
      </c>
      <c r="J1052">
        <f ca="1"/>
        <v>1.6732388166881762</v>
      </c>
      <c r="K1052">
        <f ca="1"/>
        <v>0</v>
      </c>
      <c r="L1052">
        <f ca="1"/>
        <v>3.8752685339019877E-2</v>
      </c>
    </row>
    <row r="1053" spans="2:12">
      <c r="B1053">
        <v>0.20860000000000001</v>
      </c>
      <c r="C1053">
        <f ca="1"/>
        <v>1.9920547279214607E-2</v>
      </c>
      <c r="D1053">
        <f ca="1"/>
        <v>1</v>
      </c>
      <c r="E1053">
        <f ca="1"/>
        <v>99.981212710616575</v>
      </c>
      <c r="F1053">
        <f ca="1"/>
        <v>-0.19286014562835244</v>
      </c>
      <c r="G1053">
        <f ca="1"/>
        <v>1.9289638563053102E-3</v>
      </c>
      <c r="H1053">
        <f ca="1"/>
        <v>51.026563519364245</v>
      </c>
      <c r="I1053">
        <f ca="1"/>
        <v>-0.49372496383370712</v>
      </c>
      <c r="J1053">
        <f ca="1"/>
        <v>1.6633428897648983</v>
      </c>
      <c r="K1053">
        <f ca="1"/>
        <v>0</v>
      </c>
      <c r="L1053">
        <f ca="1"/>
        <v>1.8787289383425332E-2</v>
      </c>
    </row>
    <row r="1054" spans="2:12">
      <c r="B1054">
        <v>0.20880000000000001</v>
      </c>
      <c r="C1054">
        <f ca="1"/>
        <v>2.3419814474817634E-2</v>
      </c>
      <c r="D1054">
        <f ca="1"/>
        <v>1</v>
      </c>
      <c r="E1054">
        <f ca="1"/>
        <v>100.05080919299623</v>
      </c>
      <c r="F1054">
        <f ca="1"/>
        <v>-0.68155928699242174</v>
      </c>
      <c r="G1054">
        <f ca="1"/>
        <v>6.8121316807913668E-3</v>
      </c>
      <c r="H1054">
        <f ca="1"/>
        <v>50.345004232371821</v>
      </c>
      <c r="I1054">
        <f ca="1"/>
        <v>-0.48691283215291575</v>
      </c>
      <c r="J1054">
        <f ca="1"/>
        <v>1.6289813690190513</v>
      </c>
      <c r="K1054">
        <f ca="1"/>
        <v>0</v>
      </c>
      <c r="L1054">
        <f ca="1"/>
        <v>0</v>
      </c>
    </row>
    <row r="1055" spans="2:12">
      <c r="B1055">
        <v>0.20900000000000002</v>
      </c>
      <c r="C1055">
        <f ca="1"/>
        <v>3.529603718039661E-2</v>
      </c>
      <c r="D1055">
        <f ca="1"/>
        <v>1</v>
      </c>
      <c r="E1055">
        <f ca="1"/>
        <v>100.28833563347004</v>
      </c>
      <c r="F1055">
        <f ca="1"/>
        <v>-2.3370959473891357</v>
      </c>
      <c r="G1055">
        <f ca="1"/>
        <v>2.3303766411386706E-2</v>
      </c>
      <c r="H1055">
        <f ca="1"/>
        <v>48.007908284982683</v>
      </c>
      <c r="I1055">
        <f ca="1"/>
        <v>-0.46360906574152905</v>
      </c>
      <c r="J1055">
        <f ca="1"/>
        <v>1.5133266971767441</v>
      </c>
      <c r="K1055">
        <f ca="1"/>
        <v>0</v>
      </c>
      <c r="L1055">
        <f ca="1"/>
        <v>0</v>
      </c>
    </row>
    <row r="1056" spans="2:12">
      <c r="B1056">
        <v>0.2092</v>
      </c>
      <c r="C1056">
        <f ca="1"/>
        <v>3.8802337258619743E-2</v>
      </c>
      <c r="D1056">
        <f ca="1"/>
        <v>1</v>
      </c>
      <c r="E1056">
        <f ca="1"/>
        <v>100.35828706427662</v>
      </c>
      <c r="F1056">
        <f ca="1"/>
        <v>-0.69253760359659855</v>
      </c>
      <c r="G1056">
        <f ca="1"/>
        <v>6.9006518928830252E-3</v>
      </c>
      <c r="H1056">
        <f ca="1"/>
        <v>47.315370681386085</v>
      </c>
      <c r="I1056">
        <f ca="1"/>
        <v>-0.45670841384864602</v>
      </c>
      <c r="J1056">
        <f ca="1"/>
        <v>1.4808965796932156</v>
      </c>
      <c r="K1056">
        <f ca="1"/>
        <v>0</v>
      </c>
      <c r="L1056">
        <f ca="1"/>
        <v>0</v>
      </c>
    </row>
    <row r="1057" spans="2:12">
      <c r="B1057">
        <v>0.2094</v>
      </c>
      <c r="C1057">
        <f ca="1"/>
        <v>5.1289132043683239E-2</v>
      </c>
      <c r="D1057">
        <f ca="1"/>
        <v>1</v>
      </c>
      <c r="E1057">
        <f ca="1"/>
        <v>100.60882851332387</v>
      </c>
      <c r="F1057">
        <f ca="1"/>
        <v>-2.4655168006900361</v>
      </c>
      <c r="G1057">
        <f ca="1"/>
        <v>2.4505968682097534E-2</v>
      </c>
      <c r="H1057">
        <f ca="1"/>
        <v>44.849853880696045</v>
      </c>
      <c r="I1057">
        <f ca="1"/>
        <v>-0.43220244516654849</v>
      </c>
      <c r="J1057">
        <f ca="1"/>
        <v>1.3664721918955038</v>
      </c>
      <c r="K1057">
        <f ca="1"/>
        <v>0</v>
      </c>
      <c r="L1057">
        <f ca="1"/>
        <v>0</v>
      </c>
    </row>
    <row r="1058" spans="2:12">
      <c r="B1058">
        <v>0.20960000000000001</v>
      </c>
      <c r="C1058">
        <f ca="1"/>
        <v>4.5323031488725851E-2</v>
      </c>
      <c r="D1058">
        <f ca="1"/>
        <v>1</v>
      </c>
      <c r="E1058">
        <f ca="1"/>
        <v>100.48844967484622</v>
      </c>
      <c r="F1058">
        <f ca="1"/>
        <v>1.1666645076851196</v>
      </c>
      <c r="G1058">
        <f ca="1"/>
        <v>-1.1609936380351515E-2</v>
      </c>
      <c r="H1058">
        <f ca="1"/>
        <v>46.016518388381165</v>
      </c>
      <c r="I1058">
        <f ca="1"/>
        <v>-0.4438123815469</v>
      </c>
      <c r="J1058">
        <f ca="1"/>
        <v>1.4185002202318557</v>
      </c>
      <c r="K1058">
        <f ca="1"/>
        <v>0</v>
      </c>
      <c r="L1058">
        <f ca="1"/>
        <v>0</v>
      </c>
    </row>
    <row r="1059" spans="2:12">
      <c r="B1059">
        <v>0.20980000000000001</v>
      </c>
      <c r="C1059">
        <f ca="1"/>
        <v>2.6606179598003297E-2</v>
      </c>
      <c r="D1059">
        <f ca="1"/>
        <v>1</v>
      </c>
      <c r="E1059">
        <f ca="1"/>
        <v>100.11258692350589</v>
      </c>
      <c r="F1059">
        <f ca="1"/>
        <v>3.7043258467448492</v>
      </c>
      <c r="G1059">
        <f ca="1"/>
        <v>-3.7001599504917937E-2</v>
      </c>
      <c r="H1059">
        <f ca="1"/>
        <v>49.720844235126016</v>
      </c>
      <c r="I1059">
        <f ca="1"/>
        <v>-0.48081398105181794</v>
      </c>
      <c r="J1059">
        <f ca="1"/>
        <v>1.5853127630389778</v>
      </c>
      <c r="K1059">
        <f ca="1"/>
        <v>0</v>
      </c>
      <c r="L1059">
        <f ca="1"/>
        <v>0</v>
      </c>
    </row>
    <row r="1060" spans="2:12">
      <c r="B1060">
        <v>0.21000000000000002</v>
      </c>
      <c r="C1060">
        <f ca="1"/>
        <v>2.6344061662936367E-2</v>
      </c>
      <c r="D1060">
        <f ca="1"/>
        <v>1</v>
      </c>
      <c r="E1060">
        <f ca="1"/>
        <v>100.10693837160376</v>
      </c>
      <c r="F1060">
        <f ca="1"/>
        <v>5.5468364615192792E-2</v>
      </c>
      <c r="G1060">
        <f ca="1"/>
        <v>-5.5409111014154133E-4</v>
      </c>
      <c r="H1060">
        <f ca="1"/>
        <v>49.77631259974121</v>
      </c>
      <c r="I1060">
        <f ca="1"/>
        <v>-0.48136807216195948</v>
      </c>
      <c r="J1060">
        <f ca="1"/>
        <v>1.5880286657662239</v>
      </c>
      <c r="K1060">
        <f ca="1"/>
        <v>0</v>
      </c>
      <c r="L1060">
        <f ca="1"/>
        <v>0</v>
      </c>
    </row>
    <row r="1061" spans="2:12">
      <c r="B1061">
        <v>0.2102</v>
      </c>
      <c r="C1061">
        <f ca="1"/>
        <v>5.6793142982536113E-2</v>
      </c>
      <c r="D1061">
        <f ca="1"/>
        <v>1</v>
      </c>
      <c r="E1061">
        <f ca="1"/>
        <v>100.71802841003876</v>
      </c>
      <c r="F1061">
        <f ca="1"/>
        <v>-6.0773408148260151</v>
      </c>
      <c r="G1061">
        <f ca="1"/>
        <v>6.0340148737664079E-2</v>
      </c>
      <c r="H1061">
        <f ca="1"/>
        <v>43.698971784915194</v>
      </c>
      <c r="I1061">
        <f ca="1"/>
        <v>-0.4210279234242954</v>
      </c>
      <c r="J1061">
        <f ca="1"/>
        <v>1.2938694320473871</v>
      </c>
      <c r="K1061">
        <f ca="1"/>
        <v>0</v>
      </c>
      <c r="L1061">
        <f ca="1"/>
        <v>0</v>
      </c>
    </row>
    <row r="1062" spans="2:12">
      <c r="B1062">
        <v>0.2104</v>
      </c>
      <c r="C1062">
        <f ca="1"/>
        <v>3.0460435758987919E-2</v>
      </c>
      <c r="D1062">
        <f ca="1"/>
        <v>1</v>
      </c>
      <c r="E1062">
        <f ca="1"/>
        <v>100.18858631592045</v>
      </c>
      <c r="F1062">
        <f ca="1"/>
        <v>5.2266089245054008</v>
      </c>
      <c r="G1062">
        <f ca="1"/>
        <v>-5.2167708086273967E-2</v>
      </c>
      <c r="H1062">
        <f ca="1"/>
        <v>48.925580709420593</v>
      </c>
      <c r="I1062">
        <f ca="1"/>
        <v>-0.47319563151056937</v>
      </c>
      <c r="J1062">
        <f ca="1"/>
        <v>1.5167793375074297</v>
      </c>
      <c r="K1062">
        <f ca="1"/>
        <v>0</v>
      </c>
      <c r="L1062">
        <f ca="1"/>
        <v>0</v>
      </c>
    </row>
    <row r="1063" spans="2:12">
      <c r="B1063">
        <v>0.21060000000000001</v>
      </c>
      <c r="C1063">
        <f ca="1"/>
        <v>3.6860892901381705E-2</v>
      </c>
      <c r="D1063">
        <f ca="1"/>
        <v>1</v>
      </c>
      <c r="E1063">
        <f ca="1"/>
        <v>100.31651772087385</v>
      </c>
      <c r="F1063">
        <f ca="1"/>
        <v>-1.2846936465022039</v>
      </c>
      <c r="G1063">
        <f ca="1"/>
        <v>1.2806401933496192E-2</v>
      </c>
      <c r="H1063">
        <f ca="1"/>
        <v>47.640887062918388</v>
      </c>
      <c r="I1063">
        <f ca="1"/>
        <v>-0.46038922957707318</v>
      </c>
      <c r="J1063">
        <f ca="1"/>
        <v>1.4562427555504698</v>
      </c>
      <c r="K1063">
        <f ca="1"/>
        <v>0</v>
      </c>
      <c r="L1063">
        <f ca="1"/>
        <v>0</v>
      </c>
    </row>
    <row r="1064" spans="2:12">
      <c r="B1064">
        <v>0.21080000000000002</v>
      </c>
      <c r="C1064">
        <f ca="1"/>
        <v>4.9343991318514663E-3</v>
      </c>
      <c r="D1064">
        <f ca="1"/>
        <v>1</v>
      </c>
      <c r="E1064">
        <f ca="1"/>
        <v>99.677608782765603</v>
      </c>
      <c r="F1064">
        <f ca="1"/>
        <v>6.402218628837459</v>
      </c>
      <c r="G1064">
        <f ca="1"/>
        <v>-6.4229255767865201E-2</v>
      </c>
      <c r="H1064">
        <f ca="1"/>
        <v>54.043105691755848</v>
      </c>
      <c r="I1064">
        <f ca="1"/>
        <v>-0.52461848534493838</v>
      </c>
      <c r="J1064">
        <f ca="1"/>
        <v>1.7503895493360275</v>
      </c>
      <c r="K1064">
        <f ca="1"/>
        <v>0</v>
      </c>
      <c r="L1064">
        <f ca="1"/>
        <v>0.32239121723439723</v>
      </c>
    </row>
    <row r="1065" spans="2:12">
      <c r="B1065">
        <v>0.21100000000000002</v>
      </c>
      <c r="C1065">
        <f ca="1"/>
        <v>4.1116812962201099E-3</v>
      </c>
      <c r="D1065">
        <f ca="1"/>
        <v>1</v>
      </c>
      <c r="E1065">
        <f ca="1"/>
        <v>99.660810178706825</v>
      </c>
      <c r="F1065">
        <f ca="1"/>
        <v>0.17960692179531512</v>
      </c>
      <c r="G1065">
        <f ca="1"/>
        <v>-1.8021820359803709E-3</v>
      </c>
      <c r="H1065">
        <f ca="1"/>
        <v>54.22271261355116</v>
      </c>
      <c r="I1065">
        <f ca="1"/>
        <v>-0.52642066738091875</v>
      </c>
      <c r="J1065">
        <f ca="1"/>
        <v>1.7592024075532535</v>
      </c>
      <c r="K1065">
        <f ca="1"/>
        <v>0</v>
      </c>
      <c r="L1065">
        <f ca="1"/>
        <v>0.33918982129317499</v>
      </c>
    </row>
    <row r="1066" spans="2:12">
      <c r="B1066">
        <v>0.2112</v>
      </c>
      <c r="C1066">
        <f ca="1"/>
        <v>-6.8153431102460534E-3</v>
      </c>
      <c r="D1066">
        <f ca="1"/>
        <v>1</v>
      </c>
      <c r="E1066">
        <f ca="1"/>
        <v>99.442851001936191</v>
      </c>
      <c r="F1066">
        <f ca="1"/>
        <v>2.2054765600616228</v>
      </c>
      <c r="G1066">
        <f ca="1"/>
        <v>-2.2178331954890163E-2</v>
      </c>
      <c r="H1066">
        <f ca="1"/>
        <v>56.428189173612779</v>
      </c>
      <c r="I1066">
        <f ca="1"/>
        <v>-0.54859899933580891</v>
      </c>
      <c r="J1066">
        <f ca="1"/>
        <v>1.8739406228506397</v>
      </c>
      <c r="K1066">
        <f ca="1"/>
        <v>0</v>
      </c>
      <c r="L1066">
        <f ca="1"/>
        <v>0.55714899806380913</v>
      </c>
    </row>
    <row r="1067" spans="2:12">
      <c r="B1067">
        <v>0.2114</v>
      </c>
      <c r="C1067">
        <f ca="1"/>
        <v>1.1814782699603857E-2</v>
      </c>
      <c r="D1067">
        <f ca="1"/>
        <v>1</v>
      </c>
      <c r="E1067">
        <f ca="1"/>
        <v>99.813669465275495</v>
      </c>
      <c r="F1067">
        <f ca="1"/>
        <v>-3.7433084262454357</v>
      </c>
      <c r="G1067">
        <f ca="1"/>
        <v>3.7502963735319916E-2</v>
      </c>
      <c r="H1067">
        <f ca="1"/>
        <v>52.684880747367345</v>
      </c>
      <c r="I1067">
        <f ca="1"/>
        <v>-0.511096035600489</v>
      </c>
      <c r="J1067">
        <f ca="1"/>
        <v>1.6705099849274561</v>
      </c>
      <c r="K1067">
        <f ca="1"/>
        <v>0</v>
      </c>
      <c r="L1067">
        <f ca="1"/>
        <v>0.18633053472450456</v>
      </c>
    </row>
    <row r="1068" spans="2:12">
      <c r="B1068">
        <v>0.21160000000000001</v>
      </c>
      <c r="C1068">
        <f ca="1"/>
        <v>4.0316907936813973E-2</v>
      </c>
      <c r="D1068">
        <f ca="1"/>
        <v>1</v>
      </c>
      <c r="E1068">
        <f ca="1"/>
        <v>100.38387307125669</v>
      </c>
      <c r="F1068">
        <f ca="1"/>
        <v>-5.8028809005034896</v>
      </c>
      <c r="G1068">
        <f ca="1"/>
        <v>5.7806903867759329E-2</v>
      </c>
      <c r="H1068">
        <f ca="1"/>
        <v>46.881999846863856</v>
      </c>
      <c r="I1068">
        <f ca="1"/>
        <v>-0.45328913173272967</v>
      </c>
      <c r="J1068">
        <f ca="1"/>
        <v>1.3790811824253666</v>
      </c>
      <c r="K1068">
        <f ca="1"/>
        <v>0</v>
      </c>
      <c r="L1068">
        <f ca="1"/>
        <v>0</v>
      </c>
    </row>
    <row r="1069" spans="2:12">
      <c r="B1069">
        <v>0.21180000000000002</v>
      </c>
      <c r="C1069">
        <f ca="1"/>
        <v>4.4268548827774666E-2</v>
      </c>
      <c r="D1069">
        <f ca="1"/>
        <v>1</v>
      </c>
      <c r="E1069">
        <f ca="1"/>
        <v>100.46283878170152</v>
      </c>
      <c r="F1069">
        <f ca="1"/>
        <v>-0.80781488857699202</v>
      </c>
      <c r="G1069">
        <f ca="1"/>
        <v>8.0409323325246196E-3</v>
      </c>
      <c r="H1069">
        <f ca="1"/>
        <v>46.074184958286864</v>
      </c>
      <c r="I1069">
        <f ca="1"/>
        <v>-0.44524819940020505</v>
      </c>
      <c r="J1069">
        <f ca="1"/>
        <v>1.3432868841011754</v>
      </c>
      <c r="K1069">
        <f ca="1"/>
        <v>0</v>
      </c>
      <c r="L1069">
        <f ca="1"/>
        <v>0</v>
      </c>
    </row>
    <row r="1070" spans="2:12">
      <c r="B1070">
        <v>0.21200000000000002</v>
      </c>
      <c r="C1070">
        <f ca="1"/>
        <v>3.2033516690678478E-2</v>
      </c>
      <c r="D1070">
        <f ca="1"/>
        <v>1</v>
      </c>
      <c r="E1070">
        <f ca="1"/>
        <v>100.21690523360343</v>
      </c>
      <c r="F1070">
        <f ca="1"/>
        <v>2.4885824656985562</v>
      </c>
      <c r="G1070">
        <f ca="1"/>
        <v>-2.4831962830000831E-2</v>
      </c>
      <c r="H1070">
        <f ca="1"/>
        <v>48.56276742398542</v>
      </c>
      <c r="I1070">
        <f ca="1"/>
        <v>-0.47008016223020588</v>
      </c>
      <c r="J1070">
        <f ca="1"/>
        <v>1.4527883535639532</v>
      </c>
      <c r="K1070">
        <f ca="1"/>
        <v>0</v>
      </c>
      <c r="L1070">
        <f ca="1"/>
        <v>0</v>
      </c>
    </row>
    <row r="1071" spans="2:12">
      <c r="B1071">
        <v>0.2122</v>
      </c>
      <c r="C1071">
        <f ca="1"/>
        <v>2.099996825869771E-2</v>
      </c>
      <c r="D1071">
        <f ca="1"/>
        <v>1</v>
      </c>
      <c r="E1071">
        <f ca="1"/>
        <v>99.99559946200047</v>
      </c>
      <c r="F1071">
        <f ca="1"/>
        <v>2.2614417738086319</v>
      </c>
      <c r="G1071">
        <f ca="1"/>
        <v>-2.2615412937926405E-2</v>
      </c>
      <c r="H1071">
        <f ca="1"/>
        <v>50.824209197794055</v>
      </c>
      <c r="I1071">
        <f ca="1"/>
        <v>-0.49269557516813228</v>
      </c>
      <c r="J1071">
        <f ca="1"/>
        <v>1.5568198065815508</v>
      </c>
      <c r="K1071">
        <f ca="1"/>
        <v>0</v>
      </c>
      <c r="L1071">
        <f ca="1"/>
        <v>4.4005379995297744E-3</v>
      </c>
    </row>
    <row r="1072" spans="2:12">
      <c r="B1072">
        <v>0.21240000000000001</v>
      </c>
      <c r="C1072">
        <f ca="1"/>
        <v>2.1133754809378975E-2</v>
      </c>
      <c r="D1072">
        <f ca="1"/>
        <v>1</v>
      </c>
      <c r="E1072">
        <f ca="1"/>
        <v>99.997875118763503</v>
      </c>
      <c r="F1072">
        <f ca="1"/>
        <v>-2.12316126434746E-2</v>
      </c>
      <c r="G1072">
        <f ca="1"/>
        <v>2.1232063799614398E-4</v>
      </c>
      <c r="H1072">
        <f ca="1"/>
        <v>50.802977585150579</v>
      </c>
      <c r="I1072">
        <f ca="1"/>
        <v>-0.49248325453013614</v>
      </c>
      <c r="J1072">
        <f ca="1"/>
        <v>1.555698600563808</v>
      </c>
      <c r="K1072">
        <f ca="1"/>
        <v>0</v>
      </c>
      <c r="L1072">
        <f ca="1"/>
        <v>2.1248812364973446E-3</v>
      </c>
    </row>
    <row r="1073" spans="2:12">
      <c r="B1073">
        <v>0.21260000000000001</v>
      </c>
      <c r="C1073">
        <f ca="1"/>
        <v>3.6677561540290927E-3</v>
      </c>
      <c r="D1073">
        <f ca="1"/>
        <v>1</v>
      </c>
      <c r="E1073">
        <f ca="1"/>
        <v>99.648773371862887</v>
      </c>
      <c r="F1073">
        <f ca="1"/>
        <v>3.5941185830111109</v>
      </c>
      <c r="G1073">
        <f ca="1"/>
        <v>-3.6067865778927455E-2</v>
      </c>
      <c r="H1073">
        <f ca="1"/>
        <v>54.397096168161688</v>
      </c>
      <c r="I1073">
        <f ca="1"/>
        <v>-0.52855112030906359</v>
      </c>
      <c r="J1073">
        <f ca="1"/>
        <v>1.7276253650395716</v>
      </c>
      <c r="K1073">
        <f ca="1"/>
        <v>0</v>
      </c>
      <c r="L1073">
        <f ca="1"/>
        <v>0.35122662813711258</v>
      </c>
    </row>
    <row r="1074" spans="2:12">
      <c r="B1074">
        <v>0.21280000000000002</v>
      </c>
      <c r="C1074">
        <f ca="1"/>
        <v>1.9697373721539327E-3</v>
      </c>
      <c r="D1074">
        <f ca="1"/>
        <v>1</v>
      </c>
      <c r="E1074">
        <f ca="1"/>
        <v>99.614539560783996</v>
      </c>
      <c r="F1074">
        <f ca="1"/>
        <v>0.36468875880350182</v>
      </c>
      <c r="G1074">
        <f ca="1"/>
        <v>-3.6609992919856005E-3</v>
      </c>
      <c r="H1074">
        <f ca="1"/>
        <v>54.761784926965191</v>
      </c>
      <c r="I1074">
        <f ca="1"/>
        <v>-0.53221211960104919</v>
      </c>
      <c r="J1074">
        <f ca="1"/>
        <v>1.7457196842377698</v>
      </c>
      <c r="K1074">
        <f ca="1"/>
        <v>0</v>
      </c>
      <c r="L1074">
        <f ca="1"/>
        <v>0.38546043921600415</v>
      </c>
    </row>
    <row r="1075" spans="2:12">
      <c r="B1075">
        <v>0.21300000000000002</v>
      </c>
      <c r="C1075">
        <f ca="1"/>
        <v>-2.0584858654701676E-2</v>
      </c>
      <c r="D1075">
        <f ca="1"/>
        <v>1</v>
      </c>
      <c r="E1075">
        <f ca="1"/>
        <v>99.165801732779997</v>
      </c>
      <c r="F1075">
        <f ca="1"/>
        <v>4.6078647717169572</v>
      </c>
      <c r="G1075">
        <f ca="1"/>
        <v>-4.6466268524038901E-2</v>
      </c>
      <c r="H1075">
        <f ca="1"/>
        <v>59.369649698682146</v>
      </c>
      <c r="I1075">
        <f ca="1"/>
        <v>-0.57867838812508809</v>
      </c>
      <c r="J1075">
        <f ca="1"/>
        <v>1.9845433948249465</v>
      </c>
      <c r="K1075">
        <f ca="1"/>
        <v>0</v>
      </c>
      <c r="L1075">
        <f ca="1"/>
        <v>0.83419826722000323</v>
      </c>
    </row>
    <row r="1076" spans="2:12">
      <c r="B1076">
        <v>0.2132</v>
      </c>
      <c r="C1076">
        <f ca="1"/>
        <v>-1.8372783723326781E-2</v>
      </c>
      <c r="D1076">
        <f ca="1"/>
        <v>1</v>
      </c>
      <c r="E1076">
        <f ca="1"/>
        <v>99.209287037993846</v>
      </c>
      <c r="F1076">
        <f ca="1"/>
        <v>-0.41893065262346657</v>
      </c>
      <c r="G1076">
        <f ca="1"/>
        <v>4.2226959303016676E-3</v>
      </c>
      <c r="H1076">
        <f ca="1"/>
        <v>58.95071904605868</v>
      </c>
      <c r="I1076">
        <f ca="1"/>
        <v>-0.57445569219478643</v>
      </c>
      <c r="J1076">
        <f ca="1"/>
        <v>1.9593793884966715</v>
      </c>
      <c r="K1076">
        <f ca="1"/>
        <v>0</v>
      </c>
      <c r="L1076">
        <f ca="1"/>
        <v>0.79071296200615393</v>
      </c>
    </row>
    <row r="1077" spans="2:12">
      <c r="B1077">
        <v>0.21340000000000001</v>
      </c>
      <c r="C1077">
        <f ca="1"/>
        <v>-1.1717494416448686E-2</v>
      </c>
      <c r="D1077">
        <f ca="1"/>
        <v>1</v>
      </c>
      <c r="E1077">
        <f ca="1"/>
        <v>99.341030898807844</v>
      </c>
      <c r="F1077">
        <f ca="1"/>
        <v>-1.3305099061313459</v>
      </c>
      <c r="G1077">
        <f ca="1"/>
        <v>1.3393357146521345E-2</v>
      </c>
      <c r="H1077">
        <f ca="1"/>
        <v>57.620209139927333</v>
      </c>
      <c r="I1077">
        <f ca="1"/>
        <v>-0.56106233504826508</v>
      </c>
      <c r="J1077">
        <f ca="1"/>
        <v>1.8836983777403518</v>
      </c>
      <c r="K1077">
        <f ca="1"/>
        <v>0</v>
      </c>
      <c r="L1077">
        <f ca="1"/>
        <v>0.6589691011921559</v>
      </c>
    </row>
    <row r="1078" spans="2:12">
      <c r="B1078">
        <v>0.21360000000000001</v>
      </c>
      <c r="C1078">
        <f ca="1"/>
        <v>-2.6097498481894608E-2</v>
      </c>
      <c r="D1078">
        <f ca="1"/>
        <v>1</v>
      </c>
      <c r="E1078">
        <f ca="1"/>
        <v>99.055340241178769</v>
      </c>
      <c r="F1078">
        <f ca="1"/>
        <v>2.9480893894088966</v>
      </c>
      <c r="G1078">
        <f ca="1"/>
        <v>-2.9762043946655714E-2</v>
      </c>
      <c r="H1078">
        <f ca="1"/>
        <v>60.568298529336232</v>
      </c>
      <c r="I1078">
        <f ca="1"/>
        <v>-0.5908243789949208</v>
      </c>
      <c r="J1078">
        <f ca="1"/>
        <v>2.0439886452112006</v>
      </c>
      <c r="K1078">
        <f ca="1"/>
        <v>0</v>
      </c>
      <c r="L1078">
        <f ca="1"/>
        <v>0.94465975882123132</v>
      </c>
    </row>
    <row r="1079" spans="2:12">
      <c r="B1079">
        <v>0.21380000000000002</v>
      </c>
      <c r="C1079">
        <f ca="1"/>
        <v>-2.305753528468699E-2</v>
      </c>
      <c r="D1079">
        <f ca="1"/>
        <v>1</v>
      </c>
      <c r="E1079">
        <f ca="1"/>
        <v>99.115187009266151</v>
      </c>
      <c r="F1079">
        <f ca="1"/>
        <v>-0.5838288640151178</v>
      </c>
      <c r="G1079">
        <f ca="1"/>
        <v>5.8904077329797744E-3</v>
      </c>
      <c r="H1079">
        <f ca="1"/>
        <v>59.984469665321114</v>
      </c>
      <c r="I1079">
        <f ca="1"/>
        <v>-0.58493397126194102</v>
      </c>
      <c r="J1079">
        <f ca="1"/>
        <v>2.0086297156211188</v>
      </c>
      <c r="K1079">
        <f ca="1"/>
        <v>0</v>
      </c>
      <c r="L1079">
        <f ca="1"/>
        <v>0.88481299073384889</v>
      </c>
    </row>
    <row r="1080" spans="2:12">
      <c r="B1080">
        <v>0.21400000000000002</v>
      </c>
      <c r="C1080">
        <f ca="1"/>
        <v>-1.647088081204964E-2</v>
      </c>
      <c r="D1080">
        <f ca="1"/>
        <v>1</v>
      </c>
      <c r="E1080">
        <f ca="1"/>
        <v>99.245443562737606</v>
      </c>
      <c r="F1080">
        <f ca="1"/>
        <v>-1.316546829424398</v>
      </c>
      <c r="G1080">
        <f ca="1"/>
        <v>1.3265564464852719E-2</v>
      </c>
      <c r="H1080">
        <f ca="1"/>
        <v>58.667922835896718</v>
      </c>
      <c r="I1080">
        <f ca="1"/>
        <v>-0.5716684067970883</v>
      </c>
      <c r="J1080">
        <f ca="1"/>
        <v>1.9324382325161693</v>
      </c>
      <c r="K1080">
        <f ca="1"/>
        <v>0</v>
      </c>
      <c r="L1080">
        <f ca="1"/>
        <v>0.7545564372623943</v>
      </c>
    </row>
    <row r="1081" spans="2:12">
      <c r="B1081">
        <v>0.2142</v>
      </c>
      <c r="C1081">
        <f ca="1"/>
        <v>-3.9022693937816773E-3</v>
      </c>
      <c r="D1081">
        <f ca="1"/>
        <v>1</v>
      </c>
      <c r="E1081">
        <f ca="1"/>
        <v>99.494834884573436</v>
      </c>
      <c r="F1081">
        <f ca="1"/>
        <v>-2.5795086420052047</v>
      </c>
      <c r="G1081">
        <f ca="1"/>
        <v>2.5926055809809223E-2</v>
      </c>
      <c r="H1081">
        <f ca="1"/>
        <v>56.088414193891516</v>
      </c>
      <c r="I1081">
        <f ca="1"/>
        <v>-0.54574235098727908</v>
      </c>
      <c r="J1081">
        <f ca="1"/>
        <v>1.7898690928932623</v>
      </c>
      <c r="K1081">
        <f ca="1"/>
        <v>0</v>
      </c>
      <c r="L1081">
        <f ca="1"/>
        <v>0.50516511542656417</v>
      </c>
    </row>
    <row r="1082" spans="2:12">
      <c r="B1082">
        <v>0.21440000000000001</v>
      </c>
      <c r="C1082">
        <f ca="1"/>
        <v>-2.0672354517088851E-2</v>
      </c>
      <c r="D1082">
        <f ca="1"/>
        <v>1</v>
      </c>
      <c r="E1082">
        <f ca="1"/>
        <v>99.161289873506803</v>
      </c>
      <c r="F1082">
        <f ca="1"/>
        <v>3.4913391585808844</v>
      </c>
      <c r="G1082">
        <f ca="1"/>
        <v>-3.52086904379173E-2</v>
      </c>
      <c r="H1082">
        <f ca="1"/>
        <v>59.579753352472402</v>
      </c>
      <c r="I1082">
        <f ca="1"/>
        <v>-0.58095104142519638</v>
      </c>
      <c r="J1082">
        <f ca="1"/>
        <v>1.971898731392848</v>
      </c>
      <c r="K1082">
        <f ca="1"/>
        <v>0</v>
      </c>
      <c r="L1082">
        <f ca="1"/>
        <v>0.83871012649319709</v>
      </c>
    </row>
    <row r="1083" spans="2:12">
      <c r="B1083">
        <v>0.21460000000000001</v>
      </c>
      <c r="C1083">
        <f ca="1"/>
        <v>-1.8971539590601352E-2</v>
      </c>
      <c r="D1083">
        <f ca="1"/>
        <v>1</v>
      </c>
      <c r="E1083">
        <f ca="1"/>
        <v>99.194629832252687</v>
      </c>
      <c r="F1083">
        <f ca="1"/>
        <v>-0.32002730402557233</v>
      </c>
      <c r="G1083">
        <f ca="1"/>
        <v>3.2262563464047211E-3</v>
      </c>
      <c r="H1083">
        <f ca="1"/>
        <v>59.259726048446829</v>
      </c>
      <c r="I1083">
        <f ca="1"/>
        <v>-0.57772478507879166</v>
      </c>
      <c r="J1083">
        <f ca="1"/>
        <v>1.9525298476383526</v>
      </c>
      <c r="K1083">
        <f ca="1"/>
        <v>0</v>
      </c>
      <c r="L1083">
        <f ca="1"/>
        <v>0.80537016774731285</v>
      </c>
    </row>
    <row r="1084" spans="2:12">
      <c r="B1084">
        <v>0.21480000000000002</v>
      </c>
      <c r="C1084">
        <f ca="1"/>
        <v>-3.1619915750385974E-2</v>
      </c>
      <c r="D1084">
        <f ca="1"/>
        <v>1</v>
      </c>
      <c r="E1084">
        <f ca="1"/>
        <v>98.943620977242517</v>
      </c>
      <c r="F1084">
        <f ca="1"/>
        <v>2.6206339222056072</v>
      </c>
      <c r="G1084">
        <f ca="1"/>
        <v>-2.6486133176876203E-2</v>
      </c>
      <c r="H1084">
        <f ca="1"/>
        <v>61.880359970652435</v>
      </c>
      <c r="I1084">
        <f ca="1"/>
        <v>-0.60421091825566786</v>
      </c>
      <c r="J1084">
        <f ca="1"/>
        <v>2.0975438844519729</v>
      </c>
      <c r="K1084">
        <f ca="1"/>
        <v>0</v>
      </c>
      <c r="L1084">
        <f ca="1"/>
        <v>1.0563790227574827</v>
      </c>
    </row>
    <row r="1085" spans="2:12">
      <c r="B1085">
        <v>0.215</v>
      </c>
      <c r="C1085">
        <f ca="1"/>
        <v>-1.8204584076410533E-2</v>
      </c>
      <c r="D1085">
        <f ca="1"/>
        <v>1</v>
      </c>
      <c r="E1085">
        <f ca="1"/>
        <v>99.209052897346879</v>
      </c>
      <c r="F1085">
        <f ca="1"/>
        <v>-2.7268746612824519</v>
      </c>
      <c r="G1085">
        <f ca="1"/>
        <v>2.7486147500107583E-2</v>
      </c>
      <c r="H1085">
        <f ca="1"/>
        <v>59.153485309369984</v>
      </c>
      <c r="I1085">
        <f ca="1"/>
        <v>-0.57672477075556028</v>
      </c>
      <c r="J1085">
        <f ca="1"/>
        <v>1.9371670202713531</v>
      </c>
      <c r="K1085">
        <f ca="1"/>
        <v>0</v>
      </c>
      <c r="L1085">
        <f ca="1"/>
        <v>0.79094710265312074</v>
      </c>
    </row>
    <row r="1086" spans="2:12">
      <c r="B1086">
        <v>0.2152</v>
      </c>
      <c r="C1086">
        <f ca="1"/>
        <v>-2.4654092311564568E-2</v>
      </c>
      <c r="D1086">
        <f ca="1"/>
        <v>1</v>
      </c>
      <c r="E1086">
        <f ca="1"/>
        <v>99.080769151575126</v>
      </c>
      <c r="F1086">
        <f ca="1"/>
        <v>1.366131326155074</v>
      </c>
      <c r="G1086">
        <f ca="1"/>
        <v>-1.3788057338000148E-2</v>
      </c>
      <c r="H1086">
        <f ca="1"/>
        <v>60.519616635525061</v>
      </c>
      <c r="I1086">
        <f ca="1"/>
        <v>-0.59051282809356043</v>
      </c>
      <c r="J1086">
        <f ca="1"/>
        <v>2.0111514341432368</v>
      </c>
      <c r="K1086">
        <f ca="1"/>
        <v>0</v>
      </c>
      <c r="L1086">
        <f ca="1"/>
        <v>0.91923084842487413</v>
      </c>
    </row>
    <row r="1087" spans="2:12">
      <c r="B1087">
        <v>0.21540000000000001</v>
      </c>
      <c r="C1087">
        <f ca="1"/>
        <v>-1.8188483581336401E-2</v>
      </c>
      <c r="D1087">
        <f ca="1"/>
        <v>1</v>
      </c>
      <c r="E1087">
        <f ca="1"/>
        <v>99.208578689030531</v>
      </c>
      <c r="F1087">
        <f ca="1"/>
        <v>-1.3112303757173689</v>
      </c>
      <c r="G1087">
        <f ca="1"/>
        <v>1.3216905161270609E-2</v>
      </c>
      <c r="H1087">
        <f ca="1"/>
        <v>59.208386259807689</v>
      </c>
      <c r="I1087">
        <f ca="1"/>
        <v>-0.57729592293228982</v>
      </c>
      <c r="J1087">
        <f ca="1"/>
        <v>1.9356782627231084</v>
      </c>
      <c r="K1087">
        <f ca="1"/>
        <v>0</v>
      </c>
      <c r="L1087">
        <f ca="1"/>
        <v>0.79142131096946855</v>
      </c>
    </row>
    <row r="1088" spans="2:12">
      <c r="B1088">
        <v>0.21560000000000001</v>
      </c>
      <c r="C1088">
        <f ca="1"/>
        <v>-2.4743375941055881E-2</v>
      </c>
      <c r="D1088">
        <f ca="1"/>
        <v>1</v>
      </c>
      <c r="E1088">
        <f ca="1"/>
        <v>99.078207280406332</v>
      </c>
      <c r="F1088">
        <f ca="1"/>
        <v>1.3957156046503481</v>
      </c>
      <c r="G1088">
        <f ca="1"/>
        <v>-1.408700907052407E-2</v>
      </c>
      <c r="H1088">
        <f ca="1"/>
        <v>60.604101864458038</v>
      </c>
      <c r="I1088">
        <f ca="1"/>
        <v>-0.59138293200281389</v>
      </c>
      <c r="J1088">
        <f ca="1"/>
        <v>2.0109411453887986</v>
      </c>
      <c r="K1088">
        <f ca="1"/>
        <v>0</v>
      </c>
      <c r="L1088">
        <f ca="1"/>
        <v>0.92179271959366815</v>
      </c>
    </row>
    <row r="1089" spans="2:12">
      <c r="B1089">
        <v>0.21580000000000002</v>
      </c>
      <c r="C1089">
        <f ca="1"/>
        <v>-2.414213614255558E-2</v>
      </c>
      <c r="D1089">
        <f ca="1"/>
        <v>1</v>
      </c>
      <c r="E1089">
        <f ca="1"/>
        <v>99.089725589330413</v>
      </c>
      <c r="F1089">
        <f ca="1"/>
        <v>-9.0862746590973945E-2</v>
      </c>
      <c r="G1089">
        <f ca="1"/>
        <v>9.1697444967753228E-4</v>
      </c>
      <c r="H1089">
        <f ca="1"/>
        <v>60.513239117867066</v>
      </c>
      <c r="I1089">
        <f ca="1"/>
        <v>-0.59046595755313636</v>
      </c>
      <c r="J1089">
        <f ca="1"/>
        <v>2.0041294140855612</v>
      </c>
      <c r="K1089">
        <f ca="1"/>
        <v>0</v>
      </c>
      <c r="L1089">
        <f ca="1"/>
        <v>0.91027441066958659</v>
      </c>
    </row>
    <row r="1090" spans="2:12">
      <c r="B1090">
        <v>0.216</v>
      </c>
      <c r="C1090">
        <f ca="1"/>
        <v>-2.4040229031243254E-2</v>
      </c>
      <c r="D1090">
        <f ca="1"/>
        <v>1</v>
      </c>
      <c r="E1090">
        <f ca="1"/>
        <v>99.091348833262643</v>
      </c>
      <c r="F1090">
        <f ca="1"/>
        <v>1.2941127622521155E-2</v>
      </c>
      <c r="G1090">
        <f ca="1"/>
        <v>-1.3059795607683888E-4</v>
      </c>
      <c r="H1090">
        <f ca="1"/>
        <v>60.526180245489584</v>
      </c>
      <c r="I1090">
        <f ca="1"/>
        <v>-0.59059655550921319</v>
      </c>
      <c r="J1090">
        <f ca="1"/>
        <v>2.0031709438027789</v>
      </c>
      <c r="K1090">
        <f ca="1"/>
        <v>0</v>
      </c>
      <c r="L1090">
        <f ca="1"/>
        <v>0.90865116673735713</v>
      </c>
    </row>
    <row r="1091" spans="2:12">
      <c r="B1091">
        <v>0.2162</v>
      </c>
      <c r="C1091">
        <f ca="1"/>
        <v>-2.4745631576334453E-2</v>
      </c>
      <c r="D1091">
        <f ca="1"/>
        <v>1</v>
      </c>
      <c r="E1091">
        <f ca="1"/>
        <v>99.076973652739071</v>
      </c>
      <c r="F1091">
        <f ca="1"/>
        <v>0.18206329883543435</v>
      </c>
      <c r="G1091">
        <f ca="1"/>
        <v>-1.8375944694632995E-3</v>
      </c>
      <c r="H1091">
        <f ca="1"/>
        <v>60.708243544325022</v>
      </c>
      <c r="I1091">
        <f ca="1"/>
        <v>-0.59243414997867649</v>
      </c>
      <c r="J1091">
        <f ca="1"/>
        <v>2.0116608759048233</v>
      </c>
      <c r="K1091">
        <f ca="1"/>
        <v>0</v>
      </c>
      <c r="L1091">
        <f ca="1"/>
        <v>0.92302634726092947</v>
      </c>
    </row>
    <row r="1092" spans="2:12">
      <c r="B1092">
        <v>0.21640000000000001</v>
      </c>
      <c r="C1092">
        <f ca="1"/>
        <v>-3.4829629085355127E-2</v>
      </c>
      <c r="D1092">
        <f ca="1"/>
        <v>1</v>
      </c>
      <c r="E1092">
        <f ca="1"/>
        <v>98.876961114425015</v>
      </c>
      <c r="F1092">
        <f ca="1"/>
        <v>2.1314948026747893</v>
      </c>
      <c r="G1092">
        <f ca="1"/>
        <v>-2.1557041990885262E-2</v>
      </c>
      <c r="H1092">
        <f ca="1"/>
        <v>62.839738346999809</v>
      </c>
      <c r="I1092">
        <f ca="1"/>
        <v>-0.61399119196956176</v>
      </c>
      <c r="J1092">
        <f ca="1"/>
        <v>2.1301551340259834</v>
      </c>
      <c r="K1092">
        <f ca="1"/>
        <v>0</v>
      </c>
      <c r="L1092">
        <f ca="1"/>
        <v>1.1230388855749851</v>
      </c>
    </row>
    <row r="1093" spans="2:12">
      <c r="B1093">
        <v>0.21660000000000001</v>
      </c>
      <c r="C1093">
        <f ca="1"/>
        <v>-2.269737151036072E-2</v>
      </c>
      <c r="D1093">
        <f ca="1"/>
        <v>1</v>
      </c>
      <c r="E1093">
        <f ca="1"/>
        <v>99.116776111501707</v>
      </c>
      <c r="F1093">
        <f ca="1"/>
        <v>-2.497723507488351</v>
      </c>
      <c r="G1093">
        <f ca="1"/>
        <v>2.5199805779382189E-2</v>
      </c>
      <c r="H1093">
        <f ca="1"/>
        <v>60.342014839511457</v>
      </c>
      <c r="I1093">
        <f ca="1"/>
        <v>-0.58879138619017957</v>
      </c>
      <c r="J1093">
        <f ca="1"/>
        <v>1.9829108381186913</v>
      </c>
      <c r="K1093">
        <f ca="1"/>
        <v>0</v>
      </c>
      <c r="L1093">
        <f ca="1"/>
        <v>0.88322388849829281</v>
      </c>
    </row>
    <row r="1094" spans="2:12">
      <c r="B1094">
        <v>0.21680000000000002</v>
      </c>
      <c r="C1094">
        <f ca="1"/>
        <v>-5.0184981260028176E-2</v>
      </c>
      <c r="D1094">
        <f ca="1"/>
        <v>1</v>
      </c>
      <c r="E1094">
        <f ca="1"/>
        <v>98.572980216221609</v>
      </c>
      <c r="F1094">
        <f ca="1"/>
        <v>5.6995476245264172</v>
      </c>
      <c r="G1094">
        <f ca="1"/>
        <v>-5.7820587467522611E-2</v>
      </c>
      <c r="H1094">
        <f ca="1"/>
        <v>66.041562464037867</v>
      </c>
      <c r="I1094">
        <f ca="1"/>
        <v>-0.64661197365770218</v>
      </c>
      <c r="J1094">
        <f ca="1"/>
        <v>2.3030931771051826</v>
      </c>
      <c r="K1094">
        <f ca="1"/>
        <v>0</v>
      </c>
      <c r="L1094">
        <f ca="1"/>
        <v>1.4270197837783911</v>
      </c>
    </row>
    <row r="1095" spans="2:12">
      <c r="B1095">
        <v>0.217</v>
      </c>
      <c r="C1095">
        <f ca="1"/>
        <v>-3.7555542393114538E-2</v>
      </c>
      <c r="D1095">
        <f ca="1"/>
        <v>1</v>
      </c>
      <c r="E1095">
        <f ca="1"/>
        <v>98.821883931515714</v>
      </c>
      <c r="F1095">
        <f ca="1"/>
        <v>-2.5341470315849017</v>
      </c>
      <c r="G1095">
        <f ca="1"/>
        <v>2.5643581469678156E-2</v>
      </c>
      <c r="H1095">
        <f ca="1"/>
        <v>63.507415432452966</v>
      </c>
      <c r="I1095">
        <f ca="1"/>
        <v>-0.62096839218802402</v>
      </c>
      <c r="J1095">
        <f ca="1"/>
        <v>2.1421490545081241</v>
      </c>
      <c r="K1095">
        <f ca="1"/>
        <v>0</v>
      </c>
      <c r="L1095">
        <f ca="1"/>
        <v>1.178116068484286</v>
      </c>
    </row>
    <row r="1096" spans="2:12">
      <c r="B1096">
        <v>0.2172</v>
      </c>
      <c r="C1096">
        <f ca="1"/>
        <v>-2.9681204481036255E-2</v>
      </c>
      <c r="D1096">
        <f ca="1"/>
        <v>1</v>
      </c>
      <c r="E1096">
        <f ca="1"/>
        <v>98.977242016959906</v>
      </c>
      <c r="F1096">
        <f ca="1"/>
        <v>-1.6035932423608337</v>
      </c>
      <c r="G1096">
        <f ca="1"/>
        <v>1.6201635948656312E-2</v>
      </c>
      <c r="H1096">
        <f ca="1"/>
        <v>61.903822190092129</v>
      </c>
      <c r="I1096">
        <f ca="1"/>
        <v>-0.60476675623936771</v>
      </c>
      <c r="J1096">
        <f ca="1"/>
        <v>2.045676593976431</v>
      </c>
      <c r="K1096">
        <f ca="1"/>
        <v>0</v>
      </c>
      <c r="L1096">
        <f ca="1"/>
        <v>1.0227579830400941</v>
      </c>
    </row>
    <row r="1097" spans="2:12">
      <c r="B1097">
        <v>0.21740000000000001</v>
      </c>
      <c r="C1097">
        <f ca="1"/>
        <v>-4.5847567103232664E-2</v>
      </c>
      <c r="D1097">
        <f ca="1"/>
        <v>1</v>
      </c>
      <c r="E1097">
        <f ca="1"/>
        <v>98.657343789081438</v>
      </c>
      <c r="F1097">
        <f ca="1"/>
        <v>3.3954743613085174</v>
      </c>
      <c r="G1097">
        <f ca="1"/>
        <v>-3.4416843499939231E-2</v>
      </c>
      <c r="H1097">
        <f ca="1"/>
        <v>65.299296551400644</v>
      </c>
      <c r="I1097">
        <f ca="1"/>
        <v>-0.63918359973930694</v>
      </c>
      <c r="J1097">
        <f ca="1"/>
        <v>2.2391404075772172</v>
      </c>
      <c r="K1097">
        <f ca="1"/>
        <v>0</v>
      </c>
      <c r="L1097">
        <f ca="1"/>
        <v>1.3426562109185625</v>
      </c>
    </row>
    <row r="1098" spans="2:12">
      <c r="B1098">
        <v>0.21760000000000002</v>
      </c>
      <c r="C1098">
        <f ca="1"/>
        <v>-5.6823302188580629E-2</v>
      </c>
      <c r="D1098">
        <f ca="1"/>
        <v>1</v>
      </c>
      <c r="E1098">
        <f ca="1"/>
        <v>98.440620176662634</v>
      </c>
      <c r="F1098">
        <f ca="1"/>
        <v>2.2693138987626615</v>
      </c>
      <c r="G1098">
        <f ca="1"/>
        <v>-2.3052616843434404E-2</v>
      </c>
      <c r="H1098">
        <f ca="1"/>
        <v>67.568610450163305</v>
      </c>
      <c r="I1098">
        <f ca="1"/>
        <v>-0.66223621658274134</v>
      </c>
      <c r="J1098">
        <f ca="1"/>
        <v>2.3776665863115767</v>
      </c>
      <c r="K1098">
        <f ca="1"/>
        <v>0</v>
      </c>
      <c r="L1098">
        <f ca="1"/>
        <v>1.5593798233373661</v>
      </c>
    </row>
    <row r="1099" spans="2:12">
      <c r="B1099">
        <v>0.21780000000000002</v>
      </c>
      <c r="C1099">
        <f ca="1"/>
        <v>-6.2691247819660595E-2</v>
      </c>
      <c r="D1099">
        <f ca="1"/>
        <v>1</v>
      </c>
      <c r="E1099">
        <f ca="1"/>
        <v>98.324765800579499</v>
      </c>
      <c r="F1099">
        <f ca="1"/>
        <v>1.2207788412872391</v>
      </c>
      <c r="G1099">
        <f ca="1"/>
        <v>-1.2415781836319861E-2</v>
      </c>
      <c r="H1099">
        <f ca="1"/>
        <v>68.789389291450547</v>
      </c>
      <c r="I1099">
        <f ca="1"/>
        <v>-0.67465199841906121</v>
      </c>
      <c r="J1099">
        <f ca="1"/>
        <v>2.4543895500034267</v>
      </c>
      <c r="K1099">
        <f ca="1"/>
        <v>0</v>
      </c>
      <c r="L1099">
        <f ca="1"/>
        <v>1.6752341994205011</v>
      </c>
    </row>
    <row r="1100" spans="2:12">
      <c r="B1100">
        <v>0.218</v>
      </c>
      <c r="C1100">
        <f ca="1"/>
        <v>-7.5057070992343822E-2</v>
      </c>
      <c r="D1100">
        <f ca="1"/>
        <v>1</v>
      </c>
      <c r="E1100">
        <f ca="1"/>
        <v>98.081500596416063</v>
      </c>
      <c r="F1100">
        <f ca="1"/>
        <v>2.4574643216917766</v>
      </c>
      <c r="G1100">
        <f ca="1"/>
        <v>-2.5055329565191964E-2</v>
      </c>
      <c r="H1100">
        <f ca="1"/>
        <v>71.246853613142321</v>
      </c>
      <c r="I1100">
        <f ca="1"/>
        <v>-0.69970732798425317</v>
      </c>
      <c r="J1100">
        <f ca="1"/>
        <v>2.6185089061381035</v>
      </c>
      <c r="K1100">
        <f ca="1"/>
        <v>0</v>
      </c>
      <c r="L1100">
        <f ca="1"/>
        <v>1.9184994035839367</v>
      </c>
    </row>
    <row r="1101" spans="2:12">
      <c r="B1101">
        <v>0.21820000000000001</v>
      </c>
      <c r="C1101">
        <f ca="1"/>
        <v>-8.5856071333525658E-2</v>
      </c>
      <c r="D1101">
        <f ca="1"/>
        <v>1</v>
      </c>
      <c r="E1101">
        <f ca="1"/>
        <v>97.869501283512278</v>
      </c>
      <c r="F1101">
        <f ca="1"/>
        <v>2.0894973033301047</v>
      </c>
      <c r="G1101">
        <f ca="1"/>
        <v>-2.1349830906741474E-2</v>
      </c>
      <c r="H1101">
        <f ca="1"/>
        <v>73.336350916472426</v>
      </c>
      <c r="I1101">
        <f ca="1"/>
        <v>-0.72105715889099464</v>
      </c>
      <c r="J1101">
        <f ca="1"/>
        <v>2.7668463789045035</v>
      </c>
      <c r="K1101">
        <f ca="1"/>
        <v>0</v>
      </c>
      <c r="L1101">
        <f ca="1"/>
        <v>2.1304987164877218</v>
      </c>
    </row>
    <row r="1102" spans="2:12">
      <c r="B1102">
        <v>0.21840000000000001</v>
      </c>
      <c r="C1102">
        <f ca="1"/>
        <v>-7.9273722447402287E-2</v>
      </c>
      <c r="D1102">
        <f ca="1"/>
        <v>1</v>
      </c>
      <c r="E1102">
        <f ca="1"/>
        <v>97.998036376820622</v>
      </c>
      <c r="F1102">
        <f ca="1"/>
        <v>-1.1625286082707702</v>
      </c>
      <c r="G1102">
        <f ca="1"/>
        <v>1.1862774513160979E-2</v>
      </c>
      <c r="H1102">
        <f ca="1"/>
        <v>72.17382230820165</v>
      </c>
      <c r="I1102">
        <f ca="1"/>
        <v>-0.70919438437783366</v>
      </c>
      <c r="J1102">
        <f ca="1"/>
        <v>2.6741652297058067</v>
      </c>
      <c r="K1102">
        <f ca="1"/>
        <v>0</v>
      </c>
      <c r="L1102">
        <f ca="1"/>
        <v>2.0019636231793783</v>
      </c>
    </row>
    <row r="1103" spans="2:12">
      <c r="B1103">
        <v>0.21860000000000002</v>
      </c>
      <c r="C1103">
        <f ca="1"/>
        <v>-7.2874155955900119E-2</v>
      </c>
      <c r="D1103">
        <f ca="1"/>
        <v>1</v>
      </c>
      <c r="E1103">
        <f ca="1"/>
        <v>98.123153176761875</v>
      </c>
      <c r="F1103">
        <f ca="1"/>
        <v>-1.1587225934635228</v>
      </c>
      <c r="G1103">
        <f ca="1"/>
        <v>1.1808860151244494E-2</v>
      </c>
      <c r="H1103">
        <f ca="1"/>
        <v>71.015099714738128</v>
      </c>
      <c r="I1103">
        <f ca="1"/>
        <v>-0.69738552422658917</v>
      </c>
      <c r="J1103">
        <f ca="1"/>
        <v>2.5854330977961411</v>
      </c>
      <c r="K1103">
        <f ca="1"/>
        <v>0</v>
      </c>
      <c r="L1103">
        <f ca="1"/>
        <v>1.8768468232381252</v>
      </c>
    </row>
    <row r="1104" spans="2:12">
      <c r="B1104">
        <v>0.21880000000000002</v>
      </c>
      <c r="C1104">
        <f ca="1"/>
        <v>-8.8796187109722841E-2</v>
      </c>
      <c r="D1104">
        <f ca="1"/>
        <v>1</v>
      </c>
      <c r="E1104">
        <f ca="1"/>
        <v>97.810794930897231</v>
      </c>
      <c r="F1104">
        <f ca="1"/>
        <v>3.0638985960385843</v>
      </c>
      <c r="G1104">
        <f ca="1"/>
        <v>-3.1324748952334058E-2</v>
      </c>
      <c r="H1104">
        <f ca="1"/>
        <v>74.078998310776711</v>
      </c>
      <c r="I1104">
        <f ca="1"/>
        <v>-0.72871027317892323</v>
      </c>
      <c r="J1104">
        <f ca="1"/>
        <v>2.8032672168349535</v>
      </c>
      <c r="K1104">
        <f ca="1"/>
        <v>0</v>
      </c>
      <c r="L1104">
        <f ca="1"/>
        <v>2.1892050691027691</v>
      </c>
    </row>
    <row r="1105" spans="2:12">
      <c r="B1105">
        <v>0.219</v>
      </c>
      <c r="C1105">
        <f ca="1"/>
        <v>-7.6827789747523453E-2</v>
      </c>
      <c r="D1105">
        <f ca="1"/>
        <v>1</v>
      </c>
      <c r="E1105">
        <f ca="1"/>
        <v>98.044810879917762</v>
      </c>
      <c r="F1105">
        <f ca="1"/>
        <v>-2.1795995412393023</v>
      </c>
      <c r="G1105">
        <f ca="1"/>
        <v>2.223064659596119E-2</v>
      </c>
      <c r="H1105">
        <f ca="1"/>
        <v>71.899398769537413</v>
      </c>
      <c r="I1105">
        <f ca="1"/>
        <v>-0.70647962658296204</v>
      </c>
      <c r="J1105">
        <f ca="1"/>
        <v>2.6327373906959792</v>
      </c>
      <c r="K1105">
        <f ca="1"/>
        <v>0</v>
      </c>
      <c r="L1105">
        <f ca="1"/>
        <v>1.9551891200822382</v>
      </c>
    </row>
    <row r="1106" spans="2:12">
      <c r="B1106">
        <v>0.21920000000000001</v>
      </c>
      <c r="C1106">
        <f ca="1"/>
        <v>-9.3778612083692384E-2</v>
      </c>
      <c r="D1106">
        <f ca="1"/>
        <v>1</v>
      </c>
      <c r="E1106">
        <f ca="1"/>
        <v>97.712594783604416</v>
      </c>
      <c r="F1106">
        <f ca="1"/>
        <v>3.2233146755960083</v>
      </c>
      <c r="G1106">
        <f ca="1"/>
        <v>-3.2987709340176696E-2</v>
      </c>
      <c r="H1106">
        <f ca="1"/>
        <v>75.122713445133428</v>
      </c>
      <c r="I1106">
        <f ca="1"/>
        <v>-0.73946733592313874</v>
      </c>
      <c r="J1106">
        <f ca="1"/>
        <v>2.8674412943642835</v>
      </c>
      <c r="K1106">
        <f ca="1"/>
        <v>0</v>
      </c>
      <c r="L1106">
        <f ca="1"/>
        <v>2.2874052163955838</v>
      </c>
    </row>
    <row r="1107" spans="2:12">
      <c r="B1107">
        <v>0.21940000000000001</v>
      </c>
      <c r="C1107">
        <f ca="1"/>
        <v>-9.1706382802011349E-2</v>
      </c>
      <c r="D1107">
        <f ca="1"/>
        <v>1</v>
      </c>
      <c r="E1107">
        <f ca="1"/>
        <v>97.752708744986663</v>
      </c>
      <c r="F1107">
        <f ca="1"/>
        <v>-0.30321708050198926</v>
      </c>
      <c r="G1107">
        <f ca="1"/>
        <v>3.1018790619194991E-3</v>
      </c>
      <c r="H1107">
        <f ca="1"/>
        <v>74.819496364631433</v>
      </c>
      <c r="I1107">
        <f ca="1"/>
        <v>-0.73636545686121924</v>
      </c>
      <c r="J1107">
        <f ca="1"/>
        <v>2.8377783302076267</v>
      </c>
      <c r="K1107">
        <f ca="1"/>
        <v>0</v>
      </c>
      <c r="L1107">
        <f ca="1"/>
        <v>2.2472912550133373</v>
      </c>
    </row>
    <row r="1108" spans="2:12">
      <c r="B1108">
        <v>0.21960000000000002</v>
      </c>
      <c r="C1108">
        <f ca="1"/>
        <v>-9.2915677705464397E-2</v>
      </c>
      <c r="D1108">
        <f ca="1"/>
        <v>1</v>
      </c>
      <c r="E1108">
        <f ca="1"/>
        <v>97.728678317824077</v>
      </c>
      <c r="F1108">
        <f ca="1"/>
        <v>0.29417722349437919</v>
      </c>
      <c r="G1108">
        <f ca="1"/>
        <v>-3.0101422484982709E-3</v>
      </c>
      <c r="H1108">
        <f ca="1"/>
        <v>75.113673588125806</v>
      </c>
      <c r="I1108">
        <f ca="1"/>
        <v>-0.73937559910971751</v>
      </c>
      <c r="J1108">
        <f ca="1"/>
        <v>2.8554735066837651</v>
      </c>
      <c r="K1108">
        <f ca="1"/>
        <v>0</v>
      </c>
      <c r="L1108">
        <f ca="1"/>
        <v>2.2713216821759232</v>
      </c>
    </row>
    <row r="1109" spans="2:12">
      <c r="B1109">
        <v>0.21980000000000002</v>
      </c>
      <c r="C1109">
        <f ca="1"/>
        <v>-9.7895451591663435E-2</v>
      </c>
      <c r="D1109">
        <f ca="1"/>
        <v>1</v>
      </c>
      <c r="E1109">
        <f ca="1"/>
        <v>97.631002902704708</v>
      </c>
      <c r="F1109">
        <f ca="1"/>
        <v>0.97324738699162949</v>
      </c>
      <c r="G1109">
        <f ca="1"/>
        <v>-9.9686304355751654E-3</v>
      </c>
      <c r="H1109">
        <f ca="1"/>
        <v>76.086920975117437</v>
      </c>
      <c r="I1109">
        <f ca="1"/>
        <v>-0.74934422954529267</v>
      </c>
      <c r="J1109">
        <f ca="1"/>
        <v>2.927692325255947</v>
      </c>
      <c r="K1109">
        <f ca="1"/>
        <v>0</v>
      </c>
      <c r="L1109">
        <f ca="1"/>
        <v>2.3689970972952921</v>
      </c>
    </row>
    <row r="1110" spans="2:12">
      <c r="B1110">
        <v>0.22</v>
      </c>
      <c r="C1110">
        <f ca="1"/>
        <v>-8.4714748963921588E-2</v>
      </c>
      <c r="D1110">
        <f ca="1"/>
        <v>1</v>
      </c>
      <c r="E1110">
        <f ca="1"/>
        <v>97.888319920709165</v>
      </c>
      <c r="F1110">
        <f ca="1"/>
        <v>-2.3491467691392245</v>
      </c>
      <c r="G1110">
        <f ca="1"/>
        <v>2.3998233609914488E-2</v>
      </c>
      <c r="H1110">
        <f ca="1"/>
        <v>73.737774205978212</v>
      </c>
      <c r="I1110">
        <f ca="1"/>
        <v>-0.72534599593537818</v>
      </c>
      <c r="J1110">
        <f ca="1"/>
        <v>2.7348733026504988</v>
      </c>
      <c r="K1110">
        <f ca="1"/>
        <v>0</v>
      </c>
      <c r="L1110">
        <f ca="1"/>
        <v>2.111680079290835</v>
      </c>
    </row>
    <row r="1111" spans="2:12">
      <c r="B1111">
        <v>0.22020000000000001</v>
      </c>
      <c r="C1111">
        <f ca="1"/>
        <v>-9.2291796265170672E-2</v>
      </c>
      <c r="D1111">
        <f ca="1"/>
        <v>1</v>
      </c>
      <c r="E1111">
        <f ca="1"/>
        <v>97.739700416905677</v>
      </c>
      <c r="F1111">
        <f ca="1"/>
        <v>1.4824189980807776</v>
      </c>
      <c r="G1111">
        <f ca="1"/>
        <v>-1.5167009841012047E-2</v>
      </c>
      <c r="H1111">
        <f ca="1"/>
        <v>75.220193204058987</v>
      </c>
      <c r="I1111">
        <f ca="1"/>
        <v>-0.74051300577639023</v>
      </c>
      <c r="J1111">
        <f ca="1"/>
        <v>2.8426738646522693</v>
      </c>
      <c r="K1111">
        <f ca="1"/>
        <v>0</v>
      </c>
      <c r="L1111">
        <f ca="1"/>
        <v>2.2602995830943229</v>
      </c>
    </row>
    <row r="1112" spans="2:12">
      <c r="B1112">
        <v>0.22040000000000001</v>
      </c>
      <c r="C1112">
        <f ca="1"/>
        <v>-8.5014710257635739E-2</v>
      </c>
      <c r="D1112">
        <f ca="1"/>
        <v>1</v>
      </c>
      <c r="E1112">
        <f ca="1"/>
        <v>97.881664498994354</v>
      </c>
      <c r="F1112">
        <f ca="1"/>
        <v>-1.2812522776197168</v>
      </c>
      <c r="G1112">
        <f ca="1"/>
        <v>1.3089808843952389E-2</v>
      </c>
      <c r="H1112">
        <f ca="1"/>
        <v>73.938940926439273</v>
      </c>
      <c r="I1112">
        <f ca="1"/>
        <v>-0.72742319693243784</v>
      </c>
      <c r="J1112">
        <f ca="1"/>
        <v>2.7375476155124971</v>
      </c>
      <c r="K1112">
        <f ca="1"/>
        <v>0</v>
      </c>
      <c r="L1112">
        <f ca="1"/>
        <v>2.1183355010056459</v>
      </c>
    </row>
    <row r="1113" spans="2:12">
      <c r="B1113">
        <v>0.22060000000000002</v>
      </c>
      <c r="C1113">
        <f ca="1"/>
        <v>-9.9411968578759433E-2</v>
      </c>
      <c r="D1113">
        <f ca="1"/>
        <v>1</v>
      </c>
      <c r="E1113">
        <f ca="1"/>
        <v>97.599833968222583</v>
      </c>
      <c r="F1113">
        <f ca="1"/>
        <v>2.721661598079852</v>
      </c>
      <c r="G1113">
        <f ca="1"/>
        <v>-2.7885924467514922E-2</v>
      </c>
      <c r="H1113">
        <f ca="1"/>
        <v>76.66060252451912</v>
      </c>
      <c r="I1113">
        <f ca="1"/>
        <v>-0.75530912139995277</v>
      </c>
      <c r="J1113">
        <f ca="1"/>
        <v>2.9425576811996592</v>
      </c>
      <c r="K1113">
        <f ca="1"/>
        <v>0</v>
      </c>
      <c r="L1113">
        <f ca="1"/>
        <v>2.4001660317774167</v>
      </c>
    </row>
    <row r="1114" spans="2:12">
      <c r="B1114">
        <v>0.22080000000000002</v>
      </c>
      <c r="C1114">
        <f ca="1"/>
        <v>-0.1029032836784519</v>
      </c>
      <c r="D1114">
        <f ca="1"/>
        <v>1</v>
      </c>
      <c r="E1114">
        <f ca="1"/>
        <v>97.531317275260307</v>
      </c>
      <c r="F1114">
        <f ca="1"/>
        <v>0.69994599728930762</v>
      </c>
      <c r="G1114">
        <f ca="1"/>
        <v>-7.1766281523079067E-3</v>
      </c>
      <c r="H1114">
        <f ca="1"/>
        <v>77.360548521808425</v>
      </c>
      <c r="I1114">
        <f ca="1"/>
        <v>-0.76248574955226067</v>
      </c>
      <c r="J1114">
        <f ca="1"/>
        <v>2.9943089643622187</v>
      </c>
      <c r="K1114">
        <f ca="1"/>
        <v>0</v>
      </c>
      <c r="L1114">
        <f ca="1"/>
        <v>2.4686827247396934</v>
      </c>
    </row>
    <row r="1115" spans="2:12">
      <c r="B1115">
        <v>0.221</v>
      </c>
      <c r="C1115">
        <f ca="1"/>
        <v>-9.7506639255581784E-2</v>
      </c>
      <c r="D1115">
        <f ca="1"/>
        <v>1</v>
      </c>
      <c r="E1115">
        <f ca="1"/>
        <v>97.636251927396557</v>
      </c>
      <c r="F1115">
        <f ca="1"/>
        <v>-0.88411428224793587</v>
      </c>
      <c r="G1115">
        <f ca="1"/>
        <v>9.0551845733014558E-3</v>
      </c>
      <c r="H1115">
        <f ca="1"/>
        <v>76.47643423956049</v>
      </c>
      <c r="I1115">
        <f ca="1"/>
        <v>-0.75343056497895922</v>
      </c>
      <c r="J1115">
        <f ca="1"/>
        <v>2.9142977874741121</v>
      </c>
      <c r="K1115">
        <f ca="1"/>
        <v>0</v>
      </c>
      <c r="L1115">
        <f ca="1"/>
        <v>2.3637480726034426</v>
      </c>
    </row>
    <row r="1116" spans="2:12">
      <c r="B1116">
        <v>0.22120000000000001</v>
      </c>
      <c r="C1116">
        <f ca="1"/>
        <v>-0.10099915241187317</v>
      </c>
      <c r="D1116">
        <f ca="1"/>
        <v>1</v>
      </c>
      <c r="E1116">
        <f ca="1"/>
        <v>97.567686290101491</v>
      </c>
      <c r="F1116">
        <f ca="1"/>
        <v>0.70804823461508548</v>
      </c>
      <c r="G1116">
        <f ca="1"/>
        <v>-7.2569952362078194E-3</v>
      </c>
      <c r="H1116">
        <f ca="1"/>
        <v>77.184482474175582</v>
      </c>
      <c r="I1116">
        <f ca="1"/>
        <v>-0.76068756021516704</v>
      </c>
      <c r="J1116">
        <f ca="1"/>
        <v>2.9659572343194753</v>
      </c>
      <c r="K1116">
        <f ca="1"/>
        <v>0</v>
      </c>
      <c r="L1116">
        <f ca="1"/>
        <v>2.4323137098985086</v>
      </c>
    </row>
    <row r="1117" spans="2:12">
      <c r="B1117">
        <v>0.22140000000000001</v>
      </c>
      <c r="C1117">
        <f ca="1"/>
        <v>-7.7530606842211303E-2</v>
      </c>
      <c r="D1117">
        <f ca="1"/>
        <v>1</v>
      </c>
      <c r="E1117">
        <f ca="1"/>
        <v>98.026324958108233</v>
      </c>
      <c r="F1117">
        <f ca="1"/>
        <v>-4.3322811939678649</v>
      </c>
      <c r="G1117">
        <f ca="1"/>
        <v>4.4195079187343556E-2</v>
      </c>
      <c r="H1117">
        <f ca="1"/>
        <v>72.852201280207723</v>
      </c>
      <c r="I1117">
        <f ca="1"/>
        <v>-0.71649248102782348</v>
      </c>
      <c r="J1117">
        <f ca="1"/>
        <v>2.6170765049330953</v>
      </c>
      <c r="K1117">
        <f ca="1"/>
        <v>0</v>
      </c>
      <c r="L1117">
        <f ca="1"/>
        <v>1.9736750418917666</v>
      </c>
    </row>
    <row r="1118" spans="2:12">
      <c r="B1118">
        <v>0.22160000000000002</v>
      </c>
      <c r="C1118">
        <f ca="1"/>
        <v>-8.0095332419310938E-2</v>
      </c>
      <c r="D1118">
        <f ca="1"/>
        <v>1</v>
      </c>
      <c r="E1118">
        <f ca="1"/>
        <v>97.975663823879714</v>
      </c>
      <c r="F1118">
        <f ca="1"/>
        <v>0.57667179883144193</v>
      </c>
      <c r="G1118">
        <f ca="1"/>
        <v>-5.8858677382177538E-3</v>
      </c>
      <c r="H1118">
        <f ca="1"/>
        <v>73.428873079039164</v>
      </c>
      <c r="I1118">
        <f ca="1"/>
        <v>-0.72237834876604123</v>
      </c>
      <c r="J1118">
        <f ca="1"/>
        <v>2.6533748266881787</v>
      </c>
      <c r="K1118">
        <f ca="1"/>
        <v>0</v>
      </c>
      <c r="L1118">
        <f ca="1"/>
        <v>2.0243361761202863</v>
      </c>
    </row>
    <row r="1119" spans="2:12">
      <c r="B1119">
        <v>0.2218</v>
      </c>
      <c r="C1119">
        <f ca="1"/>
        <v>-0.10752827002626315</v>
      </c>
      <c r="D1119">
        <f ca="1"/>
        <v>1</v>
      </c>
      <c r="E1119">
        <f ca="1"/>
        <v>97.439193981724472</v>
      </c>
      <c r="F1119">
        <f ca="1"/>
        <v>5.1330692383797345</v>
      </c>
      <c r="G1119">
        <f ca="1"/>
        <v>-5.2679717766779599E-2</v>
      </c>
      <c r="H1119">
        <f ca="1"/>
        <v>78.561942317418897</v>
      </c>
      <c r="I1119">
        <f ca="1"/>
        <v>-0.77505806653282083</v>
      </c>
      <c r="J1119">
        <f ca="1"/>
        <v>3.0409090254270552</v>
      </c>
      <c r="K1119">
        <f ca="1"/>
        <v>0</v>
      </c>
      <c r="L1119">
        <f ca="1"/>
        <v>2.5608060182755281</v>
      </c>
    </row>
    <row r="1120" spans="2:12">
      <c r="B1120">
        <v>0.222</v>
      </c>
      <c r="C1120">
        <f ca="1"/>
        <v>-0.13175196854700744</v>
      </c>
      <c r="D1120">
        <f ca="1"/>
        <v>1</v>
      </c>
      <c r="E1120">
        <f ca="1"/>
        <v>96.967880255306866</v>
      </c>
      <c r="F1120">
        <f ca="1"/>
        <v>4.0493903290168047</v>
      </c>
      <c r="G1120">
        <f ca="1"/>
        <v>-4.176012013828867E-2</v>
      </c>
      <c r="H1120">
        <f ca="1"/>
        <v>82.611332646435699</v>
      </c>
      <c r="I1120">
        <f ca="1"/>
        <v>-0.8168181866711095</v>
      </c>
      <c r="J1120">
        <f ca="1"/>
        <v>3.4062045309546676</v>
      </c>
      <c r="K1120">
        <f ca="1"/>
        <v>0</v>
      </c>
      <c r="L1120">
        <f ca="1"/>
        <v>3.0321197446931336</v>
      </c>
    </row>
    <row r="1121" spans="2:12">
      <c r="B1121">
        <v>0.22220000000000001</v>
      </c>
      <c r="C1121">
        <f ca="1"/>
        <v>-0.12890471844693777</v>
      </c>
      <c r="D1121">
        <f ca="1"/>
        <v>1</v>
      </c>
      <c r="E1121">
        <f ca="1"/>
        <v>97.02272625001099</v>
      </c>
      <c r="F1121">
        <f ca="1"/>
        <v>-0.35203024393345389</v>
      </c>
      <c r="G1121">
        <f ca="1"/>
        <v>3.6283276871269532E-3</v>
      </c>
      <c r="H1121">
        <f ca="1"/>
        <v>82.259302402502243</v>
      </c>
      <c r="I1121">
        <f ca="1"/>
        <v>-0.81318985898398255</v>
      </c>
      <c r="J1121">
        <f ca="1"/>
        <v>3.3614053250142604</v>
      </c>
      <c r="K1121">
        <f ca="1"/>
        <v>0</v>
      </c>
      <c r="L1121">
        <f ca="1"/>
        <v>2.9772737499890098</v>
      </c>
    </row>
    <row r="1122" spans="2:12">
      <c r="B1122">
        <v>0.22240000000000001</v>
      </c>
      <c r="C1122">
        <f ca="1"/>
        <v>-0.12865058179356867</v>
      </c>
      <c r="D1122">
        <f ca="1"/>
        <v>1</v>
      </c>
      <c r="E1122">
        <f ca="1"/>
        <v>97.027269671673295</v>
      </c>
      <c r="F1122">
        <f ca="1"/>
        <v>5.021492889621796E-2</v>
      </c>
      <c r="G1122">
        <f ca="1"/>
        <v>-5.1753418462807677E-4</v>
      </c>
      <c r="H1122">
        <f ca="1"/>
        <v>82.309517331398467</v>
      </c>
      <c r="I1122">
        <f ca="1"/>
        <v>-0.81370739316861063</v>
      </c>
      <c r="J1122">
        <f ca="1"/>
        <v>3.3577106605933977</v>
      </c>
      <c r="K1122">
        <f ca="1"/>
        <v>0</v>
      </c>
      <c r="L1122">
        <f ca="1"/>
        <v>2.9727303283267048</v>
      </c>
    </row>
    <row r="1123" spans="2:12">
      <c r="B1123">
        <v>0.22260000000000002</v>
      </c>
      <c r="C1123">
        <f ca="1"/>
        <v>-0.15141919014802055</v>
      </c>
      <c r="D1123">
        <f ca="1"/>
        <v>1</v>
      </c>
      <c r="E1123">
        <f ca="1"/>
        <v>96.586052618063647</v>
      </c>
      <c r="F1123">
        <f ca="1"/>
        <v>3.4207012709259113</v>
      </c>
      <c r="G1123">
        <f ca="1"/>
        <v>-3.5416099718378669E-2</v>
      </c>
      <c r="H1123">
        <f ca="1"/>
        <v>85.730218602324385</v>
      </c>
      <c r="I1123">
        <f ca="1"/>
        <v>-0.8491234928869893</v>
      </c>
      <c r="J1123">
        <f ca="1"/>
        <v>3.7167322391076425</v>
      </c>
      <c r="K1123">
        <f ca="1"/>
        <v>0</v>
      </c>
      <c r="L1123">
        <f ca="1"/>
        <v>3.4139473819363531</v>
      </c>
    </row>
    <row r="1124" spans="2:12">
      <c r="B1124">
        <v>0.2228</v>
      </c>
      <c r="C1124">
        <f ca="1"/>
        <v>-0.13618869738806688</v>
      </c>
      <c r="D1124">
        <f ca="1"/>
        <v>1</v>
      </c>
      <c r="E1124">
        <f ca="1"/>
        <v>96.880324283638046</v>
      </c>
      <c r="F1124">
        <f ca="1"/>
        <v>-2.0940705502113501</v>
      </c>
      <c r="G1124">
        <f ca="1"/>
        <v>2.1615024161980578E-2</v>
      </c>
      <c r="H1124">
        <f ca="1"/>
        <v>83.636148052113029</v>
      </c>
      <c r="I1124">
        <f ca="1"/>
        <v>-0.82750846872500872</v>
      </c>
      <c r="J1124">
        <f ca="1"/>
        <v>3.4668592545774288</v>
      </c>
      <c r="K1124">
        <f ca="1"/>
        <v>0</v>
      </c>
      <c r="L1124">
        <f ca="1"/>
        <v>3.1196757163619537</v>
      </c>
    </row>
    <row r="1125" spans="2:12">
      <c r="B1125">
        <v>0.223</v>
      </c>
      <c r="C1125">
        <f ca="1"/>
        <v>-0.12627831862678968</v>
      </c>
      <c r="D1125">
        <f ca="1"/>
        <v>1</v>
      </c>
      <c r="E1125">
        <f ca="1"/>
        <v>97.072150564884055</v>
      </c>
      <c r="F1125">
        <f ca="1"/>
        <v>-1.4401711756004445</v>
      </c>
      <c r="G1125">
        <f ca="1"/>
        <v>1.4836090137282154E-2</v>
      </c>
      <c r="H1125">
        <f ca="1"/>
        <v>82.195976876512589</v>
      </c>
      <c r="I1125">
        <f ca="1"/>
        <v>-0.81267237858772656</v>
      </c>
      <c r="J1125">
        <f ca="1"/>
        <v>3.3081213823223408</v>
      </c>
      <c r="K1125">
        <f ca="1"/>
        <v>0</v>
      </c>
      <c r="L1125">
        <f ca="1"/>
        <v>2.9278494351159452</v>
      </c>
    </row>
    <row r="1126" spans="2:12">
      <c r="B1126">
        <v>0.22320000000000001</v>
      </c>
      <c r="C1126">
        <f ca="1"/>
        <v>-0.15814124703561291</v>
      </c>
      <c r="D1126">
        <f ca="1"/>
        <v>1</v>
      </c>
      <c r="E1126">
        <f ca="1"/>
        <v>96.455131009235828</v>
      </c>
      <c r="F1126">
        <f ca="1"/>
        <v>4.6859724569384689</v>
      </c>
      <c r="G1126">
        <f ca="1"/>
        <v>-4.8581888883544977E-2</v>
      </c>
      <c r="H1126">
        <f ca="1"/>
        <v>86.881949333451061</v>
      </c>
      <c r="I1126">
        <f ca="1"/>
        <v>-0.86125426747127154</v>
      </c>
      <c r="J1126">
        <f ca="1"/>
        <v>3.8095561322461293</v>
      </c>
      <c r="K1126">
        <f ca="1"/>
        <v>0</v>
      </c>
      <c r="L1126">
        <f ca="1"/>
        <v>3.5448689907641722</v>
      </c>
    </row>
    <row r="1127" spans="2:12">
      <c r="B1127">
        <v>0.22340000000000002</v>
      </c>
      <c r="C1127">
        <f ca="1"/>
        <v>-0.17612169533359145</v>
      </c>
      <c r="D1127">
        <f ca="1"/>
        <v>1</v>
      </c>
      <c r="E1127">
        <f ca="1"/>
        <v>96.108508200440596</v>
      </c>
      <c r="F1127">
        <f ca="1"/>
        <v>2.2854939246213095</v>
      </c>
      <c r="G1127">
        <f ca="1"/>
        <v>-2.3780349600836193E-2</v>
      </c>
      <c r="H1127">
        <f ca="1"/>
        <v>89.167443258072367</v>
      </c>
      <c r="I1127">
        <f ca="1"/>
        <v>-0.88503461707210773</v>
      </c>
      <c r="J1127">
        <f ca="1"/>
        <v>4.1080865055239002</v>
      </c>
      <c r="K1127">
        <f ca="1"/>
        <v>0</v>
      </c>
      <c r="L1127">
        <f ca="1"/>
        <v>3.8914917995594038</v>
      </c>
    </row>
    <row r="1128" spans="2:12">
      <c r="B1128">
        <v>0.22360000000000002</v>
      </c>
      <c r="C1128">
        <f ca="1"/>
        <v>-0.18413801486219114</v>
      </c>
      <c r="D1128">
        <f ca="1"/>
        <v>1</v>
      </c>
      <c r="E1128">
        <f ca="1"/>
        <v>95.954160536119488</v>
      </c>
      <c r="F1128">
        <f ca="1"/>
        <v>0.97529331801979957</v>
      </c>
      <c r="G1128">
        <f ca="1"/>
        <v>-1.0164158725068262E-2</v>
      </c>
      <c r="H1128">
        <f ca="1"/>
        <v>90.142736576092162</v>
      </c>
      <c r="I1128">
        <f ca="1"/>
        <v>-0.89519877579717599</v>
      </c>
      <c r="J1128">
        <f ca="1"/>
        <v>4.244689531512293</v>
      </c>
      <c r="K1128">
        <f ca="1"/>
        <v>0</v>
      </c>
      <c r="L1128">
        <f ca="1"/>
        <v>4.0458394638805117</v>
      </c>
    </row>
    <row r="1129" spans="2:12">
      <c r="B1129">
        <v>0.2238</v>
      </c>
      <c r="C1129">
        <f ca="1"/>
        <v>-0.18840007786019666</v>
      </c>
      <c r="D1129">
        <f ca="1"/>
        <v>1</v>
      </c>
      <c r="E1129">
        <f ca="1"/>
        <v>95.872019362440739</v>
      </c>
      <c r="F1129">
        <f ca="1"/>
        <v>0.5352251491994019</v>
      </c>
      <c r="G1129">
        <f ca="1"/>
        <v>-5.5827044507741341E-3</v>
      </c>
      <c r="H1129">
        <f ca="1"/>
        <v>90.677961725291567</v>
      </c>
      <c r="I1129">
        <f ca="1"/>
        <v>-0.90078148024795013</v>
      </c>
      <c r="J1129">
        <f ca="1"/>
        <v>4.3182222096320686</v>
      </c>
      <c r="K1129">
        <f ca="1"/>
        <v>0</v>
      </c>
      <c r="L1129">
        <f ca="1"/>
        <v>4.1279806375592614</v>
      </c>
    </row>
    <row r="1130" spans="2:12">
      <c r="B1130">
        <v>0.224</v>
      </c>
      <c r="C1130">
        <f ca="1"/>
        <v>-0.18852895165784916</v>
      </c>
      <c r="D1130">
        <f ca="1"/>
        <v>1</v>
      </c>
      <c r="E1130">
        <f ca="1"/>
        <v>95.869164838615106</v>
      </c>
      <c r="F1130">
        <f ca="1"/>
        <v>9.9720662038220761E-2</v>
      </c>
      <c r="G1130">
        <f ca="1"/>
        <v>-1.0401745149870578E-3</v>
      </c>
      <c r="H1130">
        <f ca="1"/>
        <v>90.77768238732979</v>
      </c>
      <c r="I1130">
        <f ca="1"/>
        <v>-0.90182165476293719</v>
      </c>
      <c r="J1130">
        <f ca="1"/>
        <v>4.3207935118291232</v>
      </c>
      <c r="K1130">
        <f ca="1"/>
        <v>0</v>
      </c>
      <c r="L1130">
        <f ca="1"/>
        <v>4.1308351613848941</v>
      </c>
    </row>
    <row r="1131" spans="2:12">
      <c r="B1131">
        <v>0.22420000000000001</v>
      </c>
      <c r="C1131">
        <f ca="1"/>
        <v>-0.1787426139691673</v>
      </c>
      <c r="D1131">
        <f ca="1"/>
        <v>1</v>
      </c>
      <c r="E1131">
        <f ca="1"/>
        <v>96.056605967906179</v>
      </c>
      <c r="F1131">
        <f ca="1"/>
        <v>-0.95972300225897866</v>
      </c>
      <c r="G1131">
        <f ca="1"/>
        <v>9.9912233269998652E-3</v>
      </c>
      <c r="H1131">
        <f ca="1"/>
        <v>89.817959385070807</v>
      </c>
      <c r="I1131">
        <f ca="1"/>
        <v>-0.89183043143593732</v>
      </c>
      <c r="J1131">
        <f ca="1"/>
        <v>4.1517550424412093</v>
      </c>
      <c r="K1131">
        <f ca="1"/>
        <v>0</v>
      </c>
      <c r="L1131">
        <f ca="1"/>
        <v>3.9433940320938206</v>
      </c>
    </row>
    <row r="1132" spans="2:12">
      <c r="B1132">
        <v>0.22440000000000002</v>
      </c>
      <c r="C1132">
        <f ca="1"/>
        <v>-0.18792641655356893</v>
      </c>
      <c r="D1132">
        <f ca="1"/>
        <v>1</v>
      </c>
      <c r="E1132">
        <f ca="1"/>
        <v>95.879951399513601</v>
      </c>
      <c r="F1132">
        <f ca="1"/>
        <v>1.0701719990853027</v>
      </c>
      <c r="G1132">
        <f ca="1"/>
        <v>-1.1161582619353849E-2</v>
      </c>
      <c r="H1132">
        <f ca="1"/>
        <v>90.888131384156111</v>
      </c>
      <c r="I1132">
        <f ca="1"/>
        <v>-0.90299201405529117</v>
      </c>
      <c r="J1132">
        <f ca="1"/>
        <v>4.3093009623858904</v>
      </c>
      <c r="K1132">
        <f ca="1"/>
        <v>0</v>
      </c>
      <c r="L1132">
        <f ca="1"/>
        <v>4.120048600486399</v>
      </c>
    </row>
    <row r="1133" spans="2:12">
      <c r="B1133">
        <v>0.22460000000000002</v>
      </c>
      <c r="C1133">
        <f ca="1"/>
        <v>-0.18885206251719758</v>
      </c>
      <c r="D1133">
        <f ca="1"/>
        <v>1</v>
      </c>
      <c r="E1133">
        <f ca="1"/>
        <v>95.861819416404543</v>
      </c>
      <c r="F1133">
        <f ca="1"/>
        <v>0.1823311813526578</v>
      </c>
      <c r="G1133">
        <f ca="1"/>
        <v>-1.9020208719453535E-3</v>
      </c>
      <c r="H1133">
        <f ca="1"/>
        <v>91.070462565508763</v>
      </c>
      <c r="I1133">
        <f ca="1"/>
        <v>-0.90489403492723652</v>
      </c>
      <c r="J1133">
        <f ca="1"/>
        <v>4.3256739983323484</v>
      </c>
      <c r="K1133">
        <f ca="1"/>
        <v>0</v>
      </c>
      <c r="L1133">
        <f ca="1"/>
        <v>4.1381805835954566</v>
      </c>
    </row>
    <row r="1134" spans="2:12">
      <c r="B1134">
        <v>0.2248</v>
      </c>
      <c r="C1134">
        <f ca="1"/>
        <v>-0.1760994121585851</v>
      </c>
      <c r="D1134">
        <f ca="1"/>
        <v>1</v>
      </c>
      <c r="E1134">
        <f ca="1"/>
        <v>96.10624550938833</v>
      </c>
      <c r="F1134">
        <f ca="1"/>
        <v>-1.2780646778839035</v>
      </c>
      <c r="G1134">
        <f ca="1"/>
        <v>1.3298456006785253E-2</v>
      </c>
      <c r="H1134">
        <f ca="1"/>
        <v>89.792397887624858</v>
      </c>
      <c r="I1134">
        <f ca="1"/>
        <v>-0.89159557892045127</v>
      </c>
      <c r="J1134">
        <f ca="1"/>
        <v>4.1044942848107553</v>
      </c>
      <c r="K1134">
        <f ca="1"/>
        <v>0</v>
      </c>
      <c r="L1134">
        <f ca="1"/>
        <v>3.8937544906116699</v>
      </c>
    </row>
    <row r="1135" spans="2:12">
      <c r="B1135">
        <v>0.22500000000000001</v>
      </c>
      <c r="C1135">
        <f ca="1"/>
        <v>-0.16196799279477297</v>
      </c>
      <c r="D1135">
        <f ca="1"/>
        <v>1</v>
      </c>
      <c r="E1135">
        <f ca="1"/>
        <v>96.377867733376647</v>
      </c>
      <c r="F1135">
        <f ca="1"/>
        <v>-1.5891873351072792</v>
      </c>
      <c r="G1135">
        <f ca="1"/>
        <v>1.6489131503756305E-2</v>
      </c>
      <c r="H1135">
        <f ca="1"/>
        <v>88.203210552517575</v>
      </c>
      <c r="I1135">
        <f ca="1"/>
        <v>-0.87510644741669497</v>
      </c>
      <c r="J1135">
        <f ca="1"/>
        <v>3.8623171107662273</v>
      </c>
      <c r="K1135">
        <f ca="1"/>
        <v>0</v>
      </c>
      <c r="L1135">
        <f ca="1"/>
        <v>3.6221322666233533</v>
      </c>
    </row>
    <row r="1136" spans="2:12">
      <c r="B1136">
        <v>0.22520000000000001</v>
      </c>
      <c r="C1136">
        <f ca="1"/>
        <v>-0.13777508098560412</v>
      </c>
      <c r="D1136">
        <f ca="1"/>
        <v>1</v>
      </c>
      <c r="E1136">
        <f ca="1"/>
        <v>96.84494261904149</v>
      </c>
      <c r="F1136">
        <f ca="1"/>
        <v>-3.2198651466754344</v>
      </c>
      <c r="G1136">
        <f ca="1"/>
        <v>3.324763337762926E-2</v>
      </c>
      <c r="H1136">
        <f ca="1"/>
        <v>84.983345405842144</v>
      </c>
      <c r="I1136">
        <f ca="1"/>
        <v>-0.84185881403906571</v>
      </c>
      <c r="J1136">
        <f ca="1"/>
        <v>3.4535768668945082</v>
      </c>
      <c r="K1136">
        <f ca="1"/>
        <v>0</v>
      </c>
      <c r="L1136">
        <f ca="1"/>
        <v>3.1550573809585103</v>
      </c>
    </row>
    <row r="1137" spans="2:12">
      <c r="B1137">
        <v>0.22540000000000002</v>
      </c>
      <c r="C1137">
        <f ca="1"/>
        <v>-0.14327692950540022</v>
      </c>
      <c r="D1137">
        <f ca="1"/>
        <v>1</v>
      </c>
      <c r="E1137">
        <f ca="1"/>
        <v>96.73804903431386</v>
      </c>
      <c r="F1137">
        <f ca="1"/>
        <v>0.90211903604117938</v>
      </c>
      <c r="G1137">
        <f ca="1"/>
        <v>-9.3253796726993077E-3</v>
      </c>
      <c r="H1137">
        <f ca="1"/>
        <v>85.885464441883329</v>
      </c>
      <c r="I1137">
        <f ca="1"/>
        <v>-0.85118419371176501</v>
      </c>
      <c r="J1137">
        <f ca="1"/>
        <v>3.5435661733616968</v>
      </c>
      <c r="K1137">
        <f ca="1"/>
        <v>0</v>
      </c>
      <c r="L1137">
        <f ca="1"/>
        <v>3.2619509656861396</v>
      </c>
    </row>
    <row r="1138" spans="2:12">
      <c r="B1138">
        <v>0.22560000000000002</v>
      </c>
      <c r="C1138">
        <f ca="1"/>
        <v>-0.1219649930403265</v>
      </c>
      <c r="D1138">
        <f ca="1"/>
        <v>1</v>
      </c>
      <c r="E1138">
        <f ca="1"/>
        <v>97.150875476666158</v>
      </c>
      <c r="F1138">
        <f ca="1"/>
        <v>-3.1767725148230106</v>
      </c>
      <c r="G1138">
        <f ca="1"/>
        <v>3.2699370944794137E-2</v>
      </c>
      <c r="H1138">
        <f ca="1"/>
        <v>82.708691927060315</v>
      </c>
      <c r="I1138">
        <f ca="1"/>
        <v>-0.81848482276697088</v>
      </c>
      <c r="J1138">
        <f ca="1"/>
        <v>3.1921748308851505</v>
      </c>
      <c r="K1138">
        <f ca="1"/>
        <v>0</v>
      </c>
      <c r="L1138">
        <f ca="1"/>
        <v>2.8491245233338418</v>
      </c>
    </row>
    <row r="1139" spans="2:12">
      <c r="B1139">
        <v>0.2258</v>
      </c>
      <c r="C1139">
        <f ca="1"/>
        <v>-0.10869295652923287</v>
      </c>
      <c r="D1139">
        <f ca="1"/>
        <v>1</v>
      </c>
      <c r="E1139">
        <f ca="1"/>
        <v>97.408706393988282</v>
      </c>
      <c r="F1139">
        <f ca="1"/>
        <v>-2.1659459619101269</v>
      </c>
      <c r="G1139">
        <f ca="1"/>
        <v>2.2235650611656221E-2</v>
      </c>
      <c r="H1139">
        <f ca="1"/>
        <v>80.542745965150189</v>
      </c>
      <c r="I1139">
        <f ca="1"/>
        <v>-0.79624917215531466</v>
      </c>
      <c r="J1139">
        <f ca="1"/>
        <v>2.9811441382169193</v>
      </c>
      <c r="K1139">
        <f ca="1"/>
        <v>0</v>
      </c>
      <c r="L1139">
        <f ca="1"/>
        <v>2.5912936060117175</v>
      </c>
    </row>
    <row r="1140" spans="2:12">
      <c r="B1140">
        <v>0.22600000000000001</v>
      </c>
      <c r="C1140">
        <f ca="1"/>
        <v>-9.747337064906593E-2</v>
      </c>
      <c r="D1140">
        <f ca="1"/>
        <v>1</v>
      </c>
      <c r="E1140">
        <f ca="1"/>
        <v>97.627138371978091</v>
      </c>
      <c r="F1140">
        <f ca="1"/>
        <v>-1.9527875104835088</v>
      </c>
      <c r="G1140">
        <f ca="1"/>
        <v>2.0002506916089402E-2</v>
      </c>
      <c r="H1140">
        <f ca="1"/>
        <v>78.589958454666686</v>
      </c>
      <c r="I1140">
        <f ca="1"/>
        <v>-0.77624666523922525</v>
      </c>
      <c r="J1140">
        <f ca="1"/>
        <v>2.8072178565702899</v>
      </c>
      <c r="K1140">
        <f ca="1"/>
        <v>0</v>
      </c>
      <c r="L1140">
        <f ca="1"/>
        <v>2.3728616280219086</v>
      </c>
    </row>
    <row r="1141" spans="2:12">
      <c r="B1141">
        <v>0.22620000000000001</v>
      </c>
      <c r="C1141">
        <f ca="1"/>
        <v>-0.10078864895898551</v>
      </c>
      <c r="D1141">
        <f ca="1"/>
        <v>1</v>
      </c>
      <c r="E1141">
        <f ca="1"/>
        <v>97.56203735197974</v>
      </c>
      <c r="F1141">
        <f ca="1"/>
        <v>0.72035167893565688</v>
      </c>
      <c r="G1141">
        <f ca="1"/>
        <v>-7.3835243552449192E-3</v>
      </c>
      <c r="H1141">
        <f ca="1"/>
        <v>79.310310133602343</v>
      </c>
      <c r="I1141">
        <f ca="1"/>
        <v>-0.78363018959447017</v>
      </c>
      <c r="J1141">
        <f ca="1"/>
        <v>2.8577523062476757</v>
      </c>
      <c r="K1141">
        <f ca="1"/>
        <v>0</v>
      </c>
      <c r="L1141">
        <f ca="1"/>
        <v>2.4379626480202603</v>
      </c>
    </row>
    <row r="1142" spans="2:12">
      <c r="B1142">
        <v>0.22640000000000002</v>
      </c>
      <c r="C1142">
        <f ca="1"/>
        <v>-0.10108285190654305</v>
      </c>
      <c r="D1142">
        <f ca="1"/>
        <v>1</v>
      </c>
      <c r="E1142">
        <f ca="1"/>
        <v>97.555906688667861</v>
      </c>
      <c r="F1142">
        <f ca="1"/>
        <v>0.15680649606744801</v>
      </c>
      <c r="G1142">
        <f ca="1"/>
        <v>-1.6073500968820653E-3</v>
      </c>
      <c r="H1142">
        <f ca="1"/>
        <v>79.467116629669789</v>
      </c>
      <c r="I1142">
        <f ca="1"/>
        <v>-0.78523753969135224</v>
      </c>
      <c r="J1142">
        <f ca="1"/>
        <v>2.8625564791011016</v>
      </c>
      <c r="K1142">
        <f ca="1"/>
        <v>0</v>
      </c>
      <c r="L1142">
        <f ca="1"/>
        <v>2.4440933113321393</v>
      </c>
    </row>
    <row r="1143" spans="2:12">
      <c r="B1143">
        <v>0.22660000000000002</v>
      </c>
      <c r="C1143">
        <f ca="1"/>
        <v>-0.10662784257760348</v>
      </c>
      <c r="D1143">
        <f ca="1"/>
        <v>1</v>
      </c>
      <c r="E1143">
        <f ca="1"/>
        <v>97.447387548544711</v>
      </c>
      <c r="F1143">
        <f ca="1"/>
        <v>1.1167740252233529</v>
      </c>
      <c r="G1143">
        <f ca="1"/>
        <v>-1.146027670230787E-2</v>
      </c>
      <c r="H1143">
        <f ca="1"/>
        <v>80.583890654893139</v>
      </c>
      <c r="I1143">
        <f ca="1"/>
        <v>-0.79669781639366011</v>
      </c>
      <c r="J1143">
        <f ca="1"/>
        <v>2.9477697817008277</v>
      </c>
      <c r="K1143">
        <f ca="1"/>
        <v>0</v>
      </c>
      <c r="L1143">
        <f ca="1"/>
        <v>2.552612451455289</v>
      </c>
    </row>
    <row r="1144" spans="2:12">
      <c r="B1144">
        <v>0.2268</v>
      </c>
      <c r="C1144">
        <f ca="1"/>
        <v>-0.11049760249043931</v>
      </c>
      <c r="D1144">
        <f ca="1"/>
        <v>1</v>
      </c>
      <c r="E1144">
        <f ca="1"/>
        <v>97.371607640592046</v>
      </c>
      <c r="F1144">
        <f ca="1"/>
        <v>0.79510218316690084</v>
      </c>
      <c r="G1144">
        <f ca="1"/>
        <v>-8.1656470754976063E-3</v>
      </c>
      <c r="H1144">
        <f ca="1"/>
        <v>81.378992838060043</v>
      </c>
      <c r="I1144">
        <f ca="1"/>
        <v>-0.80486346346915771</v>
      </c>
      <c r="J1144">
        <f ca="1"/>
        <v>3.0081434688932234</v>
      </c>
      <c r="K1144">
        <f ca="1"/>
        <v>0</v>
      </c>
      <c r="L1144">
        <f ca="1"/>
        <v>2.6283923594079539</v>
      </c>
    </row>
    <row r="1145" spans="2:12">
      <c r="B1145">
        <v>0.22700000000000001</v>
      </c>
      <c r="C1145">
        <f ca="1"/>
        <v>-0.11312189384892768</v>
      </c>
      <c r="D1145">
        <f ca="1"/>
        <v>1</v>
      </c>
      <c r="E1145">
        <f ca="1"/>
        <v>97.320125475047291</v>
      </c>
      <c r="F1145">
        <f ca="1"/>
        <v>0.56639255970378533</v>
      </c>
      <c r="G1145">
        <f ca="1"/>
        <v>-5.8198913836070565E-3</v>
      </c>
      <c r="H1145">
        <f ca="1"/>
        <v>81.945385397763829</v>
      </c>
      <c r="I1145">
        <f ca="1"/>
        <v>-0.81068335485276477</v>
      </c>
      <c r="J1145">
        <f ca="1"/>
        <v>3.0495795829604759</v>
      </c>
      <c r="K1145">
        <f ca="1"/>
        <v>0</v>
      </c>
      <c r="L1145">
        <f ca="1"/>
        <v>2.6798745249527087</v>
      </c>
    </row>
    <row r="1146" spans="2:12">
      <c r="B1146">
        <v>0.22720000000000001</v>
      </c>
      <c r="C1146">
        <f ca="1"/>
        <v>-0.10008476977713379</v>
      </c>
      <c r="D1146">
        <f ca="1"/>
        <v>1</v>
      </c>
      <c r="E1146">
        <f ca="1"/>
        <v>97.573821200226647</v>
      </c>
      <c r="F1146">
        <f ca="1"/>
        <v>-2.2502558472989982</v>
      </c>
      <c r="G1146">
        <f ca="1"/>
        <v>2.3062085912176733E-2</v>
      </c>
      <c r="H1146">
        <f ca="1"/>
        <v>79.695129550464827</v>
      </c>
      <c r="I1146">
        <f ca="1"/>
        <v>-0.78762126894058804</v>
      </c>
      <c r="J1146">
        <f ca="1"/>
        <v>2.8439126813602655</v>
      </c>
      <c r="K1146">
        <f ca="1"/>
        <v>0</v>
      </c>
      <c r="L1146">
        <f ca="1"/>
        <v>2.4261787997733535</v>
      </c>
    </row>
    <row r="1147" spans="2:12">
      <c r="B1147">
        <v>0.22740000000000002</v>
      </c>
      <c r="C1147">
        <f ca="1"/>
        <v>-0.12266796516421122</v>
      </c>
      <c r="D1147">
        <f ca="1"/>
        <v>1</v>
      </c>
      <c r="E1147">
        <f ca="1"/>
        <v>97.133720688459334</v>
      </c>
      <c r="F1147">
        <f ca="1"/>
        <v>4.0682027747671432</v>
      </c>
      <c r="G1147">
        <f ca="1"/>
        <v>-4.1882497097122884E-2</v>
      </c>
      <c r="H1147">
        <f ca="1"/>
        <v>83.763332325231971</v>
      </c>
      <c r="I1147">
        <f ca="1"/>
        <v>-0.82950376603771092</v>
      </c>
      <c r="J1147">
        <f ca="1"/>
        <v>3.1905452048998342</v>
      </c>
      <c r="K1147">
        <f ca="1"/>
        <v>0</v>
      </c>
      <c r="L1147">
        <f ca="1"/>
        <v>2.8662793115406657</v>
      </c>
    </row>
    <row r="1148" spans="2:12">
      <c r="B1148">
        <v>0.22760000000000002</v>
      </c>
      <c r="C1148">
        <f ca="1"/>
        <v>-0.13536940831054856</v>
      </c>
      <c r="D1148">
        <f ca="1"/>
        <v>1</v>
      </c>
      <c r="E1148">
        <f ca="1"/>
        <v>96.886898593865865</v>
      </c>
      <c r="F1148">
        <f ca="1"/>
        <v>2.1017668313948725</v>
      </c>
      <c r="G1148">
        <f ca="1"/>
        <v>-2.1692993189978527E-2</v>
      </c>
      <c r="H1148">
        <f ca="1"/>
        <v>85.86509915662684</v>
      </c>
      <c r="I1148">
        <f ca="1"/>
        <v>-0.85119675922768945</v>
      </c>
      <c r="J1148">
        <f ca="1"/>
        <v>3.395285061906435</v>
      </c>
      <c r="K1148">
        <f ca="1"/>
        <v>0</v>
      </c>
      <c r="L1148">
        <f ca="1"/>
        <v>3.1131014061341347</v>
      </c>
    </row>
    <row r="1149" spans="2:12">
      <c r="B1149">
        <v>0.2278</v>
      </c>
      <c r="C1149">
        <f ca="1"/>
        <v>-0.14238975572805568</v>
      </c>
      <c r="D1149">
        <f ca="1"/>
        <v>1</v>
      </c>
      <c r="E1149">
        <f ca="1"/>
        <v>96.750571110413603</v>
      </c>
      <c r="F1149">
        <f ca="1"/>
        <v>1.1366605903114506</v>
      </c>
      <c r="G1149">
        <f ca="1"/>
        <v>-1.1748360524035273E-2</v>
      </c>
      <c r="H1149">
        <f ca="1"/>
        <v>87.001759746938291</v>
      </c>
      <c r="I1149">
        <f ca="1"/>
        <v>-0.86294511975172472</v>
      </c>
      <c r="J1149">
        <f ca="1"/>
        <v>3.5113265740146602</v>
      </c>
      <c r="K1149">
        <f ca="1"/>
        <v>0</v>
      </c>
      <c r="L1149">
        <f ca="1"/>
        <v>3.2494288895863974</v>
      </c>
    </row>
    <row r="1150" spans="2:12">
      <c r="B1150">
        <v>0.22800000000000001</v>
      </c>
      <c r="C1150">
        <f ca="1"/>
        <v>-0.15685465876743732</v>
      </c>
      <c r="D1150">
        <f ca="1"/>
        <v>1</v>
      </c>
      <c r="E1150">
        <f ca="1"/>
        <v>96.470692179763319</v>
      </c>
      <c r="F1150">
        <f ca="1"/>
        <v>2.0533253631449306</v>
      </c>
      <c r="G1150">
        <f ca="1"/>
        <v>-2.1284447294301234E-2</v>
      </c>
      <c r="H1150">
        <f ca="1"/>
        <v>89.055085110083226</v>
      </c>
      <c r="I1150">
        <f ca="1"/>
        <v>-0.88422956704602595</v>
      </c>
      <c r="J1150">
        <f ca="1"/>
        <v>3.7528467313406679</v>
      </c>
      <c r="K1150">
        <f ca="1"/>
        <v>0</v>
      </c>
      <c r="L1150">
        <f ca="1"/>
        <v>3.5293078202366814</v>
      </c>
    </row>
    <row r="1151" spans="2:12">
      <c r="B1151">
        <v>0.22820000000000001</v>
      </c>
      <c r="C1151">
        <f ca="1"/>
        <v>-0.16514811561585205</v>
      </c>
      <c r="D1151">
        <f ca="1"/>
        <v>1</v>
      </c>
      <c r="E1151">
        <f ca="1"/>
        <v>96.310424467242157</v>
      </c>
      <c r="F1151">
        <f ca="1"/>
        <v>1.1202506610136491</v>
      </c>
      <c r="G1151">
        <f ca="1"/>
        <v>-1.1631665701926974E-2</v>
      </c>
      <c r="H1151">
        <f ca="1"/>
        <v>90.175335771096869</v>
      </c>
      <c r="I1151">
        <f ca="1"/>
        <v>-0.89586123274795293</v>
      </c>
      <c r="J1151">
        <f ca="1"/>
        <v>3.8945601813946951</v>
      </c>
      <c r="K1151">
        <f ca="1"/>
        <v>0</v>
      </c>
      <c r="L1151">
        <f ca="1"/>
        <v>3.6895755327578428</v>
      </c>
    </row>
    <row r="1152" spans="2:12">
      <c r="B1152">
        <v>0.22840000000000002</v>
      </c>
      <c r="C1152">
        <f ca="1"/>
        <v>-0.13712221137221364</v>
      </c>
      <c r="D1152">
        <f ca="1"/>
        <v>1</v>
      </c>
      <c r="E1152">
        <f ca="1"/>
        <v>96.851390181380566</v>
      </c>
      <c r="F1152">
        <f ca="1"/>
        <v>-3.6162380582339173</v>
      </c>
      <c r="G1152">
        <f ca="1"/>
        <v>3.7338008793281419E-2</v>
      </c>
      <c r="H1152">
        <f ca="1"/>
        <v>86.55909771286295</v>
      </c>
      <c r="I1152">
        <f ca="1"/>
        <v>-0.85852322395467151</v>
      </c>
      <c r="J1152">
        <f ca="1"/>
        <v>3.4099299698522856</v>
      </c>
      <c r="K1152">
        <f ca="1"/>
        <v>0</v>
      </c>
      <c r="L1152">
        <f ca="1"/>
        <v>3.148609818619434</v>
      </c>
    </row>
    <row r="1153" spans="2:12">
      <c r="B1153">
        <v>0.2286</v>
      </c>
      <c r="C1153">
        <f ca="1"/>
        <v>-0.13091698892155895</v>
      </c>
      <c r="D1153">
        <f ca="1"/>
        <v>1</v>
      </c>
      <c r="E1153">
        <f ca="1"/>
        <v>96.971273795360062</v>
      </c>
      <c r="F1153">
        <f ca="1"/>
        <v>-0.82343935375548438</v>
      </c>
      <c r="G1153">
        <f ca="1"/>
        <v>8.4915802538925167E-3</v>
      </c>
      <c r="H1153">
        <f ca="1"/>
        <v>85.735658359107461</v>
      </c>
      <c r="I1153">
        <f ca="1"/>
        <v>-0.85003164370077899</v>
      </c>
      <c r="J1153">
        <f ca="1"/>
        <v>3.3070071030792718</v>
      </c>
      <c r="K1153">
        <f ca="1"/>
        <v>0</v>
      </c>
      <c r="L1153">
        <f ca="1"/>
        <v>3.0287262046399377</v>
      </c>
    </row>
    <row r="1154" spans="2:12">
      <c r="B1154">
        <v>0.2288</v>
      </c>
      <c r="C1154">
        <f ca="1"/>
        <v>-0.12623627494467646</v>
      </c>
      <c r="D1154">
        <f ca="1"/>
        <v>1</v>
      </c>
      <c r="E1154">
        <f ca="1"/>
        <v>97.061707011374239</v>
      </c>
      <c r="F1154">
        <f ca="1"/>
        <v>-0.6193725855506701</v>
      </c>
      <c r="G1154">
        <f ca="1"/>
        <v>6.3812249405225119E-3</v>
      </c>
      <c r="H1154">
        <f ca="1"/>
        <v>85.116285773556797</v>
      </c>
      <c r="I1154">
        <f ca="1"/>
        <v>-0.84365041876025648</v>
      </c>
      <c r="J1154">
        <f ca="1"/>
        <v>3.2301360078255925</v>
      </c>
      <c r="K1154">
        <f ca="1"/>
        <v>0</v>
      </c>
      <c r="L1154">
        <f ca="1"/>
        <v>2.9382929886257614</v>
      </c>
    </row>
    <row r="1155" spans="2:12">
      <c r="B1155">
        <v>0.22900000000000001</v>
      </c>
      <c r="C1155">
        <f ca="1"/>
        <v>-0.10803438177341644</v>
      </c>
      <c r="D1155">
        <f ca="1"/>
        <v>1</v>
      </c>
      <c r="E1155">
        <f ca="1"/>
        <v>97.415302643114458</v>
      </c>
      <c r="F1155">
        <f ca="1"/>
        <v>-2.9848783386625883</v>
      </c>
      <c r="G1155">
        <f ca="1"/>
        <v>3.0640754149251381E-2</v>
      </c>
      <c r="H1155">
        <f ca="1"/>
        <v>82.131407434894214</v>
      </c>
      <c r="I1155">
        <f ca="1"/>
        <v>-0.8130096646110051</v>
      </c>
      <c r="J1155">
        <f ca="1"/>
        <v>2.9318249050361658</v>
      </c>
      <c r="K1155">
        <f ca="1"/>
        <v>0</v>
      </c>
      <c r="L1155">
        <f ca="1"/>
        <v>2.5846973568855418</v>
      </c>
    </row>
    <row r="1156" spans="2:12">
      <c r="B1156">
        <v>0.22920000000000001</v>
      </c>
      <c r="C1156">
        <f ca="1"/>
        <v>-0.12288786351425518</v>
      </c>
      <c r="D1156">
        <f ca="1"/>
        <v>1</v>
      </c>
      <c r="E1156">
        <f ca="1"/>
        <v>97.125952276193601</v>
      </c>
      <c r="F1156">
        <f ca="1"/>
        <v>2.671403704283192</v>
      </c>
      <c r="G1156">
        <f ca="1"/>
        <v>-2.7504530371930014E-2</v>
      </c>
      <c r="H1156">
        <f ca="1"/>
        <v>84.802811139177408</v>
      </c>
      <c r="I1156">
        <f ca="1"/>
        <v>-0.84051419498293511</v>
      </c>
      <c r="J1156">
        <f ca="1"/>
        <v>3.1670695498015675</v>
      </c>
      <c r="K1156">
        <f ca="1"/>
        <v>0</v>
      </c>
      <c r="L1156">
        <f ca="1"/>
        <v>2.8740477238063988</v>
      </c>
    </row>
    <row r="1157" spans="2:12">
      <c r="B1157">
        <v>0.22940000000000002</v>
      </c>
      <c r="C1157">
        <f ca="1"/>
        <v>-0.10097928597549477</v>
      </c>
      <c r="D1157">
        <f ca="1"/>
        <v>1</v>
      </c>
      <c r="E1157">
        <f ca="1"/>
        <v>97.552074103213158</v>
      </c>
      <c r="F1157">
        <f ca="1"/>
        <v>-3.7504300837824021</v>
      </c>
      <c r="G1157">
        <f ca="1"/>
        <v>3.8445416135533206E-2</v>
      </c>
      <c r="H1157">
        <f ca="1"/>
        <v>81.052381055395003</v>
      </c>
      <c r="I1157">
        <f ca="1"/>
        <v>-0.80206877884740191</v>
      </c>
      <c r="J1157">
        <f ca="1"/>
        <v>2.808908105399567</v>
      </c>
      <c r="K1157">
        <f ca="1"/>
        <v>0</v>
      </c>
      <c r="L1157">
        <f ca="1"/>
        <v>2.4479258967868418</v>
      </c>
    </row>
    <row r="1158" spans="2:12">
      <c r="B1158">
        <v>0.2296</v>
      </c>
      <c r="C1158">
        <f ca="1"/>
        <v>-0.1041578527669539</v>
      </c>
      <c r="D1158">
        <f ca="1"/>
        <v>1</v>
      </c>
      <c r="E1158">
        <f ca="1"/>
        <v>97.489688694797337</v>
      </c>
      <c r="F1158">
        <f ca="1"/>
        <v>0.71558618789096207</v>
      </c>
      <c r="G1158">
        <f ca="1"/>
        <v>-7.3401217859171419E-3</v>
      </c>
      <c r="H1158">
        <f ca="1"/>
        <v>81.767967243285966</v>
      </c>
      <c r="I1158">
        <f ca="1"/>
        <v>-0.80940890063331905</v>
      </c>
      <c r="J1158">
        <f ca="1"/>
        <v>2.8589454937455372</v>
      </c>
      <c r="K1158">
        <f ca="1"/>
        <v>0</v>
      </c>
      <c r="L1158">
        <f ca="1"/>
        <v>2.5103113052026629</v>
      </c>
    </row>
    <row r="1159" spans="2:12">
      <c r="B1159">
        <v>0.2298</v>
      </c>
      <c r="C1159">
        <f ca="1"/>
        <v>-0.10754609419565103</v>
      </c>
      <c r="D1159">
        <f ca="1"/>
        <v>1</v>
      </c>
      <c r="E1159">
        <f ca="1"/>
        <v>97.423257659494155</v>
      </c>
      <c r="F1159">
        <f ca="1"/>
        <v>0.74405387721177607</v>
      </c>
      <c r="G1159">
        <f ca="1"/>
        <v>-7.6373331695839264E-3</v>
      </c>
      <c r="H1159">
        <f ca="1"/>
        <v>82.512021120497735</v>
      </c>
      <c r="I1159">
        <f ca="1"/>
        <v>-0.81704623380290298</v>
      </c>
      <c r="J1159">
        <f ca="1"/>
        <v>2.9127153649982205</v>
      </c>
      <c r="K1159">
        <f ca="1"/>
        <v>0</v>
      </c>
      <c r="L1159">
        <f ca="1"/>
        <v>2.5767423405058452</v>
      </c>
    </row>
    <row r="1160" spans="2:12">
      <c r="B1160">
        <v>0.23</v>
      </c>
      <c r="C1160">
        <f ca="1"/>
        <v>-0.11873170778665006</v>
      </c>
      <c r="D1160">
        <f ca="1"/>
        <v>1</v>
      </c>
      <c r="E1160">
        <f ca="1"/>
        <v>97.205164661342238</v>
      </c>
      <c r="F1160">
        <f ca="1"/>
        <v>2.0792445794017893</v>
      </c>
      <c r="G1160">
        <f ca="1"/>
        <v>-2.1390268579306149E-2</v>
      </c>
      <c r="H1160">
        <f ca="1"/>
        <v>84.591265699899523</v>
      </c>
      <c r="I1160">
        <f ca="1"/>
        <v>-0.83843650238220913</v>
      </c>
      <c r="J1160">
        <f ca="1"/>
        <v>3.090907427757017</v>
      </c>
      <c r="K1160">
        <f ca="1"/>
        <v>0</v>
      </c>
      <c r="L1160">
        <f ca="1"/>
        <v>2.7948353386577622</v>
      </c>
    </row>
    <row r="1161" spans="2:12">
      <c r="B1161">
        <v>0.23020000000000002</v>
      </c>
      <c r="C1161">
        <f ca="1"/>
        <v>-0.12214039613478395</v>
      </c>
      <c r="D1161">
        <f ca="1"/>
        <v>1</v>
      </c>
      <c r="E1161">
        <f ca="1"/>
        <v>97.13853026771973</v>
      </c>
      <c r="F1161">
        <f ca="1"/>
        <v>0.6911307103825558</v>
      </c>
      <c r="G1161">
        <f ca="1"/>
        <v>-7.1148977494075449E-3</v>
      </c>
      <c r="H1161">
        <f ca="1"/>
        <v>85.282396410282075</v>
      </c>
      <c r="I1161">
        <f ca="1"/>
        <v>-0.84555140013161667</v>
      </c>
      <c r="J1161">
        <f ca="1"/>
        <v>3.1467761356842345</v>
      </c>
      <c r="K1161">
        <f ca="1"/>
        <v>0</v>
      </c>
      <c r="L1161">
        <f ca="1"/>
        <v>2.8614697322802698</v>
      </c>
    </row>
    <row r="1162" spans="2:12">
      <c r="B1162">
        <v>0.23040000000000002</v>
      </c>
      <c r="C1162">
        <f ca="1"/>
        <v>-0.10746535866374567</v>
      </c>
      <c r="D1162">
        <f ca="1"/>
        <v>1</v>
      </c>
      <c r="E1162">
        <f ca="1"/>
        <v>97.423661684945429</v>
      </c>
      <c r="F1162">
        <f ca="1"/>
        <v>-2.4174144576539831</v>
      </c>
      <c r="G1162">
        <f ca="1"/>
        <v>2.4813422282069064E-2</v>
      </c>
      <c r="H1162">
        <f ca="1"/>
        <v>82.864981952628085</v>
      </c>
      <c r="I1162">
        <f ca="1"/>
        <v>-0.82073797784954761</v>
      </c>
      <c r="J1162">
        <f ca="1"/>
        <v>2.9056828666275294</v>
      </c>
      <c r="K1162">
        <f ca="1"/>
        <v>0</v>
      </c>
      <c r="L1162">
        <f ca="1"/>
        <v>2.5763383150545707</v>
      </c>
    </row>
    <row r="1163" spans="2:12">
      <c r="B1163">
        <v>0.2306</v>
      </c>
      <c r="C1163">
        <f ca="1"/>
        <v>-9.2180132353217925E-2</v>
      </c>
      <c r="D1163">
        <f ca="1"/>
        <v>1</v>
      </c>
      <c r="E1163">
        <f ca="1"/>
        <v>97.721555043231945</v>
      </c>
      <c r="F1163">
        <f ca="1"/>
        <v>-2.8064392264263978</v>
      </c>
      <c r="G1163">
        <f ca="1"/>
        <v>2.8718732783006073E-2</v>
      </c>
      <c r="H1163">
        <f ca="1"/>
        <v>80.058542726201694</v>
      </c>
      <c r="I1163">
        <f ca="1"/>
        <v>-0.79201924506654153</v>
      </c>
      <c r="J1163">
        <f ca="1"/>
        <v>2.6611904741326384</v>
      </c>
      <c r="K1163">
        <f ca="1"/>
        <v>0</v>
      </c>
      <c r="L1163">
        <f ca="1"/>
        <v>2.2784449567680554</v>
      </c>
    </row>
    <row r="1164" spans="2:12">
      <c r="B1164">
        <v>0.23080000000000001</v>
      </c>
      <c r="C1164">
        <f ca="1"/>
        <v>-9.3009190321709595E-2</v>
      </c>
      <c r="D1164">
        <f ca="1"/>
        <v>1</v>
      </c>
      <c r="E1164">
        <f ca="1"/>
        <v>97.704962199099896</v>
      </c>
      <c r="F1164">
        <f ca="1"/>
        <v>0.29266499390727574</v>
      </c>
      <c r="G1164">
        <f ca="1"/>
        <v>-2.9953953956902701E-3</v>
      </c>
      <c r="H1164">
        <f ca="1"/>
        <v>80.351207720108974</v>
      </c>
      <c r="I1164">
        <f ca="1"/>
        <v>-0.7950146404622318</v>
      </c>
      <c r="J1164">
        <f ca="1"/>
        <v>2.674332326015616</v>
      </c>
      <c r="K1164">
        <f ca="1"/>
        <v>0</v>
      </c>
      <c r="L1164">
        <f ca="1"/>
        <v>2.2950378009001042</v>
      </c>
    </row>
    <row r="1165" spans="2:12">
      <c r="B1165">
        <v>0.23100000000000001</v>
      </c>
      <c r="C1165">
        <f ca="1"/>
        <v>-9.669813038548021E-2</v>
      </c>
      <c r="D1165">
        <f ca="1"/>
        <v>1</v>
      </c>
      <c r="E1165">
        <f ca="1"/>
        <v>97.632512703759716</v>
      </c>
      <c r="F1165">
        <f ca="1"/>
        <v>0.85908435544933537</v>
      </c>
      <c r="G1165">
        <f ca="1"/>
        <v>-8.7991626114960475E-3</v>
      </c>
      <c r="H1165">
        <f ca="1"/>
        <v>81.210292075558314</v>
      </c>
      <c r="I1165">
        <f ca="1"/>
        <v>-0.80381380307372785</v>
      </c>
      <c r="J1165">
        <f ca="1"/>
        <v>2.7319307355051734</v>
      </c>
      <c r="K1165">
        <f ca="1"/>
        <v>0</v>
      </c>
      <c r="L1165">
        <f ca="1"/>
        <v>2.3674872962402844</v>
      </c>
    </row>
    <row r="1166" spans="2:12">
      <c r="B1166">
        <v>0.23120000000000002</v>
      </c>
      <c r="C1166">
        <f ca="1"/>
        <v>-9.8627106410791504E-2</v>
      </c>
      <c r="D1166">
        <f ca="1"/>
        <v>1</v>
      </c>
      <c r="E1166">
        <f ca="1"/>
        <v>97.594463434642691</v>
      </c>
      <c r="F1166">
        <f ca="1"/>
        <v>0.50623863972789218</v>
      </c>
      <c r="G1166">
        <f ca="1"/>
        <v>-5.1871655615680634E-3</v>
      </c>
      <c r="H1166">
        <f ca="1"/>
        <v>81.716530715286211</v>
      </c>
      <c r="I1166">
        <f ca="1"/>
        <v>-0.80900096863529591</v>
      </c>
      <c r="J1166">
        <f ca="1"/>
        <v>2.7625152632183045</v>
      </c>
      <c r="K1166">
        <f ca="1"/>
        <v>0</v>
      </c>
      <c r="L1166">
        <f ca="1"/>
        <v>2.4055365653573091</v>
      </c>
    </row>
    <row r="1167" spans="2:12">
      <c r="B1167">
        <v>0.23140000000000002</v>
      </c>
      <c r="C1167">
        <f ca="1"/>
        <v>-0.10737597605697757</v>
      </c>
      <c r="D1167">
        <f ca="1"/>
        <v>1</v>
      </c>
      <c r="E1167">
        <f ca="1"/>
        <v>97.423454808099848</v>
      </c>
      <c r="F1167">
        <f ca="1"/>
        <v>1.7778252160047221</v>
      </c>
      <c r="G1167">
        <f ca="1"/>
        <v>-1.824843123769937E-2</v>
      </c>
      <c r="H1167">
        <f ca="1"/>
        <v>83.49435593129094</v>
      </c>
      <c r="I1167">
        <f ca="1"/>
        <v>-0.82724939987299528</v>
      </c>
      <c r="J1167">
        <f ca="1"/>
        <v>2.900861407736457</v>
      </c>
      <c r="K1167">
        <f ca="1"/>
        <v>0</v>
      </c>
      <c r="L1167">
        <f ca="1"/>
        <v>2.5765451919001521</v>
      </c>
    </row>
    <row r="1168" spans="2:12">
      <c r="B1168">
        <v>0.2316</v>
      </c>
      <c r="C1168">
        <f ca="1"/>
        <v>-0.11780382078055683</v>
      </c>
      <c r="D1168">
        <f ca="1"/>
        <v>1</v>
      </c>
      <c r="E1168">
        <f ca="1"/>
        <v>97.220094324316037</v>
      </c>
      <c r="F1168">
        <f ca="1"/>
        <v>1.965657148990358</v>
      </c>
      <c r="G1168">
        <f ca="1"/>
        <v>-2.0218630342335731E-2</v>
      </c>
      <c r="H1168">
        <f ca="1"/>
        <v>85.4600130802813</v>
      </c>
      <c r="I1168">
        <f ca="1"/>
        <v>-0.84746803021533101</v>
      </c>
      <c r="J1168">
        <f ca="1"/>
        <v>3.0690912459045023</v>
      </c>
      <c r="K1168">
        <f ca="1"/>
        <v>0</v>
      </c>
      <c r="L1168">
        <f ca="1"/>
        <v>2.7799056756839633</v>
      </c>
    </row>
    <row r="1169" spans="2:12">
      <c r="B1169">
        <v>0.23180000000000001</v>
      </c>
      <c r="C1169">
        <f ca="1"/>
        <v>-0.10994853815563292</v>
      </c>
      <c r="D1169">
        <f ca="1"/>
        <v>1</v>
      </c>
      <c r="E1169">
        <f ca="1"/>
        <v>97.372563139911719</v>
      </c>
      <c r="F1169">
        <f ca="1"/>
        <v>-1.2331522535195614</v>
      </c>
      <c r="G1169">
        <f ca="1"/>
        <v>1.2664268185563543E-2</v>
      </c>
      <c r="H1169">
        <f ca="1"/>
        <v>84.226860826761737</v>
      </c>
      <c r="I1169">
        <f ca="1"/>
        <v>-0.83480376202976747</v>
      </c>
      <c r="J1169">
        <f ca="1"/>
        <v>2.9398787990823649</v>
      </c>
      <c r="K1169">
        <f ca="1"/>
        <v>0</v>
      </c>
      <c r="L1169">
        <f ca="1"/>
        <v>2.6274368600882809</v>
      </c>
    </row>
    <row r="1170" spans="2:12">
      <c r="B1170">
        <v>0.23200000000000001</v>
      </c>
      <c r="C1170">
        <f ca="1"/>
        <v>-0.12615721688946407</v>
      </c>
      <c r="D1170">
        <f ca="1"/>
        <v>1</v>
      </c>
      <c r="E1170">
        <f ca="1"/>
        <v>97.057029876776596</v>
      </c>
      <c r="F1170">
        <f ca="1"/>
        <v>2.8624436609526271</v>
      </c>
      <c r="G1170">
        <f ca="1"/>
        <v>-2.9492388800551383E-2</v>
      </c>
      <c r="H1170">
        <f ca="1"/>
        <v>87.089304487714358</v>
      </c>
      <c r="I1170">
        <f ca="1"/>
        <v>-0.86429615083031885</v>
      </c>
      <c r="J1170">
        <f ca="1"/>
        <v>3.2032871541930916</v>
      </c>
      <c r="K1170">
        <f ca="1"/>
        <v>0</v>
      </c>
      <c r="L1170">
        <f ca="1"/>
        <v>2.9429701232234038</v>
      </c>
    </row>
    <row r="1171" spans="2:12">
      <c r="B1171">
        <v>0.23220000000000002</v>
      </c>
      <c r="C1171">
        <f ca="1"/>
        <v>-0.14428680073301539</v>
      </c>
      <c r="D1171">
        <f ca="1"/>
        <v>1</v>
      </c>
      <c r="E1171">
        <f ca="1"/>
        <v>96.705359589584489</v>
      </c>
      <c r="F1171">
        <f ca="1"/>
        <v>2.7674973374093419</v>
      </c>
      <c r="G1171">
        <f ca="1"/>
        <v>-2.8617827896556536E-2</v>
      </c>
      <c r="H1171">
        <f ca="1"/>
        <v>89.856801825123696</v>
      </c>
      <c r="I1171">
        <f ca="1"/>
        <v>-0.89291397872687539</v>
      </c>
      <c r="J1171">
        <f ca="1"/>
        <v>3.5072344297746127</v>
      </c>
      <c r="K1171">
        <f ca="1"/>
        <v>0</v>
      </c>
      <c r="L1171">
        <f ca="1"/>
        <v>3.2946404104155107</v>
      </c>
    </row>
    <row r="1172" spans="2:12">
      <c r="B1172">
        <v>0.23240000000000002</v>
      </c>
      <c r="C1172">
        <f ca="1"/>
        <v>-0.14428154667996188</v>
      </c>
      <c r="D1172">
        <f ca="1"/>
        <v>1</v>
      </c>
      <c r="E1172">
        <f ca="1"/>
        <v>96.705074387584659</v>
      </c>
      <c r="F1172">
        <f ca="1"/>
        <v>0.12961044023455501</v>
      </c>
      <c r="G1172">
        <f ca="1"/>
        <v>-1.340265141776209E-3</v>
      </c>
      <c r="H1172">
        <f ca="1"/>
        <v>89.986412265358254</v>
      </c>
      <c r="I1172">
        <f ca="1"/>
        <v>-0.8942542438686516</v>
      </c>
      <c r="J1172">
        <f ca="1"/>
        <v>3.5074890906270326</v>
      </c>
      <c r="K1172">
        <f ca="1"/>
        <v>0</v>
      </c>
      <c r="L1172">
        <f ca="1"/>
        <v>3.2949256124153408</v>
      </c>
    </row>
    <row r="1173" spans="2:12">
      <c r="B1173">
        <v>0.2326</v>
      </c>
      <c r="C1173">
        <f ca="1"/>
        <v>-0.13652621866462933</v>
      </c>
      <c r="D1173">
        <f ca="1"/>
        <v>1</v>
      </c>
      <c r="E1173">
        <f ca="1"/>
        <v>96.854799269055931</v>
      </c>
      <c r="F1173">
        <f ca="1"/>
        <v>-0.93798773421863657</v>
      </c>
      <c r="G1173">
        <f ca="1"/>
        <v>9.6844734726357906E-3</v>
      </c>
      <c r="H1173">
        <f ca="1"/>
        <v>89.048424531139617</v>
      </c>
      <c r="I1173">
        <f ca="1"/>
        <v>-0.88456977039601581</v>
      </c>
      <c r="J1173">
        <f ca="1"/>
        <v>3.3735969799586059</v>
      </c>
      <c r="K1173">
        <f ca="1"/>
        <v>0</v>
      </c>
      <c r="L1173">
        <f ca="1"/>
        <v>3.1452007309440688</v>
      </c>
    </row>
    <row r="1174" spans="2:12">
      <c r="B1174">
        <v>0.23280000000000001</v>
      </c>
      <c r="C1174">
        <f ca="1"/>
        <v>-0.13892083618080375</v>
      </c>
      <c r="D1174">
        <f ca="1"/>
        <v>1</v>
      </c>
      <c r="E1174">
        <f ca="1"/>
        <v>96.8080371022713</v>
      </c>
      <c r="F1174">
        <f ca="1"/>
        <v>0.47329550826084316</v>
      </c>
      <c r="G1174">
        <f ca="1"/>
        <v>-4.8890104833014814E-3</v>
      </c>
      <c r="H1174">
        <f ca="1"/>
        <v>89.521720039400464</v>
      </c>
      <c r="I1174">
        <f ca="1"/>
        <v>-0.88945878087931729</v>
      </c>
      <c r="J1174">
        <f ca="1"/>
        <v>3.414961379094521</v>
      </c>
      <c r="K1174">
        <f ca="1"/>
        <v>0</v>
      </c>
      <c r="L1174">
        <f ca="1"/>
        <v>3.1919628977287005</v>
      </c>
    </row>
    <row r="1175" spans="2:12">
      <c r="B1175">
        <v>0.23300000000000001</v>
      </c>
      <c r="C1175">
        <f ca="1"/>
        <v>-0.13239082050201514</v>
      </c>
      <c r="D1175">
        <f ca="1"/>
        <v>1</v>
      </c>
      <c r="E1175">
        <f ca="1"/>
        <v>96.934163560849711</v>
      </c>
      <c r="F1175">
        <f ca="1"/>
        <v>-0.79961799964511404</v>
      </c>
      <c r="G1175">
        <f ca="1"/>
        <v>8.2490834012629577E-3</v>
      </c>
      <c r="H1175">
        <f ca="1"/>
        <v>88.722102039755356</v>
      </c>
      <c r="I1175">
        <f ca="1"/>
        <v>-0.88120969747805433</v>
      </c>
      <c r="J1175">
        <f ca="1"/>
        <v>3.3027770930107465</v>
      </c>
      <c r="K1175">
        <f ca="1"/>
        <v>0</v>
      </c>
      <c r="L1175">
        <f ca="1"/>
        <v>3.0658364391502886</v>
      </c>
    </row>
    <row r="1176" spans="2:12">
      <c r="B1176">
        <v>0.23320000000000002</v>
      </c>
      <c r="C1176">
        <f ca="1"/>
        <v>-0.13342188397164345</v>
      </c>
      <c r="D1176">
        <f ca="1"/>
        <v>1</v>
      </c>
      <c r="E1176">
        <f ca="1"/>
        <v>96.91378891077423</v>
      </c>
      <c r="F1176">
        <f ca="1"/>
        <v>0.29133146242351421</v>
      </c>
      <c r="G1176">
        <f ca="1"/>
        <v>-3.0060888723660861E-3</v>
      </c>
      <c r="H1176">
        <f ca="1"/>
        <v>89.01343350217887</v>
      </c>
      <c r="I1176">
        <f ca="1"/>
        <v>-0.88421578635042042</v>
      </c>
      <c r="J1176">
        <f ca="1"/>
        <v>3.320731432239981</v>
      </c>
      <c r="K1176">
        <f ca="1"/>
        <v>0</v>
      </c>
      <c r="L1176">
        <f ca="1"/>
        <v>3.0862110892257704</v>
      </c>
    </row>
    <row r="1177" spans="2:12">
      <c r="B1177">
        <v>0.23340000000000002</v>
      </c>
      <c r="C1177">
        <f ca="1"/>
        <v>-0.13655928808146908</v>
      </c>
      <c r="D1177">
        <f ca="1"/>
        <v>1</v>
      </c>
      <c r="E1177">
        <f ca="1"/>
        <v>96.852609030686622</v>
      </c>
      <c r="F1177">
        <f ca="1"/>
        <v>0.59017964558764002</v>
      </c>
      <c r="G1177">
        <f ca="1"/>
        <v>-6.0935854128684186E-3</v>
      </c>
      <c r="H1177">
        <f ca="1"/>
        <v>89.603613147766509</v>
      </c>
      <c r="I1177">
        <f ca="1"/>
        <v>-0.89030937176328884</v>
      </c>
      <c r="J1177">
        <f ca="1"/>
        <v>3.3748276480204709</v>
      </c>
      <c r="K1177">
        <f ca="1"/>
        <v>0</v>
      </c>
      <c r="L1177">
        <f ca="1"/>
        <v>3.1473909693133777</v>
      </c>
    </row>
    <row r="1178" spans="2:12">
      <c r="B1178">
        <v>0.2336</v>
      </c>
      <c r="C1178">
        <f ca="1"/>
        <v>-0.10612934664049935</v>
      </c>
      <c r="D1178">
        <f ca="1"/>
        <v>1</v>
      </c>
      <c r="E1178">
        <f ca="1"/>
        <v>97.443460418776581</v>
      </c>
      <c r="F1178">
        <f ca="1"/>
        <v>-4.8105575446434949</v>
      </c>
      <c r="G1178">
        <f ca="1"/>
        <v>4.9367679718777091E-2</v>
      </c>
      <c r="H1178">
        <f ca="1"/>
        <v>84.793055603123008</v>
      </c>
      <c r="I1178">
        <f ca="1"/>
        <v>-0.84094169204451175</v>
      </c>
      <c r="J1178">
        <f ca="1"/>
        <v>2.8487871198846193</v>
      </c>
      <c r="K1178">
        <f ca="1"/>
        <v>0</v>
      </c>
      <c r="L1178">
        <f ca="1"/>
        <v>2.5565395812234186</v>
      </c>
    </row>
    <row r="1179" spans="2:12">
      <c r="B1179">
        <v>0.23380000000000001</v>
      </c>
      <c r="C1179">
        <f ca="1"/>
        <v>-0.10995145952683012</v>
      </c>
      <c r="D1179">
        <f ca="1"/>
        <v>1</v>
      </c>
      <c r="E1179">
        <f ca="1"/>
        <v>97.368611425295128</v>
      </c>
      <c r="F1179">
        <f ca="1"/>
        <v>0.84540377410071976</v>
      </c>
      <c r="G1179">
        <f ca="1"/>
        <v>-8.6825082716656121E-3</v>
      </c>
      <c r="H1179">
        <f ca="1"/>
        <v>85.638459377223725</v>
      </c>
      <c r="I1179">
        <f ca="1"/>
        <v>-0.84962420031617736</v>
      </c>
      <c r="J1179">
        <f ca="1"/>
        <v>2.9117307591107391</v>
      </c>
      <c r="K1179">
        <f ca="1"/>
        <v>0</v>
      </c>
      <c r="L1179">
        <f ca="1"/>
        <v>2.6313885747048715</v>
      </c>
    </row>
    <row r="1180" spans="2:12">
      <c r="B1180">
        <v>0.23400000000000001</v>
      </c>
      <c r="C1180">
        <f ca="1"/>
        <v>-0.11252123137652419</v>
      </c>
      <c r="D1180">
        <f ca="1"/>
        <v>1</v>
      </c>
      <c r="E1180">
        <f ca="1"/>
        <v>97.318191986124134</v>
      </c>
      <c r="F1180">
        <f ca="1"/>
        <v>0.60686079839768237</v>
      </c>
      <c r="G1180">
        <f ca="1"/>
        <v>-6.2358412750229686E-3</v>
      </c>
      <c r="H1180">
        <f ca="1"/>
        <v>86.245320175621401</v>
      </c>
      <c r="I1180">
        <f ca="1"/>
        <v>-0.85586004159120033</v>
      </c>
      <c r="J1180">
        <f ca="1"/>
        <v>2.9545683347967753</v>
      </c>
      <c r="K1180">
        <f ca="1"/>
        <v>0</v>
      </c>
      <c r="L1180">
        <f ca="1"/>
        <v>2.681808013875866</v>
      </c>
    </row>
    <row r="1181" spans="2:12">
      <c r="B1181">
        <v>0.23420000000000002</v>
      </c>
      <c r="C1181">
        <f ca="1"/>
        <v>-0.11467376070431175</v>
      </c>
      <c r="D1181">
        <f ca="1"/>
        <v>1</v>
      </c>
      <c r="E1181">
        <f ca="1"/>
        <v>97.275915846161226</v>
      </c>
      <c r="F1181">
        <f ca="1"/>
        <v>0.52630682293040043</v>
      </c>
      <c r="G1181">
        <f ca="1"/>
        <v>-5.4104535367494044E-3</v>
      </c>
      <c r="H1181">
        <f ca="1"/>
        <v>86.771626998551795</v>
      </c>
      <c r="I1181">
        <f ca="1"/>
        <v>-0.86127049512794973</v>
      </c>
      <c r="J1181">
        <f ca="1"/>
        <v>2.9907507937037394</v>
      </c>
      <c r="K1181">
        <f ca="1"/>
        <v>0</v>
      </c>
      <c r="L1181">
        <f ca="1"/>
        <v>2.7240841538387741</v>
      </c>
    </row>
    <row r="1182" spans="2:12">
      <c r="B1182">
        <v>0.23440000000000003</v>
      </c>
      <c r="C1182">
        <f ca="1"/>
        <v>-0.13330665281229381</v>
      </c>
      <c r="D1182">
        <f ca="1"/>
        <v>1</v>
      </c>
      <c r="E1182">
        <f ca="1"/>
        <v>96.913696477535069</v>
      </c>
      <c r="F1182">
        <f ca="1"/>
        <v>3.0722756706326706</v>
      </c>
      <c r="G1182">
        <f ca="1"/>
        <v>-3.1701150428668612E-2</v>
      </c>
      <c r="H1182">
        <f ca="1"/>
        <v>89.843902669184473</v>
      </c>
      <c r="I1182">
        <f ca="1"/>
        <v>-0.89297164555661834</v>
      </c>
      <c r="J1182">
        <f ca="1"/>
        <v>3.302719648665331</v>
      </c>
      <c r="K1182">
        <f ca="1"/>
        <v>0</v>
      </c>
      <c r="L1182">
        <f ca="1"/>
        <v>3.0863035224649309</v>
      </c>
    </row>
    <row r="1183" spans="2:12">
      <c r="B1183">
        <v>0.2346</v>
      </c>
      <c r="C1183">
        <f ca="1"/>
        <v>-0.13664223785581053</v>
      </c>
      <c r="D1183">
        <f ca="1"/>
        <v>1</v>
      </c>
      <c r="E1183">
        <f ca="1"/>
        <v>96.8486778674406</v>
      </c>
      <c r="F1183">
        <f ca="1"/>
        <v>0.61558915957032045</v>
      </c>
      <c r="G1183">
        <f ca="1"/>
        <v>-6.3561958007614106E-3</v>
      </c>
      <c r="H1183">
        <f ca="1"/>
        <v>90.459491828754793</v>
      </c>
      <c r="I1183">
        <f ca="1"/>
        <v>-0.89932784135737975</v>
      </c>
      <c r="J1183">
        <f ca="1"/>
        <v>3.3607794239132005</v>
      </c>
      <c r="K1183">
        <f ca="1"/>
        <v>0</v>
      </c>
      <c r="L1183">
        <f ca="1"/>
        <v>3.1513221325594003</v>
      </c>
    </row>
    <row r="1184" spans="2:12">
      <c r="B1184">
        <v>0.23480000000000001</v>
      </c>
      <c r="C1184">
        <f ca="1"/>
        <v>-0.14734638341208753</v>
      </c>
      <c r="D1184">
        <f ca="1"/>
        <v>1</v>
      </c>
      <c r="E1184">
        <f ca="1"/>
        <v>96.641176610679167</v>
      </c>
      <c r="F1184">
        <f ca="1"/>
        <v>1.5303891015603419</v>
      </c>
      <c r="G1184">
        <f ca="1"/>
        <v>-1.5835787137873369E-2</v>
      </c>
      <c r="H1184">
        <f ca="1"/>
        <v>91.989880930315138</v>
      </c>
      <c r="I1184">
        <f ca="1"/>
        <v>-0.91516362849525312</v>
      </c>
      <c r="J1184">
        <f ca="1"/>
        <v>3.5473910812354035</v>
      </c>
      <c r="K1184">
        <f ca="1"/>
        <v>0</v>
      </c>
      <c r="L1184">
        <f ca="1"/>
        <v>3.3588233893208326</v>
      </c>
    </row>
    <row r="1185" spans="2:12">
      <c r="B1185">
        <v>0.23500000000000001</v>
      </c>
      <c r="C1185">
        <f ca="1"/>
        <v>-0.16177495596059163</v>
      </c>
      <c r="D1185">
        <f ca="1"/>
        <v>1</v>
      </c>
      <c r="E1185">
        <f ca="1"/>
        <v>96.362314310662128</v>
      </c>
      <c r="F1185">
        <f ca="1"/>
        <v>1.7437729680915701</v>
      </c>
      <c r="G1185">
        <f ca="1"/>
        <v>-1.8096005482701738E-2</v>
      </c>
      <c r="H1185">
        <f ca="1"/>
        <v>93.733653898406715</v>
      </c>
      <c r="I1185">
        <f ca="1"/>
        <v>-0.93325963397795486</v>
      </c>
      <c r="J1185">
        <f ca="1"/>
        <v>3.802595715569538</v>
      </c>
      <c r="K1185">
        <f ca="1"/>
        <v>0</v>
      </c>
      <c r="L1185">
        <f ca="1"/>
        <v>3.6376856893378715</v>
      </c>
    </row>
    <row r="1186" spans="2:12">
      <c r="B1186">
        <v>0.23520000000000002</v>
      </c>
      <c r="C1186">
        <f ca="1"/>
        <v>-0.16632693556974304</v>
      </c>
      <c r="D1186">
        <f ca="1"/>
        <v>1</v>
      </c>
      <c r="E1186">
        <f ca="1"/>
        <v>96.274241276386647</v>
      </c>
      <c r="F1186">
        <f ca="1"/>
        <v>0.57507933221541718</v>
      </c>
      <c r="G1186">
        <f ca="1"/>
        <v>-5.9733457733981421E-3</v>
      </c>
      <c r="H1186">
        <f ca="1"/>
        <v>94.308733230622138</v>
      </c>
      <c r="I1186">
        <f ca="1"/>
        <v>-0.939232979751353</v>
      </c>
      <c r="J1186">
        <f ca="1"/>
        <v>3.8847907233008101</v>
      </c>
      <c r="K1186">
        <f ca="1"/>
        <v>0</v>
      </c>
      <c r="L1186">
        <f ca="1"/>
        <v>3.7257587236133531</v>
      </c>
    </row>
    <row r="1187" spans="2:12">
      <c r="B1187">
        <v>0.2354</v>
      </c>
      <c r="C1187">
        <f ca="1"/>
        <v>-0.12932802594906145</v>
      </c>
      <c r="D1187">
        <f ca="1"/>
        <v>1</v>
      </c>
      <c r="E1187">
        <f ca="1"/>
        <v>96.988904057292231</v>
      </c>
      <c r="F1187">
        <f ca="1"/>
        <v>-4.298994308781011</v>
      </c>
      <c r="G1187">
        <f ca="1"/>
        <v>4.4324599298921408E-2</v>
      </c>
      <c r="H1187">
        <f ca="1"/>
        <v>90.009738921841134</v>
      </c>
      <c r="I1187">
        <f ca="1"/>
        <v>-0.8949083804524316</v>
      </c>
      <c r="J1187">
        <f ca="1"/>
        <v>3.2135558700734776</v>
      </c>
      <c r="K1187">
        <f ca="1"/>
        <v>0</v>
      </c>
      <c r="L1187">
        <f ca="1"/>
        <v>3.0110959427077688</v>
      </c>
    </row>
    <row r="1188" spans="2:12">
      <c r="B1188">
        <v>0.2356</v>
      </c>
      <c r="C1188">
        <f ca="1"/>
        <v>-0.1422598774662939</v>
      </c>
      <c r="D1188">
        <f ca="1"/>
        <v>1</v>
      </c>
      <c r="E1188">
        <f ca="1"/>
        <v>96.73799199833357</v>
      </c>
      <c r="F1188">
        <f ca="1"/>
        <v>1.9078660069603055</v>
      </c>
      <c r="G1188">
        <f ca="1"/>
        <v>-1.9721993061352472E-2</v>
      </c>
      <c r="H1188">
        <f ca="1"/>
        <v>91.917604928801438</v>
      </c>
      <c r="I1188">
        <f ca="1"/>
        <v>-0.91463037351378407</v>
      </c>
      <c r="J1188">
        <f ca="1"/>
        <v>3.4380991743921498</v>
      </c>
      <c r="K1188">
        <f ca="1"/>
        <v>0</v>
      </c>
      <c r="L1188">
        <f ca="1"/>
        <v>3.2620080016664303</v>
      </c>
    </row>
    <row r="1189" spans="2:12">
      <c r="B1189">
        <v>0.23580000000000001</v>
      </c>
      <c r="C1189">
        <f ca="1"/>
        <v>-0.15569494008727375</v>
      </c>
      <c r="D1189">
        <f ca="1"/>
        <v>1</v>
      </c>
      <c r="E1189">
        <f ca="1"/>
        <v>96.478018802747158</v>
      </c>
      <c r="F1189">
        <f ca="1"/>
        <v>1.6969429999711114</v>
      </c>
      <c r="G1189">
        <f ca="1"/>
        <v>-1.7588908033451367E-2</v>
      </c>
      <c r="H1189">
        <f ca="1"/>
        <v>93.614547928772552</v>
      </c>
      <c r="I1189">
        <f ca="1"/>
        <v>-0.93221928154723543</v>
      </c>
      <c r="J1189">
        <f ca="1"/>
        <v>3.675878555374922</v>
      </c>
      <c r="K1189">
        <f ca="1"/>
        <v>0</v>
      </c>
      <c r="L1189">
        <f ca="1"/>
        <v>3.5219811972528419</v>
      </c>
    </row>
    <row r="1190" spans="2:12">
      <c r="B1190">
        <v>0.23600000000000002</v>
      </c>
      <c r="C1190">
        <f ca="1"/>
        <v>-0.13670306360004025</v>
      </c>
      <c r="D1190">
        <f ca="1"/>
        <v>1</v>
      </c>
      <c r="E1190">
        <f ca="1"/>
        <v>96.844788003997522</v>
      </c>
      <c r="F1190">
        <f ca="1"/>
        <v>-2.1169451073461425</v>
      </c>
      <c r="G1190">
        <f ca="1"/>
        <v>2.1859153713659429E-2</v>
      </c>
      <c r="H1190">
        <f ca="1"/>
        <v>91.497602821426412</v>
      </c>
      <c r="I1190">
        <f ca="1"/>
        <v>-0.910360127833576</v>
      </c>
      <c r="J1190">
        <f ca="1"/>
        <v>3.3339692340916542</v>
      </c>
      <c r="K1190">
        <f ca="1"/>
        <v>0</v>
      </c>
      <c r="L1190">
        <f ca="1"/>
        <v>3.1552119960024783</v>
      </c>
    </row>
    <row r="1191" spans="2:12">
      <c r="B1191">
        <v>0.23620000000000002</v>
      </c>
      <c r="C1191">
        <f ca="1"/>
        <v>-0.14065781241606734</v>
      </c>
      <c r="D1191">
        <f ca="1"/>
        <v>1</v>
      </c>
      <c r="E1191">
        <f ca="1"/>
        <v>96.767831854894979</v>
      </c>
      <c r="F1191">
        <f ca="1"/>
        <v>0.66478792799909026</v>
      </c>
      <c r="G1191">
        <f ca="1"/>
        <v>-6.869926867804077E-3</v>
      </c>
      <c r="H1191">
        <f ca="1"/>
        <v>92.162390749425498</v>
      </c>
      <c r="I1191">
        <f ca="1"/>
        <v>-0.91723005470138008</v>
      </c>
      <c r="J1191">
        <f ca="1"/>
        <v>3.4040270438262326</v>
      </c>
      <c r="K1191">
        <f ca="1"/>
        <v>0</v>
      </c>
      <c r="L1191">
        <f ca="1"/>
        <v>3.232168145105021</v>
      </c>
    </row>
    <row r="1192" spans="2:12">
      <c r="B1192">
        <v>0.2364</v>
      </c>
      <c r="C1192">
        <f ca="1"/>
        <v>-0.14201562978539481</v>
      </c>
      <c r="D1192">
        <f ca="1"/>
        <v>1</v>
      </c>
      <c r="E1192">
        <f ca="1"/>
        <v>96.741169848696856</v>
      </c>
      <c r="F1192">
        <f ca="1"/>
        <v>0.32178518479951607</v>
      </c>
      <c r="G1192">
        <f ca="1"/>
        <v>-3.3262486416361092E-3</v>
      </c>
      <c r="H1192">
        <f ca="1"/>
        <v>92.484175934225007</v>
      </c>
      <c r="I1192">
        <f ca="1"/>
        <v>-0.92055630334301619</v>
      </c>
      <c r="J1192">
        <f ca="1"/>
        <v>3.4284822372297725</v>
      </c>
      <c r="K1192">
        <f ca="1"/>
        <v>0</v>
      </c>
      <c r="L1192">
        <f ca="1"/>
        <v>3.2588301513031439</v>
      </c>
    </row>
    <row r="1193" spans="2:12">
      <c r="B1193">
        <v>0.2366</v>
      </c>
      <c r="C1193">
        <f ca="1"/>
        <v>-0.15446529734717546</v>
      </c>
      <c r="D1193">
        <f ca="1"/>
        <v>1</v>
      </c>
      <c r="E1193">
        <f ca="1"/>
        <v>96.500204403980078</v>
      </c>
      <c r="F1193">
        <f ca="1"/>
        <v>1.5524088715504381</v>
      </c>
      <c r="G1193">
        <f ca="1"/>
        <v>-1.6087104489971527E-2</v>
      </c>
      <c r="H1193">
        <f ca="1"/>
        <v>94.036584805775448</v>
      </c>
      <c r="I1193">
        <f ca="1"/>
        <v>-0.93664340783298772</v>
      </c>
      <c r="J1193">
        <f ca="1"/>
        <v>3.650304496251664</v>
      </c>
      <c r="K1193">
        <f ca="1"/>
        <v>0</v>
      </c>
      <c r="L1193">
        <f ca="1"/>
        <v>3.4997955960199221</v>
      </c>
    </row>
    <row r="1194" spans="2:12">
      <c r="B1194">
        <v>0.23680000000000001</v>
      </c>
      <c r="C1194">
        <f ca="1"/>
        <v>-0.14746015754387923</v>
      </c>
      <c r="D1194">
        <f ca="1"/>
        <v>1</v>
      </c>
      <c r="E1194">
        <f ca="1"/>
        <v>96.635112100712533</v>
      </c>
      <c r="F1194">
        <f ca="1"/>
        <v>-0.61214648830869212</v>
      </c>
      <c r="G1194">
        <f ca="1"/>
        <v>6.3346176664100806E-3</v>
      </c>
      <c r="H1194">
        <f ca="1"/>
        <v>93.424438317466752</v>
      </c>
      <c r="I1194">
        <f ca="1"/>
        <v>-0.93030879016657764</v>
      </c>
      <c r="J1194">
        <f ca="1"/>
        <v>3.5239440914412654</v>
      </c>
      <c r="K1194">
        <f ca="1"/>
        <v>0</v>
      </c>
      <c r="L1194">
        <f ca="1"/>
        <v>3.3648878992874671</v>
      </c>
    </row>
    <row r="1195" spans="2:12">
      <c r="B1195">
        <v>0.23700000000000002</v>
      </c>
      <c r="C1195">
        <f ca="1"/>
        <v>-0.12893422829721779</v>
      </c>
      <c r="D1195">
        <f ca="1"/>
        <v>1</v>
      </c>
      <c r="E1195">
        <f ca="1"/>
        <v>96.993439318929447</v>
      </c>
      <c r="F1195">
        <f ca="1"/>
        <v>-2.1838405744268674</v>
      </c>
      <c r="G1195">
        <f ca="1"/>
        <v>2.2515343200131932E-2</v>
      </c>
      <c r="H1195">
        <f ca="1"/>
        <v>91.240597743039885</v>
      </c>
      <c r="I1195">
        <f ca="1"/>
        <v>-0.90779344696644571</v>
      </c>
      <c r="J1195">
        <f ca="1"/>
        <v>3.1905891305781324</v>
      </c>
      <c r="K1195">
        <f ca="1"/>
        <v>0</v>
      </c>
      <c r="L1195">
        <f ca="1"/>
        <v>3.0065606810705532</v>
      </c>
    </row>
    <row r="1196" spans="2:12">
      <c r="B1196">
        <v>0.23720000000000002</v>
      </c>
      <c r="C1196">
        <f ca="1"/>
        <v>-0.11360335406637494</v>
      </c>
      <c r="D1196">
        <f ca="1"/>
        <v>1</v>
      </c>
      <c r="E1196">
        <f ca="1"/>
        <v>97.290905403192866</v>
      </c>
      <c r="F1196">
        <f ca="1"/>
        <v>-2.1778772579959549</v>
      </c>
      <c r="G1196">
        <f ca="1"/>
        <v>2.238520906934105E-2</v>
      </c>
      <c r="H1196">
        <f ca="1"/>
        <v>89.062720485043926</v>
      </c>
      <c r="I1196">
        <f ca="1"/>
        <v>-0.88540823789710466</v>
      </c>
      <c r="J1196">
        <f ca="1"/>
        <v>2.920551368589031</v>
      </c>
      <c r="K1196">
        <f ca="1"/>
        <v>0</v>
      </c>
      <c r="L1196">
        <f ca="1"/>
        <v>2.7090945968071338</v>
      </c>
    </row>
    <row r="1197" spans="2:12">
      <c r="B1197">
        <v>0.2374</v>
      </c>
      <c r="C1197">
        <f ca="1"/>
        <v>-0.11583616628245869</v>
      </c>
      <c r="D1197">
        <f ca="1"/>
        <v>1</v>
      </c>
      <c r="E1197">
        <f ca="1"/>
        <v>97.247079649012463</v>
      </c>
      <c r="F1197">
        <f ca="1"/>
        <v>0.55022359904683515</v>
      </c>
      <c r="G1197">
        <f ca="1"/>
        <v>-5.6579961170322157E-3</v>
      </c>
      <c r="H1197">
        <f ca="1"/>
        <v>89.612944084090756</v>
      </c>
      <c r="I1197">
        <f ca="1"/>
        <v>-0.89106623401413687</v>
      </c>
      <c r="J1197">
        <f ca="1"/>
        <v>2.9593550523724161</v>
      </c>
      <c r="K1197">
        <f ca="1"/>
        <v>0</v>
      </c>
      <c r="L1197">
        <f ca="1"/>
        <v>2.7529203509875373</v>
      </c>
    </row>
    <row r="1198" spans="2:12">
      <c r="B1198">
        <v>0.23760000000000001</v>
      </c>
      <c r="C1198">
        <f ca="1"/>
        <v>-0.11811026688485819</v>
      </c>
      <c r="D1198">
        <f ca="1"/>
        <v>1</v>
      </c>
      <c r="E1198">
        <f ca="1"/>
        <v>97.202470966674667</v>
      </c>
      <c r="F1198">
        <f ca="1"/>
        <v>0.54634406906280231</v>
      </c>
      <c r="G1198">
        <f ca="1"/>
        <v>-5.6206808698321398E-3</v>
      </c>
      <c r="H1198">
        <f ca="1"/>
        <v>90.159288153153554</v>
      </c>
      <c r="I1198">
        <f ca="1"/>
        <v>-0.89668691488396901</v>
      </c>
      <c r="J1198">
        <f ca="1"/>
        <v>2.9991043429474757</v>
      </c>
      <c r="K1198">
        <f ca="1"/>
        <v>0</v>
      </c>
      <c r="L1198">
        <f ca="1"/>
        <v>2.7975290333253326</v>
      </c>
    </row>
    <row r="1199" spans="2:12">
      <c r="B1199">
        <v>0.23780000000000001</v>
      </c>
      <c r="C1199">
        <f ca="1"/>
        <v>-0.11948537516815599</v>
      </c>
      <c r="D1199">
        <f ca="1"/>
        <v>1</v>
      </c>
      <c r="E1199">
        <f ca="1"/>
        <v>97.175353155598359</v>
      </c>
      <c r="F1199">
        <f ca="1"/>
        <v>0.39791025843396138</v>
      </c>
      <c r="G1199">
        <f ca="1"/>
        <v>-4.0947652415198599E-3</v>
      </c>
      <c r="H1199">
        <f ca="1"/>
        <v>90.557198411587521</v>
      </c>
      <c r="I1199">
        <f ca="1"/>
        <v>-0.90078168012548887</v>
      </c>
      <c r="J1199">
        <f ca="1"/>
        <v>3.0234205292998979</v>
      </c>
      <c r="K1199">
        <f ca="1"/>
        <v>0</v>
      </c>
      <c r="L1199">
        <f ca="1"/>
        <v>2.8246468444016415</v>
      </c>
    </row>
    <row r="1200" spans="2:12">
      <c r="B1200">
        <v>0.23800000000000002</v>
      </c>
      <c r="C1200">
        <f ca="1"/>
        <v>-0.1408915407970886</v>
      </c>
      <c r="D1200">
        <f ca="1"/>
        <v>1</v>
      </c>
      <c r="E1200">
        <f ca="1"/>
        <v>96.759825066481469</v>
      </c>
      <c r="F1200">
        <f ca="1"/>
        <v>3.0411521840642175</v>
      </c>
      <c r="G1200">
        <f ca="1"/>
        <v>-3.1429905768997735E-2</v>
      </c>
      <c r="H1200">
        <f ca="1"/>
        <v>93.598350595651738</v>
      </c>
      <c r="I1200">
        <f ca="1"/>
        <v>-0.93221158589448661</v>
      </c>
      <c r="J1200">
        <f ca="1"/>
        <v>3.3977206195539509</v>
      </c>
      <c r="K1200">
        <f ca="1"/>
        <v>0</v>
      </c>
      <c r="L1200">
        <f ca="1"/>
        <v>3.2401749335185315</v>
      </c>
    </row>
    <row r="1201" spans="2:12">
      <c r="B1201">
        <v>0.23820000000000002</v>
      </c>
      <c r="C1201">
        <f ca="1"/>
        <v>-0.14530538618349476</v>
      </c>
      <c r="D1201">
        <f ca="1"/>
        <v>1</v>
      </c>
      <c r="E1201">
        <f ca="1"/>
        <v>96.674059478445258</v>
      </c>
      <c r="F1201">
        <f ca="1"/>
        <v>0.65193976335293002</v>
      </c>
      <c r="G1201">
        <f ca="1"/>
        <v>-6.7436887089477038E-3</v>
      </c>
      <c r="H1201">
        <f ca="1"/>
        <v>94.250290359004666</v>
      </c>
      <c r="I1201">
        <f ca="1"/>
        <v>-0.93895527460343431</v>
      </c>
      <c r="J1201">
        <f ca="1"/>
        <v>3.477672294392363</v>
      </c>
      <c r="K1201">
        <f ca="1"/>
        <v>0</v>
      </c>
      <c r="L1201">
        <f ca="1"/>
        <v>3.3259405215547417</v>
      </c>
    </row>
    <row r="1202" spans="2:12">
      <c r="B1202">
        <v>0.2384</v>
      </c>
      <c r="C1202">
        <f ca="1"/>
        <v>-0.15138057610389749</v>
      </c>
      <c r="D1202">
        <f ca="1"/>
        <v>1</v>
      </c>
      <c r="E1202">
        <f ca="1"/>
        <v>96.556281930103637</v>
      </c>
      <c r="F1202">
        <f ca="1"/>
        <v>0.7733831834185112</v>
      </c>
      <c r="G1202">
        <f ca="1"/>
        <v>-8.0096620122381834E-3</v>
      </c>
      <c r="H1202">
        <f ca="1"/>
        <v>95.023673542423182</v>
      </c>
      <c r="I1202">
        <f ca="1"/>
        <v>-0.94696493661567249</v>
      </c>
      <c r="J1202">
        <f ca="1"/>
        <v>3.5882601446375872</v>
      </c>
      <c r="K1202">
        <f ca="1"/>
        <v>0</v>
      </c>
      <c r="L1202">
        <f ca="1"/>
        <v>3.443718069896363</v>
      </c>
    </row>
    <row r="1203" spans="2:12">
      <c r="B1203">
        <v>0.23860000000000001</v>
      </c>
      <c r="C1203">
        <f ca="1"/>
        <v>-0.14879021422680944</v>
      </c>
      <c r="D1203">
        <f ca="1"/>
        <v>1</v>
      </c>
      <c r="E1203">
        <f ca="1"/>
        <v>96.605931607987443</v>
      </c>
      <c r="F1203">
        <f ca="1"/>
        <v>-0.1028382946318549</v>
      </c>
      <c r="G1203">
        <f ca="1"/>
        <v>1.0645132542084212E-3</v>
      </c>
      <c r="H1203">
        <f ca="1"/>
        <v>94.920835247791331</v>
      </c>
      <c r="I1203">
        <f ca="1"/>
        <v>-0.94590042336146407</v>
      </c>
      <c r="J1203">
        <f ca="1"/>
        <v>3.5412436405673589</v>
      </c>
      <c r="K1203">
        <f ca="1"/>
        <v>0</v>
      </c>
      <c r="L1203">
        <f ca="1"/>
        <v>3.3940683920125565</v>
      </c>
    </row>
    <row r="1204" spans="2:12">
      <c r="B1204">
        <v>0.23880000000000001</v>
      </c>
      <c r="C1204">
        <f ca="1"/>
        <v>-0.1600305416608809</v>
      </c>
      <c r="D1204">
        <f ca="1"/>
        <v>1</v>
      </c>
      <c r="E1204">
        <f ca="1"/>
        <v>96.38861352272076</v>
      </c>
      <c r="F1204">
        <f ca="1"/>
        <v>1.1599833193620683</v>
      </c>
      <c r="G1204">
        <f ca="1"/>
        <v>-1.2034443457251687E-2</v>
      </c>
      <c r="H1204">
        <f ca="1"/>
        <v>96.080818567153401</v>
      </c>
      <c r="I1204">
        <f ca="1"/>
        <v>-0.95793486681871576</v>
      </c>
      <c r="J1204">
        <f ca="1"/>
        <v>3.7468049094252223</v>
      </c>
      <c r="K1204">
        <f ca="1"/>
        <v>0</v>
      </c>
      <c r="L1204">
        <f ca="1"/>
        <v>3.6113864772792397</v>
      </c>
    </row>
    <row r="1205" spans="2:12">
      <c r="B1205">
        <v>0.23900000000000002</v>
      </c>
      <c r="C1205">
        <f ca="1"/>
        <v>-0.1524223502017715</v>
      </c>
      <c r="D1205">
        <f ca="1"/>
        <v>1</v>
      </c>
      <c r="E1205">
        <f ca="1"/>
        <v>96.535007632053251</v>
      </c>
      <c r="F1205">
        <f ca="1"/>
        <v>-0.51427685846242033</v>
      </c>
      <c r="G1205">
        <f ca="1"/>
        <v>5.3273612451827379E-3</v>
      </c>
      <c r="H1205">
        <f ca="1"/>
        <v>95.566541708690977</v>
      </c>
      <c r="I1205">
        <f ca="1"/>
        <v>-0.95260750557353302</v>
      </c>
      <c r="J1205">
        <f ca="1"/>
        <v>3.6065688877987583</v>
      </c>
      <c r="K1205">
        <f ca="1"/>
        <v>0</v>
      </c>
      <c r="L1205">
        <f ca="1"/>
        <v>3.4649923679467491</v>
      </c>
    </row>
    <row r="1206" spans="2:12">
      <c r="B1206">
        <v>0.23920000000000002</v>
      </c>
      <c r="C1206">
        <f ca="1"/>
        <v>-0.13601756019932715</v>
      </c>
      <c r="D1206">
        <f ca="1"/>
        <v>1</v>
      </c>
      <c r="E1206">
        <f ca="1"/>
        <v>96.851867682630385</v>
      </c>
      <c r="F1206">
        <f ca="1"/>
        <v>-1.5291343570838798</v>
      </c>
      <c r="G1206">
        <f ca="1"/>
        <v>1.578838275060046E-2</v>
      </c>
      <c r="H1206">
        <f ca="1"/>
        <v>94.037407351607101</v>
      </c>
      <c r="I1206">
        <f ca="1"/>
        <v>-0.93681912282293256</v>
      </c>
      <c r="J1206">
        <f ca="1"/>
        <v>3.3047256254025683</v>
      </c>
      <c r="K1206">
        <f ca="1"/>
        <v>0</v>
      </c>
      <c r="L1206">
        <f ca="1"/>
        <v>3.1481323173696154</v>
      </c>
    </row>
    <row r="1207" spans="2:12">
      <c r="B1207">
        <v>0.2394</v>
      </c>
      <c r="C1207">
        <f ca="1"/>
        <v>-0.1220548797216176</v>
      </c>
      <c r="D1207">
        <f ca="1"/>
        <v>1</v>
      </c>
      <c r="E1207">
        <f ca="1"/>
        <v>97.122319518686254</v>
      </c>
      <c r="F1207">
        <f ca="1"/>
        <v>-1.5951704462299738</v>
      </c>
      <c r="G1207">
        <f ca="1"/>
        <v>1.642434462166098E-2</v>
      </c>
      <c r="H1207">
        <f ca="1"/>
        <v>92.442236905377129</v>
      </c>
      <c r="I1207">
        <f ca="1"/>
        <v>-0.92039477820127158</v>
      </c>
      <c r="J1207">
        <f ca="1"/>
        <v>3.0513611735828619</v>
      </c>
      <c r="K1207">
        <f ca="1"/>
        <v>0</v>
      </c>
      <c r="L1207">
        <f ca="1"/>
        <v>2.877680481313746</v>
      </c>
    </row>
    <row r="1208" spans="2:12">
      <c r="B1208">
        <v>0.23960000000000001</v>
      </c>
      <c r="C1208">
        <f ca="1"/>
        <v>-0.1165651394246263</v>
      </c>
      <c r="D1208">
        <f ca="1"/>
        <v>1</v>
      </c>
      <c r="E1208">
        <f ca="1"/>
        <v>97.228624427070642</v>
      </c>
      <c r="F1208">
        <f ca="1"/>
        <v>-0.5918994264244003</v>
      </c>
      <c r="G1208">
        <f ca="1"/>
        <v>6.0877075029316385E-3</v>
      </c>
      <c r="H1208">
        <f ca="1"/>
        <v>91.850337478952724</v>
      </c>
      <c r="I1208">
        <f ca="1"/>
        <v>-0.91430707069833994</v>
      </c>
      <c r="J1208">
        <f ca="1"/>
        <v>2.9535186910087106</v>
      </c>
      <c r="K1208">
        <f ca="1"/>
        <v>0</v>
      </c>
      <c r="L1208">
        <f ca="1"/>
        <v>2.7713755729293581</v>
      </c>
    </row>
    <row r="1209" spans="2:12">
      <c r="B1209">
        <v>0.23980000000000001</v>
      </c>
      <c r="C1209">
        <f ca="1"/>
        <v>-0.10131110182696751</v>
      </c>
      <c r="D1209">
        <f ca="1"/>
        <v>1</v>
      </c>
      <c r="E1209">
        <f ca="1"/>
        <v>97.5253130781811</v>
      </c>
      <c r="F1209">
        <f ca="1"/>
        <v>-2.2984922202682903</v>
      </c>
      <c r="G1209">
        <f ca="1"/>
        <v>2.3568160385455061E-2</v>
      </c>
      <c r="H1209">
        <f ca="1"/>
        <v>89.551845258684438</v>
      </c>
      <c r="I1209">
        <f ca="1"/>
        <v>-0.89073891031288488</v>
      </c>
      <c r="J1209">
        <f ca="1"/>
        <v>2.6822541595024632</v>
      </c>
      <c r="K1209">
        <f ca="1"/>
        <v>0</v>
      </c>
      <c r="L1209">
        <f ca="1"/>
        <v>2.4746869218189005</v>
      </c>
    </row>
    <row r="1210" spans="2:12">
      <c r="B1210">
        <v>0.24000000000000002</v>
      </c>
      <c r="C1210">
        <f ca="1"/>
        <v>-9.2654159688961096E-2</v>
      </c>
      <c r="D1210">
        <f ca="1"/>
        <v>1</v>
      </c>
      <c r="E1210">
        <f ca="1"/>
        <v>97.69392276067191</v>
      </c>
      <c r="F1210">
        <f ca="1"/>
        <v>-1.4135097234238621</v>
      </c>
      <c r="G1210">
        <f ca="1"/>
        <v>1.4468757968565171E-2</v>
      </c>
      <c r="H1210">
        <f ca="1"/>
        <v>88.13833553526058</v>
      </c>
      <c r="I1210">
        <f ca="1"/>
        <v>-0.87627015234431971</v>
      </c>
      <c r="J1210">
        <f ca="1"/>
        <v>2.5320669546524073</v>
      </c>
      <c r="K1210">
        <f ca="1"/>
        <v>0</v>
      </c>
      <c r="L1210">
        <f ca="1"/>
        <v>2.3060772393280899</v>
      </c>
    </row>
    <row r="1211" spans="2:12">
      <c r="B1211">
        <v>0.24020000000000002</v>
      </c>
      <c r="C1211">
        <f ca="1"/>
        <v>-7.6807607662752742E-2</v>
      </c>
      <c r="D1211">
        <f ca="1"/>
        <v>1</v>
      </c>
      <c r="E1211">
        <f ca="1"/>
        <v>98.003644274684149</v>
      </c>
      <c r="F1211">
        <f ca="1"/>
        <v>-3.219444372794066</v>
      </c>
      <c r="G1211">
        <f ca="1"/>
        <v>3.2850251606671099E-2</v>
      </c>
      <c r="H1211">
        <f ca="1"/>
        <v>84.918891162466508</v>
      </c>
      <c r="I1211">
        <f ca="1"/>
        <v>-0.84341990073764861</v>
      </c>
      <c r="J1211">
        <f ca="1"/>
        <v>2.2606672363845774</v>
      </c>
      <c r="K1211">
        <f ca="1"/>
        <v>0</v>
      </c>
      <c r="L1211">
        <f ca="1"/>
        <v>1.9963557253158513</v>
      </c>
    </row>
    <row r="1212" spans="2:12">
      <c r="B1212">
        <v>0.2404</v>
      </c>
      <c r="C1212">
        <f ca="1"/>
        <v>-7.6193177708791873E-2</v>
      </c>
      <c r="D1212">
        <f ca="1"/>
        <v>1</v>
      </c>
      <c r="E1212">
        <f ca="1"/>
        <v>98.015296227648236</v>
      </c>
      <c r="F1212">
        <f ca="1"/>
        <v>0.10766062206483276</v>
      </c>
      <c r="G1212">
        <f ca="1"/>
        <v>-1.0984063325665261E-3</v>
      </c>
      <c r="H1212">
        <f ca="1"/>
        <v>85.026551784531335</v>
      </c>
      <c r="I1212">
        <f ca="1"/>
        <v>-0.84451830707021514</v>
      </c>
      <c r="J1212">
        <f ca="1"/>
        <v>2.2508397473721971</v>
      </c>
      <c r="K1212">
        <f ca="1"/>
        <v>0</v>
      </c>
      <c r="L1212">
        <f ca="1"/>
        <v>1.9847037723517644</v>
      </c>
    </row>
    <row r="1213" spans="2:12">
      <c r="B1213">
        <v>0.24060000000000001</v>
      </c>
      <c r="C1213">
        <f ca="1"/>
        <v>-6.7257421916473561E-2</v>
      </c>
      <c r="D1213">
        <f ca="1"/>
        <v>1</v>
      </c>
      <c r="E1213">
        <f ca="1"/>
        <v>98.190228235418331</v>
      </c>
      <c r="F1213">
        <f ca="1"/>
        <v>-1.9777619554381141</v>
      </c>
      <c r="G1213">
        <f ca="1"/>
        <v>2.0142146433311914E-2</v>
      </c>
      <c r="H1213">
        <f ca="1"/>
        <v>83.048789829093224</v>
      </c>
      <c r="I1213">
        <f ca="1"/>
        <v>-0.82437616063690322</v>
      </c>
      <c r="J1213">
        <f ca="1"/>
        <v>2.1031064643178041</v>
      </c>
      <c r="K1213">
        <f ca="1"/>
        <v>0</v>
      </c>
      <c r="L1213">
        <f ca="1"/>
        <v>1.8097717645816687</v>
      </c>
    </row>
    <row r="1214" spans="2:12">
      <c r="B1214">
        <v>0.24080000000000001</v>
      </c>
      <c r="C1214">
        <f ca="1"/>
        <v>-8.6932193807611524E-2</v>
      </c>
      <c r="D1214">
        <f ca="1"/>
        <v>1</v>
      </c>
      <c r="E1214">
        <f ca="1"/>
        <v>97.804222135305523</v>
      </c>
      <c r="F1214">
        <f ca="1"/>
        <v>4.8996298440248465</v>
      </c>
      <c r="G1214">
        <f ca="1"/>
        <v>-5.0096301949485778E-2</v>
      </c>
      <c r="H1214">
        <f ca="1"/>
        <v>87.948419673118067</v>
      </c>
      <c r="I1214">
        <f ca="1"/>
        <v>-0.874472462586389</v>
      </c>
      <c r="J1214">
        <f ca="1"/>
        <v>2.4213206911112337</v>
      </c>
      <c r="K1214">
        <f ca="1"/>
        <v>0</v>
      </c>
      <c r="L1214">
        <f ca="1"/>
        <v>2.1957778646944774</v>
      </c>
    </row>
    <row r="1215" spans="2:12">
      <c r="B1215">
        <v>0.24100000000000002</v>
      </c>
      <c r="C1215">
        <f ca="1"/>
        <v>-7.6932416291510236E-2</v>
      </c>
      <c r="D1215">
        <f ca="1"/>
        <v>1</v>
      </c>
      <c r="E1215">
        <f ca="1"/>
        <v>97.999629958501927</v>
      </c>
      <c r="F1215">
        <f ca="1"/>
        <v>-1.967193755494467</v>
      </c>
      <c r="G1215">
        <f ca="1"/>
        <v>2.0073481464445098E-2</v>
      </c>
      <c r="H1215">
        <f ca="1"/>
        <v>85.981225917623604</v>
      </c>
      <c r="I1215">
        <f ca="1"/>
        <v>-0.8543989811219439</v>
      </c>
      <c r="J1215">
        <f ca="1"/>
        <v>2.2504419307520322</v>
      </c>
      <c r="K1215">
        <f ca="1"/>
        <v>0</v>
      </c>
      <c r="L1215">
        <f ca="1"/>
        <v>2.0003700414980727</v>
      </c>
    </row>
    <row r="1216" spans="2:12">
      <c r="B1216">
        <v>0.2412</v>
      </c>
      <c r="C1216">
        <f ca="1"/>
        <v>-7.2669460257833787E-2</v>
      </c>
      <c r="D1216">
        <f ca="1"/>
        <v>1</v>
      </c>
      <c r="E1216">
        <f ca="1"/>
        <v>98.082826877842564</v>
      </c>
      <c r="F1216">
        <f ca="1"/>
        <v>-0.75476676080664007</v>
      </c>
      <c r="G1216">
        <f ca="1"/>
        <v>7.6951978733919013E-3</v>
      </c>
      <c r="H1216">
        <f ca="1"/>
        <v>85.226459156816958</v>
      </c>
      <c r="I1216">
        <f ca="1"/>
        <v>-0.846703783248552</v>
      </c>
      <c r="J1216">
        <f ca="1"/>
        <v>2.1793585676348926</v>
      </c>
      <c r="K1216">
        <f ca="1"/>
        <v>0</v>
      </c>
      <c r="L1216">
        <f ca="1"/>
        <v>1.9171731221574362</v>
      </c>
    </row>
    <row r="1217" spans="2:12">
      <c r="B1217">
        <v>0.2414</v>
      </c>
      <c r="C1217">
        <f ca="1"/>
        <v>-0.11301232471426456</v>
      </c>
      <c r="D1217">
        <f ca="1"/>
        <v>1</v>
      </c>
      <c r="E1217">
        <f ca="1"/>
        <v>97.29423338021418</v>
      </c>
      <c r="F1217">
        <f ca="1"/>
        <v>8.0240223725977344</v>
      </c>
      <c r="G1217">
        <f ca="1"/>
        <v>-8.2471715885162666E-2</v>
      </c>
      <c r="H1217">
        <f ca="1"/>
        <v>93.250481529414685</v>
      </c>
      <c r="I1217">
        <f ca="1"/>
        <v>-0.92917549913371467</v>
      </c>
      <c r="J1217">
        <f ca="1"/>
        <v>2.8470636655220574</v>
      </c>
      <c r="K1217">
        <f ca="1"/>
        <v>0</v>
      </c>
      <c r="L1217">
        <f ca="1"/>
        <v>2.7057666197858197</v>
      </c>
    </row>
    <row r="1218" spans="2:12">
      <c r="B1218">
        <v>0.24160000000000001</v>
      </c>
      <c r="C1218">
        <f ca="1"/>
        <v>-0.12053151135055958</v>
      </c>
      <c r="D1218">
        <f ca="1"/>
        <v>1</v>
      </c>
      <c r="E1218">
        <f ca="1"/>
        <v>97.147640050617809</v>
      </c>
      <c r="F1218">
        <f ca="1"/>
        <v>1.2206043615675393</v>
      </c>
      <c r="G1218">
        <f ca="1"/>
        <v>-1.2564426278719232E-2</v>
      </c>
      <c r="H1218">
        <f ca="1"/>
        <v>94.471085890982224</v>
      </c>
      <c r="I1218">
        <f ca="1"/>
        <v>-0.9417399254124339</v>
      </c>
      <c r="J1218">
        <f ca="1"/>
        <v>2.9832745957194362</v>
      </c>
      <c r="K1218">
        <f ca="1"/>
        <v>0</v>
      </c>
      <c r="L1218">
        <f ca="1"/>
        <v>2.8523599493821905</v>
      </c>
    </row>
    <row r="1219" spans="2:12">
      <c r="B1219">
        <v>0.24180000000000001</v>
      </c>
      <c r="C1219">
        <f ca="1"/>
        <v>-0.12547878974074364</v>
      </c>
      <c r="D1219">
        <f ca="1"/>
        <v>1</v>
      </c>
      <c r="E1219">
        <f ca="1"/>
        <v>97.051176100265039</v>
      </c>
      <c r="F1219">
        <f ca="1"/>
        <v>0.78958507124390176</v>
      </c>
      <c r="G1219">
        <f ca="1"/>
        <v>-8.1357599461563401E-3</v>
      </c>
      <c r="H1219">
        <f ca="1"/>
        <v>95.260670962226129</v>
      </c>
      <c r="I1219">
        <f ca="1"/>
        <v>-0.94987568535859024</v>
      </c>
      <c r="J1219">
        <f ca="1"/>
        <v>3.0741185491296363</v>
      </c>
      <c r="K1219">
        <f ca="1"/>
        <v>0</v>
      </c>
      <c r="L1219">
        <f ca="1"/>
        <v>2.9488238997349612</v>
      </c>
    </row>
    <row r="1220" spans="2:12">
      <c r="B1220">
        <v>0.24200000000000002</v>
      </c>
      <c r="C1220">
        <f ca="1"/>
        <v>-0.12754080272544469</v>
      </c>
      <c r="D1220">
        <f ca="1"/>
        <v>1</v>
      </c>
      <c r="E1220">
        <f ca="1"/>
        <v>97.010772151239237</v>
      </c>
      <c r="F1220">
        <f ca="1"/>
        <v>0.42465140227045578</v>
      </c>
      <c r="G1220">
        <f ca="1"/>
        <v>-4.3773633881444285E-3</v>
      </c>
      <c r="H1220">
        <f ca="1"/>
        <v>95.685322364496585</v>
      </c>
      <c r="I1220">
        <f ca="1"/>
        <v>-0.95425304874673467</v>
      </c>
      <c r="J1220">
        <f ca="1"/>
        <v>3.1124972779017241</v>
      </c>
      <c r="K1220">
        <f ca="1"/>
        <v>0</v>
      </c>
      <c r="L1220">
        <f ca="1"/>
        <v>2.9892278487607626</v>
      </c>
    </row>
    <row r="1221" spans="2:12">
      <c r="B1221">
        <v>0.2422</v>
      </c>
      <c r="C1221">
        <f ca="1"/>
        <v>-0.14977660999014983</v>
      </c>
      <c r="D1221">
        <f ca="1"/>
        <v>1</v>
      </c>
      <c r="E1221">
        <f ca="1"/>
        <v>96.579921146775987</v>
      </c>
      <c r="F1221">
        <f ca="1"/>
        <v>2.0112247141467425</v>
      </c>
      <c r="G1221">
        <f ca="1"/>
        <v>-2.0824460097562225E-2</v>
      </c>
      <c r="H1221">
        <f ca="1"/>
        <v>97.696547078643334</v>
      </c>
      <c r="I1221">
        <f ca="1"/>
        <v>-0.97507750884429689</v>
      </c>
      <c r="J1221">
        <f ca="1"/>
        <v>3.5236381624663693</v>
      </c>
      <c r="K1221">
        <f ca="1"/>
        <v>0</v>
      </c>
      <c r="L1221">
        <f ca="1"/>
        <v>3.4200788532240125</v>
      </c>
    </row>
    <row r="1222" spans="2:12">
      <c r="B1222">
        <v>0.2424</v>
      </c>
      <c r="C1222">
        <f ca="1"/>
        <v>-0.1316669579469297</v>
      </c>
      <c r="D1222">
        <f ca="1"/>
        <v>1</v>
      </c>
      <c r="E1222">
        <f ca="1"/>
        <v>96.929973430927362</v>
      </c>
      <c r="F1222">
        <f ca="1"/>
        <v>-1.225535145343055</v>
      </c>
      <c r="G1222">
        <f ca="1"/>
        <v>1.2643510587737605E-2</v>
      </c>
      <c r="H1222">
        <f ca="1"/>
        <v>96.471011933300275</v>
      </c>
      <c r="I1222">
        <f ca="1"/>
        <v>-0.96243399825655929</v>
      </c>
      <c r="J1222">
        <f ca="1"/>
        <v>3.1823100532707969</v>
      </c>
      <c r="K1222">
        <f ca="1"/>
        <v>0</v>
      </c>
      <c r="L1222">
        <f ca="1"/>
        <v>3.0700265690726383</v>
      </c>
    </row>
    <row r="1223" spans="2:12">
      <c r="B1223">
        <v>0.24260000000000001</v>
      </c>
      <c r="C1223">
        <f ca="1"/>
        <v>-0.14220066214639099</v>
      </c>
      <c r="D1223">
        <f ca="1"/>
        <v>1</v>
      </c>
      <c r="E1223">
        <f ca="1"/>
        <v>96.725595148070539</v>
      </c>
      <c r="F1223">
        <f ca="1"/>
        <v>1.0197531215143434</v>
      </c>
      <c r="G1223">
        <f ca="1"/>
        <v>-1.0542743313734837E-2</v>
      </c>
      <c r="H1223">
        <f ca="1"/>
        <v>97.490765054814617</v>
      </c>
      <c r="I1223">
        <f ca="1"/>
        <v>-0.97297674157029412</v>
      </c>
      <c r="J1223">
        <f ca="1"/>
        <v>3.3790106611974977</v>
      </c>
      <c r="K1223">
        <f ca="1"/>
        <v>0</v>
      </c>
      <c r="L1223">
        <f ca="1"/>
        <v>3.2744048519294608</v>
      </c>
    </row>
    <row r="1224" spans="2:12">
      <c r="B1224">
        <v>0.24280000000000002</v>
      </c>
      <c r="C1224">
        <f ca="1"/>
        <v>-0.15349702553086114</v>
      </c>
      <c r="D1224">
        <f ca="1"/>
        <v>1</v>
      </c>
      <c r="E1224">
        <f ca="1"/>
        <v>96.506926298374495</v>
      </c>
      <c r="F1224">
        <f ca="1"/>
        <v>0.82636767244224074</v>
      </c>
      <c r="G1224">
        <f ca="1"/>
        <v>-8.5627809747802486E-3</v>
      </c>
      <c r="H1224">
        <f ca="1"/>
        <v>98.317132727256862</v>
      </c>
      <c r="I1224">
        <f ca="1"/>
        <v>-0.98153952254507437</v>
      </c>
      <c r="J1224">
        <f ca="1"/>
        <v>3.5917703660576734</v>
      </c>
      <c r="K1224">
        <f ca="1"/>
        <v>0</v>
      </c>
      <c r="L1224">
        <f ca="1"/>
        <v>3.4930737016255051</v>
      </c>
    </row>
    <row r="1225" spans="2:12">
      <c r="B1225">
        <v>0.24300000000000002</v>
      </c>
      <c r="C1225">
        <f ca="1"/>
        <v>-0.15420879375847835</v>
      </c>
      <c r="D1225">
        <f ca="1"/>
        <v>1</v>
      </c>
      <c r="E1225">
        <f ca="1"/>
        <v>96.492803191401762</v>
      </c>
      <c r="F1225">
        <f ca="1"/>
        <v>0.16176179650041159</v>
      </c>
      <c r="G1225">
        <f ca="1"/>
        <v>-1.676413070719307E-3</v>
      </c>
      <c r="H1225">
        <f ca="1"/>
        <v>98.478894523757276</v>
      </c>
      <c r="I1225">
        <f ca="1"/>
        <v>-0.98321593561579368</v>
      </c>
      <c r="J1225">
        <f ca="1"/>
        <v>3.6056327537325501</v>
      </c>
      <c r="K1225">
        <f ca="1"/>
        <v>0</v>
      </c>
      <c r="L1225">
        <f ca="1"/>
        <v>3.5071968085982377</v>
      </c>
    </row>
    <row r="1226" spans="2:12">
      <c r="B1226">
        <v>0.2432</v>
      </c>
      <c r="C1226">
        <f ca="1"/>
        <v>-0.16118297939623641</v>
      </c>
      <c r="D1226">
        <f ca="1"/>
        <v>1</v>
      </c>
      <c r="E1226">
        <f ca="1"/>
        <v>96.357919837672014</v>
      </c>
      <c r="F1226">
        <f ca="1"/>
        <v>0.41250764713668392</v>
      </c>
      <c r="G1226">
        <f ca="1"/>
        <v>-4.2809936934256054E-3</v>
      </c>
      <c r="H1226">
        <f ca="1"/>
        <v>98.891402170893954</v>
      </c>
      <c r="I1226">
        <f ca="1"/>
        <v>-0.98749692930921928</v>
      </c>
      <c r="J1226">
        <f ca="1"/>
        <v>3.738252216568938</v>
      </c>
      <c r="K1226">
        <f ca="1"/>
        <v>0</v>
      </c>
      <c r="L1226">
        <f ca="1"/>
        <v>3.6420801623279857</v>
      </c>
    </row>
    <row r="1227" spans="2:12">
      <c r="B1227">
        <v>0.24340000000000001</v>
      </c>
      <c r="C1227">
        <f ca="1"/>
        <v>-0.13151096753415273</v>
      </c>
      <c r="D1227">
        <f ca="1"/>
        <v>1</v>
      </c>
      <c r="E1227">
        <f ca="1"/>
        <v>96.931058866849327</v>
      </c>
      <c r="F1227">
        <f ca="1"/>
        <v>-1.5069133490213884</v>
      </c>
      <c r="G1227">
        <f ca="1"/>
        <v>1.5546238394974932E-2</v>
      </c>
      <c r="H1227">
        <f ca="1"/>
        <v>97.384488821872566</v>
      </c>
      <c r="I1227">
        <f ca="1"/>
        <v>-0.97195069091424435</v>
      </c>
      <c r="J1227">
        <f ca="1"/>
        <v>3.172279185189069</v>
      </c>
      <c r="K1227">
        <f ca="1"/>
        <v>0</v>
      </c>
      <c r="L1227">
        <f ca="1"/>
        <v>3.0689411331506733</v>
      </c>
    </row>
    <row r="1228" spans="2:12">
      <c r="B1228">
        <v>0.24360000000000001</v>
      </c>
      <c r="C1228">
        <f ca="1"/>
        <v>-0.13780437657232553</v>
      </c>
      <c r="D1228">
        <f ca="1"/>
        <v>1</v>
      </c>
      <c r="E1228">
        <f ca="1"/>
        <v>96.808743021471116</v>
      </c>
      <c r="F1228">
        <f ca="1"/>
        <v>0.61072204261499452</v>
      </c>
      <c r="G1228">
        <f ca="1"/>
        <v>-6.3085422199887775E-3</v>
      </c>
      <c r="H1228">
        <f ca="1"/>
        <v>97.995210864487561</v>
      </c>
      <c r="I1228">
        <f ca="1"/>
        <v>-0.97825923313423313</v>
      </c>
      <c r="J1228">
        <f ca="1"/>
        <v>3.2911641556141831</v>
      </c>
      <c r="K1228">
        <f ca="1"/>
        <v>0</v>
      </c>
      <c r="L1228">
        <f ca="1"/>
        <v>3.1912569785288838</v>
      </c>
    </row>
    <row r="1229" spans="2:12">
      <c r="B1229">
        <v>0.24380000000000002</v>
      </c>
      <c r="C1229">
        <f ca="1"/>
        <v>-0.15322089552257928</v>
      </c>
      <c r="D1229">
        <f ca="1"/>
        <v>1</v>
      </c>
      <c r="E1229">
        <f ca="1"/>
        <v>96.51032591139716</v>
      </c>
      <c r="F1229">
        <f ca="1"/>
        <v>0.91123269426426545</v>
      </c>
      <c r="G1229">
        <f ca="1"/>
        <v>-9.4418155327838926E-3</v>
      </c>
      <c r="H1229">
        <f ca="1"/>
        <v>98.906443558751832</v>
      </c>
      <c r="I1229">
        <f ca="1"/>
        <v>-0.98770104866701702</v>
      </c>
      <c r="J1229">
        <f ca="1"/>
        <v>3.5830934488692776</v>
      </c>
      <c r="K1229">
        <f ca="1"/>
        <v>0</v>
      </c>
      <c r="L1229">
        <f ca="1"/>
        <v>3.4896740886028397</v>
      </c>
    </row>
    <row r="1230" spans="2:12">
      <c r="B1230">
        <v>0.24400000000000002</v>
      </c>
      <c r="C1230">
        <f ca="1"/>
        <v>-0.13853982804067672</v>
      </c>
      <c r="D1230">
        <f ca="1"/>
        <v>1</v>
      </c>
      <c r="E1230">
        <f ca="1"/>
        <v>96.79373008929619</v>
      </c>
      <c r="F1230">
        <f ca="1"/>
        <v>-0.5566702408802221</v>
      </c>
      <c r="G1230">
        <f ca="1"/>
        <v>5.7510981379338411E-3</v>
      </c>
      <c r="H1230">
        <f ca="1"/>
        <v>98.349773317871609</v>
      </c>
      <c r="I1230">
        <f ca="1"/>
        <v>-0.98194995052908318</v>
      </c>
      <c r="J1230">
        <f ca="1"/>
        <v>3.3031748451617915</v>
      </c>
      <c r="K1230">
        <f ca="1"/>
        <v>0</v>
      </c>
      <c r="L1230">
        <f ca="1"/>
        <v>3.20626991070381</v>
      </c>
    </row>
    <row r="1231" spans="2:12">
      <c r="B1231">
        <v>0.2442</v>
      </c>
      <c r="C1231">
        <f ca="1"/>
        <v>-0.15081358876772435</v>
      </c>
      <c r="D1231">
        <f ca="1"/>
        <v>1</v>
      </c>
      <c r="E1231">
        <f ca="1"/>
        <v>96.556030639543209</v>
      </c>
      <c r="F1231">
        <f ca="1"/>
        <v>0.6889351757795863</v>
      </c>
      <c r="G1231">
        <f ca="1"/>
        <v>-7.1350817884330286E-3</v>
      </c>
      <c r="H1231">
        <f ca="1"/>
        <v>99.0387084936512</v>
      </c>
      <c r="I1231">
        <f ca="1"/>
        <v>-0.98908503231751621</v>
      </c>
      <c r="J1231">
        <f ca="1"/>
        <v>3.5365838080875136</v>
      </c>
      <c r="K1231">
        <f ca="1"/>
        <v>0</v>
      </c>
      <c r="L1231">
        <f ca="1"/>
        <v>3.4439693604567907</v>
      </c>
    </row>
    <row r="1232" spans="2:12">
      <c r="B1232">
        <v>0.24440000000000001</v>
      </c>
      <c r="C1232">
        <f ca="1"/>
        <v>-0.15402436104113856</v>
      </c>
      <c r="D1232">
        <f ca="1"/>
        <v>1</v>
      </c>
      <c r="E1232">
        <f ca="1"/>
        <v>96.49366068270173</v>
      </c>
      <c r="F1232">
        <f ca="1"/>
        <v>0.21191267490598367</v>
      </c>
      <c r="G1232">
        <f ca="1"/>
        <v>-2.1961305375574058E-3</v>
      </c>
      <c r="H1232">
        <f ca="1"/>
        <v>99.250621168557188</v>
      </c>
      <c r="I1232">
        <f ca="1"/>
        <v>-0.99128116285507362</v>
      </c>
      <c r="J1232">
        <f ca="1"/>
        <v>3.598272998865724</v>
      </c>
      <c r="K1232">
        <f ca="1"/>
        <v>0</v>
      </c>
      <c r="L1232">
        <f ca="1"/>
        <v>3.50633931729827</v>
      </c>
    </row>
    <row r="1233" spans="2:12">
      <c r="B1233">
        <v>0.24460000000000001</v>
      </c>
      <c r="C1233">
        <f ca="1"/>
        <v>-0.16079916224405338</v>
      </c>
      <c r="D1233">
        <f ca="1"/>
        <v>1</v>
      </c>
      <c r="E1233">
        <f ca="1"/>
        <v>96.3626186949583</v>
      </c>
      <c r="F1233">
        <f ca="1"/>
        <v>0.26455352111534447</v>
      </c>
      <c r="G1233">
        <f ca="1"/>
        <v>-2.7453957218909197E-3</v>
      </c>
      <c r="H1233">
        <f ca="1"/>
        <v>99.515174689672534</v>
      </c>
      <c r="I1233">
        <f ca="1"/>
        <v>-0.99402655857696454</v>
      </c>
      <c r="J1233">
        <f ca="1"/>
        <v>3.7281724528588711</v>
      </c>
      <c r="K1233">
        <f ca="1"/>
        <v>0</v>
      </c>
      <c r="L1233">
        <f ca="1"/>
        <v>3.6373813050416999</v>
      </c>
    </row>
    <row r="1234" spans="2:12">
      <c r="B1234">
        <v>0.24480000000000002</v>
      </c>
      <c r="C1234">
        <f ca="1"/>
        <v>-0.16133388541476837</v>
      </c>
      <c r="D1234">
        <f ca="1"/>
        <v>1</v>
      </c>
      <c r="E1234">
        <f ca="1"/>
        <v>96.351928372510059</v>
      </c>
      <c r="F1234">
        <f ca="1"/>
        <v>8.4993036786589135E-2</v>
      </c>
      <c r="G1234">
        <f ca="1"/>
        <v>-8.8211038660268581E-4</v>
      </c>
      <c r="H1234">
        <f ca="1"/>
        <v>99.600167726459119</v>
      </c>
      <c r="I1234">
        <f ca="1"/>
        <v>-0.99490866896356722</v>
      </c>
      <c r="J1234">
        <f ca="1"/>
        <v>3.7387989172921721</v>
      </c>
      <c r="K1234">
        <f ca="1"/>
        <v>0</v>
      </c>
      <c r="L1234">
        <f ca="1"/>
        <v>3.6480716274899407</v>
      </c>
    </row>
    <row r="1235" spans="2:12">
      <c r="B1235">
        <v>0.24500000000000002</v>
      </c>
      <c r="C1235">
        <f ca="1"/>
        <v>-0.17063973131775431</v>
      </c>
      <c r="D1235">
        <f ca="1"/>
        <v>1</v>
      </c>
      <c r="E1235">
        <f ca="1"/>
        <v>96.172383218313584</v>
      </c>
      <c r="F1235">
        <f ca="1"/>
        <v>0.20535887373257347</v>
      </c>
      <c r="G1235">
        <f ca="1"/>
        <v>-2.1353206280269044E-3</v>
      </c>
      <c r="H1235">
        <f ca="1"/>
        <v>99.805526600191698</v>
      </c>
      <c r="I1235">
        <f ca="1"/>
        <v>-0.99704398959159413</v>
      </c>
      <c r="J1235">
        <f ca="1"/>
        <v>3.9174299476726446</v>
      </c>
      <c r="K1235">
        <f ca="1"/>
        <v>0</v>
      </c>
      <c r="L1235">
        <f ca="1"/>
        <v>3.8276167816864159</v>
      </c>
    </row>
    <row r="1236" spans="2:12">
      <c r="B1236">
        <v>0.2452</v>
      </c>
      <c r="C1236">
        <f ca="1"/>
        <v>-0.15562013715357115</v>
      </c>
      <c r="D1236">
        <f ca="1"/>
        <v>1</v>
      </c>
      <c r="E1236">
        <f ca="1"/>
        <v>96.461325747301004</v>
      </c>
      <c r="F1236">
        <f ca="1"/>
        <v>-0.17351147980632634</v>
      </c>
      <c r="G1236">
        <f ca="1"/>
        <v>1.7987673138649685E-3</v>
      </c>
      <c r="H1236">
        <f ca="1"/>
        <v>99.632015120385375</v>
      </c>
      <c r="I1236">
        <f ca="1"/>
        <v>-0.99524522227772916</v>
      </c>
      <c r="J1236">
        <f ca="1"/>
        <v>3.6293415358083507</v>
      </c>
      <c r="K1236">
        <f ca="1"/>
        <v>0</v>
      </c>
      <c r="L1236">
        <f ca="1"/>
        <v>3.5386742526989963</v>
      </c>
    </row>
    <row r="1237" spans="2:12">
      <c r="B1237">
        <v>0.24540000000000001</v>
      </c>
      <c r="C1237">
        <f ca="1"/>
        <v>-0.15858484709105067</v>
      </c>
      <c r="D1237">
        <f ca="1"/>
        <v>1</v>
      </c>
      <c r="E1237">
        <f ca="1"/>
        <v>96.403761114875337</v>
      </c>
      <c r="F1237">
        <f ca="1"/>
        <v>0.117302007017315</v>
      </c>
      <c r="G1237">
        <f ca="1"/>
        <v>-1.216778325459078E-3</v>
      </c>
      <c r="H1237">
        <f ca="1"/>
        <v>99.749317127402691</v>
      </c>
      <c r="I1237">
        <f ca="1"/>
        <v>-0.99646200060318824</v>
      </c>
      <c r="J1237">
        <f ca="1"/>
        <v>3.6866324612021657</v>
      </c>
      <c r="K1237">
        <f ca="1"/>
        <v>0</v>
      </c>
      <c r="L1237">
        <f ca="1"/>
        <v>3.5962388851246629</v>
      </c>
    </row>
    <row r="1238" spans="2:12">
      <c r="B1238">
        <v>0.24560000000000001</v>
      </c>
      <c r="C1238">
        <f ca="1"/>
        <v>-0.15609691421226196</v>
      </c>
      <c r="D1238">
        <f ca="1"/>
        <v>1</v>
      </c>
      <c r="E1238">
        <f ca="1"/>
        <v>96.451356462460225</v>
      </c>
      <c r="F1238">
        <f ca="1"/>
        <v>2.342774386036562E-2</v>
      </c>
      <c r="G1238">
        <f ca="1"/>
        <v>-2.4289698682966598E-4</v>
      </c>
      <c r="H1238">
        <f ca="1"/>
        <v>99.772744871263058</v>
      </c>
      <c r="I1238">
        <f ca="1"/>
        <v>-0.9967048975900179</v>
      </c>
      <c r="J1238">
        <f ca="1"/>
        <v>3.6392055059283308</v>
      </c>
      <c r="K1238">
        <f ca="1"/>
        <v>0</v>
      </c>
      <c r="L1238">
        <f ca="1"/>
        <v>3.5486435375397747</v>
      </c>
    </row>
    <row r="1239" spans="2:12">
      <c r="B1239">
        <v>0.24580000000000002</v>
      </c>
      <c r="C1239">
        <f ca="1"/>
        <v>-0.15221230289883858</v>
      </c>
      <c r="D1239">
        <f ca="1"/>
        <v>1</v>
      </c>
      <c r="E1239">
        <f ca="1"/>
        <v>96.525934681006092</v>
      </c>
      <c r="F1239">
        <f ca="1"/>
        <v>4.4038105683140358E-3</v>
      </c>
      <c r="G1239">
        <f ca="1"/>
        <v>-4.5623081329049242E-5</v>
      </c>
      <c r="H1239">
        <f ca="1"/>
        <v>99.777148681831378</v>
      </c>
      <c r="I1239">
        <f ca="1"/>
        <v>-0.99675052067134695</v>
      </c>
      <c r="J1239">
        <f ca="1"/>
        <v>3.5648730302501264</v>
      </c>
      <c r="K1239">
        <f ca="1"/>
        <v>0</v>
      </c>
      <c r="L1239">
        <f ca="1"/>
        <v>3.4740653189939081</v>
      </c>
    </row>
    <row r="1240" spans="2:12">
      <c r="B1240">
        <v>0.24600000000000002</v>
      </c>
      <c r="C1240">
        <f ca="1"/>
        <v>-0.1647273801232231</v>
      </c>
      <c r="D1240">
        <f ca="1"/>
        <v>1</v>
      </c>
      <c r="E1240">
        <f ca="1"/>
        <v>96.284245757448844</v>
      </c>
      <c r="F1240">
        <f ca="1"/>
        <v>0.17733354860932232</v>
      </c>
      <c r="G1240">
        <f ca="1"/>
        <v>-1.8417711767306777E-3</v>
      </c>
      <c r="H1240">
        <f ca="1"/>
        <v>99.954482230440703</v>
      </c>
      <c r="I1240">
        <f ca="1"/>
        <v>-0.99859229184807763</v>
      </c>
      <c r="J1240">
        <f ca="1"/>
        <v>3.8057765906463175</v>
      </c>
      <c r="K1240">
        <f ca="1"/>
        <v>0</v>
      </c>
      <c r="L1240">
        <f ca="1"/>
        <v>3.7157542425511565</v>
      </c>
    </row>
    <row r="1241" spans="2:12">
      <c r="B1241">
        <v>0.2462</v>
      </c>
      <c r="C1241">
        <f ca="1"/>
        <v>-0.15533900951744345</v>
      </c>
      <c r="D1241">
        <f ca="1"/>
        <v>1</v>
      </c>
      <c r="E1241">
        <f ca="1"/>
        <v>96.464820172976403</v>
      </c>
      <c r="F1241">
        <f ca="1"/>
        <v>-3.6779110631171966E-2</v>
      </c>
      <c r="G1241">
        <f ca="1"/>
        <v>3.8126967494700459E-4</v>
      </c>
      <c r="H1241">
        <f ca="1"/>
        <v>99.917703119809531</v>
      </c>
      <c r="I1241">
        <f ca="1"/>
        <v>-0.99821102217313062</v>
      </c>
      <c r="J1241">
        <f ca="1"/>
        <v>3.6254563711955257</v>
      </c>
      <c r="K1241">
        <f ca="1"/>
        <v>0</v>
      </c>
      <c r="L1241">
        <f ca="1"/>
        <v>3.5351798270235975</v>
      </c>
    </row>
    <row r="1242" spans="2:12">
      <c r="B1242">
        <v>0.24640000000000001</v>
      </c>
      <c r="C1242">
        <f ca="1"/>
        <v>-0.14920343485951743</v>
      </c>
      <c r="D1242">
        <f ca="1"/>
        <v>1</v>
      </c>
      <c r="E1242">
        <f ca="1"/>
        <v>96.582879920504439</v>
      </c>
      <c r="F1242">
        <f ca="1"/>
        <v>-1.2432900928767615E-2</v>
      </c>
      <c r="G1242">
        <f ca="1"/>
        <v>1.2872779253425559E-4</v>
      </c>
      <c r="H1242">
        <f ca="1"/>
        <v>99.905270218880759</v>
      </c>
      <c r="I1242">
        <f ca="1"/>
        <v>-0.99808229438059637</v>
      </c>
      <c r="J1242">
        <f ca="1"/>
        <v>3.5076078299380526</v>
      </c>
      <c r="K1242">
        <f ca="1"/>
        <v>0</v>
      </c>
      <c r="L1242">
        <f ca="1"/>
        <v>3.417120079495561</v>
      </c>
    </row>
    <row r="1243" spans="2:12">
      <c r="B1243">
        <v>0.24660000000000001</v>
      </c>
      <c r="C1243">
        <f ca="1"/>
        <v>-0.14107128957137238</v>
      </c>
      <c r="D1243">
        <f ca="1"/>
        <v>1</v>
      </c>
      <c r="E1243">
        <f ca="1"/>
        <v>96.739705976531326</v>
      </c>
      <c r="F1243">
        <f ca="1"/>
        <v>-3.5144734724631609E-2</v>
      </c>
      <c r="G1243">
        <f ca="1"/>
        <v>3.6329172566595958E-4</v>
      </c>
      <c r="H1243">
        <f ca="1"/>
        <v>99.870125484156134</v>
      </c>
      <c r="I1243">
        <f ca="1"/>
        <v>-0.99771900265493041</v>
      </c>
      <c r="J1243">
        <f ca="1"/>
        <v>3.3510825201200873</v>
      </c>
      <c r="K1243">
        <f ca="1"/>
        <v>0</v>
      </c>
      <c r="L1243">
        <f ca="1"/>
        <v>3.2602940234686741</v>
      </c>
    </row>
    <row r="1244" spans="2:12">
      <c r="B1244">
        <v>0.24680000000000002</v>
      </c>
      <c r="C1244">
        <f ca="1"/>
        <v>-0.15531277870115112</v>
      </c>
      <c r="D1244">
        <f ca="1"/>
        <v>1</v>
      </c>
      <c r="E1244">
        <f ca="1"/>
        <v>96.464168667529719</v>
      </c>
      <c r="F1244">
        <f ca="1"/>
        <v>0.14806255180493075</v>
      </c>
      <c r="G1244">
        <f ca="1"/>
        <v>-1.5348968829580478E-3</v>
      </c>
      <c r="H1244">
        <f ca="1"/>
        <v>100.01818803596106</v>
      </c>
      <c r="I1244">
        <f ca="1"/>
        <v>-0.99925389953788846</v>
      </c>
      <c r="J1244">
        <f ca="1"/>
        <v>3.6259913292513914</v>
      </c>
      <c r="K1244">
        <f ca="1"/>
        <v>0</v>
      </c>
      <c r="L1244">
        <f ca="1"/>
        <v>3.5358313324702806</v>
      </c>
    </row>
    <row r="1245" spans="2:12">
      <c r="B1245">
        <v>0.24700000000000003</v>
      </c>
      <c r="C1245">
        <f ca="1"/>
        <v>-0.16211639124881827</v>
      </c>
      <c r="D1245">
        <f ca="1"/>
        <v>1</v>
      </c>
      <c r="E1245">
        <f ca="1"/>
        <v>96.332611635025884</v>
      </c>
      <c r="F1245">
        <f ca="1"/>
        <v>4.0040930402747296E-2</v>
      </c>
      <c r="G1245">
        <f ca="1"/>
        <v>-4.1565291050604802E-4</v>
      </c>
      <c r="H1245">
        <f ca="1"/>
        <v>100.05822896636381</v>
      </c>
      <c r="I1245">
        <f ca="1"/>
        <v>-0.99966955244839451</v>
      </c>
      <c r="J1245">
        <f ca="1"/>
        <v>3.7574502069924876</v>
      </c>
      <c r="K1245">
        <f ca="1"/>
        <v>0</v>
      </c>
      <c r="L1245">
        <f ca="1"/>
        <v>3.6673883649741157</v>
      </c>
    </row>
    <row r="1246" spans="2:12">
      <c r="B1246">
        <v>0.2472</v>
      </c>
      <c r="C1246">
        <f ca="1"/>
        <v>-0.17832380901206243</v>
      </c>
      <c r="D1246">
        <f ca="1"/>
        <v>1</v>
      </c>
      <c r="E1246">
        <f ca="1"/>
        <v>96.020472523541244</v>
      </c>
      <c r="F1246">
        <f ca="1"/>
        <v>2.5624271548949785E-2</v>
      </c>
      <c r="G1246">
        <f ca="1"/>
        <v>-2.6686258539987406E-4</v>
      </c>
      <c r="H1246">
        <f ca="1"/>
        <v>100.08385323791276</v>
      </c>
      <c r="I1246">
        <f ca="1"/>
        <v>-0.99993641503379438</v>
      </c>
      <c r="J1246">
        <f ca="1"/>
        <v>4.0694861728719758</v>
      </c>
      <c r="K1246">
        <f ca="1"/>
        <v>0</v>
      </c>
      <c r="L1246">
        <f ca="1"/>
        <v>3.979527476458756</v>
      </c>
    </row>
    <row r="1247" spans="2:12">
      <c r="B1247">
        <v>0.24740000000000001</v>
      </c>
      <c r="C1247">
        <f ca="1"/>
        <v>-0.17457574811679655</v>
      </c>
      <c r="D1247">
        <f ca="1"/>
        <v>1</v>
      </c>
      <c r="E1247">
        <f ca="1"/>
        <v>96.092093254619854</v>
      </c>
      <c r="F1247">
        <f ca="1"/>
        <v>1.560420873947598E-3</v>
      </c>
      <c r="G1247">
        <f ca="1"/>
        <v>-1.6238806139989848E-5</v>
      </c>
      <c r="H1247">
        <f ca="1"/>
        <v>100.08541365878671</v>
      </c>
      <c r="I1247">
        <f ca="1"/>
        <v>-0.99995265383993437</v>
      </c>
      <c r="J1247">
        <f ca="1"/>
        <v>3.9978699957951278</v>
      </c>
      <c r="K1247">
        <f ca="1"/>
        <v>0</v>
      </c>
      <c r="L1247">
        <f ca="1"/>
        <v>3.9079067453801457</v>
      </c>
    </row>
    <row r="1248" spans="2:12">
      <c r="B1248">
        <v>0.24760000000000001</v>
      </c>
      <c r="C1248">
        <f ca="1"/>
        <v>-0.15517455869585814</v>
      </c>
      <c r="D1248">
        <f ca="1"/>
        <v>1</v>
      </c>
      <c r="E1248">
        <f ca="1"/>
        <v>96.465291902951279</v>
      </c>
      <c r="F1248">
        <f ca="1"/>
        <v>-7.2234675100470332E-3</v>
      </c>
      <c r="G1248">
        <f ca="1"/>
        <v>7.4881518187019935E-5</v>
      </c>
      <c r="H1248">
        <f ca="1"/>
        <v>100.07819019127666</v>
      </c>
      <c r="I1248">
        <f ca="1"/>
        <v>-0.99987777232174735</v>
      </c>
      <c r="J1248">
        <f ca="1"/>
        <v>3.6246890169866504</v>
      </c>
      <c r="K1248">
        <f ca="1"/>
        <v>0</v>
      </c>
      <c r="L1248">
        <f ca="1"/>
        <v>3.5347080970487212</v>
      </c>
    </row>
    <row r="1249" spans="2:12">
      <c r="B1249">
        <v>0.24780000000000002</v>
      </c>
      <c r="C1249">
        <f ca="1"/>
        <v>-0.15454827410892799</v>
      </c>
      <c r="D1249">
        <f ca="1"/>
        <v>1</v>
      </c>
      <c r="E1249">
        <f ca="1"/>
        <v>96.476989696087003</v>
      </c>
      <c r="F1249">
        <f ca="1"/>
        <v>5.3180456009903456E-3</v>
      </c>
      <c r="G1249">
        <f ca="1"/>
        <v>-5.5122424712283902E-5</v>
      </c>
      <c r="H1249">
        <f ca="1"/>
        <v>100.08350823687765</v>
      </c>
      <c r="I1249">
        <f ca="1"/>
        <v>-0.99993289474645963</v>
      </c>
      <c r="J1249">
        <f ca="1"/>
        <v>3.6129926536450085</v>
      </c>
      <c r="K1249">
        <f ca="1"/>
        <v>0</v>
      </c>
      <c r="L1249">
        <f ca="1"/>
        <v>3.5230103039129972</v>
      </c>
    </row>
    <row r="1250" spans="2:12">
      <c r="B1250">
        <v>0.248</v>
      </c>
      <c r="C1250">
        <f ca="1"/>
        <v>-0.137268128091107</v>
      </c>
      <c r="D1250">
        <f ca="1"/>
        <v>1</v>
      </c>
      <c r="E1250">
        <f ca="1"/>
        <v>96.810606578304416</v>
      </c>
      <c r="F1250">
        <f ca="1"/>
        <v>-7.7924573375624867E-3</v>
      </c>
      <c r="G1250">
        <f ca="1"/>
        <v>8.0491772678437101E-5</v>
      </c>
      <c r="H1250">
        <f ca="1"/>
        <v>100.07571577954009</v>
      </c>
      <c r="I1250">
        <f ca="1"/>
        <v>-0.9998524029737812</v>
      </c>
      <c r="J1250">
        <f ca="1"/>
        <v>3.2793981588730645</v>
      </c>
      <c r="K1250">
        <f ca="1"/>
        <v>0</v>
      </c>
      <c r="L1250">
        <f ca="1"/>
        <v>3.1893934216955842</v>
      </c>
    </row>
    <row r="1251" spans="2:12">
      <c r="B1251">
        <v>0.2482</v>
      </c>
      <c r="C1251">
        <f ca="1"/>
        <v>-0.13078585522112529</v>
      </c>
      <c r="D1251">
        <f ca="1"/>
        <v>1</v>
      </c>
      <c r="E1251">
        <f ca="1"/>
        <v>96.9358107825323</v>
      </c>
      <c r="F1251">
        <f ca="1"/>
        <v>2.2453510025098444E-3</v>
      </c>
      <c r="G1251">
        <f ca="1"/>
        <v>-2.3163276650639553E-5</v>
      </c>
      <c r="H1251">
        <f ca="1"/>
        <v>100.0779611305426</v>
      </c>
      <c r="I1251">
        <f ca="1"/>
        <v>-0.99987556625043184</v>
      </c>
      <c r="J1251">
        <f ca="1"/>
        <v>3.1542124344134095</v>
      </c>
      <c r="K1251">
        <f ca="1"/>
        <v>0</v>
      </c>
      <c r="L1251">
        <f ca="1"/>
        <v>3.0641892174676997</v>
      </c>
    </row>
    <row r="1252" spans="2:12">
      <c r="B1252">
        <v>0.24840000000000001</v>
      </c>
      <c r="C1252">
        <f ca="1"/>
        <v>-0.15619010603087019</v>
      </c>
      <c r="D1252">
        <f ca="1"/>
        <v>1</v>
      </c>
      <c r="E1252">
        <f ca="1"/>
        <v>96.444157759688181</v>
      </c>
      <c r="F1252">
        <f ca="1"/>
        <v>1.1705163607465431E-2</v>
      </c>
      <c r="G1252">
        <f ca="1"/>
        <v>-1.2136726453282343E-4</v>
      </c>
      <c r="H1252">
        <f ca="1"/>
        <v>100.08966629415006</v>
      </c>
      <c r="I1252">
        <f ca="1"/>
        <v>-0.99999693351496466</v>
      </c>
      <c r="J1252">
        <f ca="1"/>
        <v>3.6458042790283969</v>
      </c>
      <c r="K1252">
        <f ca="1"/>
        <v>0</v>
      </c>
      <c r="L1252">
        <f ca="1"/>
        <v>3.5558422403118186</v>
      </c>
    </row>
    <row r="1253" spans="2:12">
      <c r="B1253">
        <v>0.24860000000000002</v>
      </c>
      <c r="C1253">
        <f ca="1"/>
        <v>-0.14948832640779386</v>
      </c>
      <c r="D1253">
        <f ca="1"/>
        <v>1</v>
      </c>
      <c r="E1253">
        <f ca="1"/>
        <v>96.573127636941265</v>
      </c>
      <c r="F1253">
        <f ca="1"/>
        <v>1.403929213231108E-4</v>
      </c>
      <c r="G1253">
        <f ca="1"/>
        <v>-1.453747276891626E-6</v>
      </c>
      <c r="H1253">
        <f ca="1"/>
        <v>100.08980668707139</v>
      </c>
      <c r="I1253">
        <f ca="1"/>
        <v>-0.99999838726224155</v>
      </c>
      <c r="J1253">
        <f ca="1"/>
        <v>3.51683479725952</v>
      </c>
      <c r="K1253">
        <f ca="1"/>
        <v>0</v>
      </c>
      <c r="L1253">
        <f ca="1"/>
        <v>3.4268723630587345</v>
      </c>
    </row>
    <row r="1254" spans="2:12">
      <c r="B1254">
        <v>0.24880000000000002</v>
      </c>
      <c r="C1254">
        <f ca="1"/>
        <v>-0.12915264127484222</v>
      </c>
      <c r="D1254">
        <f ca="1"/>
        <v>1</v>
      </c>
      <c r="E1254">
        <f ca="1"/>
        <v>96.9663157352458</v>
      </c>
      <c r="F1254">
        <f ca="1"/>
        <v>-2.7357775542790502E-4</v>
      </c>
      <c r="G1254">
        <f ca="1"/>
        <v>2.8213689811096287E-6</v>
      </c>
      <c r="H1254">
        <f ca="1"/>
        <v>100.08953310931597</v>
      </c>
      <c r="I1254">
        <f ca="1"/>
        <v>-0.99999556589326044</v>
      </c>
      <c r="J1254">
        <f ca="1"/>
        <v>3.1236473330642838</v>
      </c>
      <c r="K1254">
        <f ca="1"/>
        <v>0</v>
      </c>
      <c r="L1254">
        <f ca="1"/>
        <v>3.0336842647541999</v>
      </c>
    </row>
    <row r="1255" spans="2:12">
      <c r="B1255">
        <v>0.249</v>
      </c>
      <c r="C1255">
        <f ca="1"/>
        <v>-0.1348839844408028</v>
      </c>
      <c r="D1255">
        <f ca="1"/>
        <v>1</v>
      </c>
      <c r="E1255">
        <f ca="1"/>
        <v>96.854842548125646</v>
      </c>
      <c r="F1255">
        <f ca="1"/>
        <v>4.0802986037429472E-4</v>
      </c>
      <c r="G1255">
        <f ca="1"/>
        <v>-4.2127977253336724E-6</v>
      </c>
      <c r="H1255">
        <f ca="1"/>
        <v>100.08994113917635</v>
      </c>
      <c r="I1255">
        <f ca="1"/>
        <v>-0.99999977869098577</v>
      </c>
      <c r="J1255">
        <f ca="1"/>
        <v>3.2351200259004287</v>
      </c>
      <c r="K1255">
        <f ca="1"/>
        <v>0</v>
      </c>
      <c r="L1255">
        <f ca="1"/>
        <v>3.1451574518743541</v>
      </c>
    </row>
    <row r="1256" spans="2:12">
      <c r="B1256">
        <v>0.2492</v>
      </c>
      <c r="C1256">
        <f ca="1"/>
        <v>-0.14926708712604375</v>
      </c>
      <c r="D1256">
        <f ca="1"/>
        <v>1</v>
      </c>
      <c r="E1256">
        <f ca="1"/>
        <v>96.576241963503477</v>
      </c>
      <c r="F1256">
        <f ca="1"/>
        <v>2.1337079830917741E-5</v>
      </c>
      <c r="G1256">
        <f ca="1"/>
        <v>-2.2093508089682246E-7</v>
      </c>
      <c r="H1256">
        <f ca="1"/>
        <v>100.08996247625618</v>
      </c>
      <c r="I1256">
        <f ca="1"/>
        <v>-0.99999999962606667</v>
      </c>
      <c r="J1256">
        <f ca="1"/>
        <v>3.513720548865777</v>
      </c>
      <c r="K1256">
        <f ca="1"/>
        <v>0</v>
      </c>
      <c r="L1256">
        <f ca="1"/>
        <v>3.4237580364965225</v>
      </c>
    </row>
    <row r="1257" spans="2:12">
      <c r="B1257">
        <v>0.24940000000000001</v>
      </c>
      <c r="C1257">
        <f ca="1"/>
        <v>-0.14379909345980132</v>
      </c>
      <c r="D1257">
        <f ca="1"/>
        <v>1</v>
      </c>
      <c r="E1257">
        <f ca="1"/>
        <v>96.681528664120037</v>
      </c>
      <c r="F1257">
        <f ca="1"/>
        <v>3.5875620986963254E-8</v>
      </c>
      <c r="G1257">
        <f ca="1"/>
        <v>-3.71070063565071E-10</v>
      </c>
      <c r="H1257">
        <f ca="1"/>
        <v>100.08996251213179</v>
      </c>
      <c r="I1257">
        <f ca="1"/>
        <v>-0.99999999999713673</v>
      </c>
      <c r="J1257">
        <f ca="1"/>
        <v>3.4084338482885812</v>
      </c>
      <c r="K1257">
        <f ca="1"/>
        <v>0</v>
      </c>
      <c r="L1257">
        <f ca="1"/>
        <v>3.3184713358799627</v>
      </c>
    </row>
    <row r="1258" spans="2:12">
      <c r="B1258">
        <v>0.24960000000000002</v>
      </c>
      <c r="C1258">
        <f ca="1"/>
        <v>-0.16679087152763752</v>
      </c>
      <c r="D1258">
        <f ca="1"/>
        <v>1</v>
      </c>
      <c r="E1258">
        <f ca="1"/>
        <v>96.237588257372593</v>
      </c>
      <c r="F1258">
        <f ca="1"/>
        <v>2.7555373551342732E-10</v>
      </c>
      <c r="G1258">
        <f ca="1"/>
        <v>-2.8632651805082787E-12</v>
      </c>
      <c r="H1258">
        <f ca="1"/>
        <v>100.08996251240734</v>
      </c>
      <c r="I1258">
        <f ca="1"/>
        <v>-1</v>
      </c>
      <c r="J1258">
        <f ca="1"/>
        <v>3.8523742550347464</v>
      </c>
      <c r="K1258">
        <f ca="1"/>
        <v>0</v>
      </c>
      <c r="L1258">
        <f ca="1"/>
        <v>3.7624117426274069</v>
      </c>
    </row>
    <row r="1259" spans="2:12">
      <c r="B1259">
        <v>0.24980000000000002</v>
      </c>
      <c r="C1259">
        <f ca="1"/>
        <v>-0.16139182747035516</v>
      </c>
      <c r="D1259">
        <f ca="1"/>
        <v>1</v>
      </c>
      <c r="E1259">
        <f ca="1"/>
        <v>96.34117721377838</v>
      </c>
      <c r="F1259">
        <f ca="1"/>
        <v>0</v>
      </c>
      <c r="G1259">
        <f ca="1"/>
        <v>0</v>
      </c>
      <c r="H1259">
        <f ca="1"/>
        <v>100.08996251240734</v>
      </c>
      <c r="I1259">
        <f ca="1"/>
        <v>-1</v>
      </c>
      <c r="J1259">
        <f ca="1"/>
        <v>3.7487852986289596</v>
      </c>
      <c r="K1259">
        <f ca="1"/>
        <v>0</v>
      </c>
      <c r="L1259">
        <f ca="1"/>
        <v>3.65882278622162</v>
      </c>
    </row>
    <row r="1260" spans="2:12">
      <c r="B1260">
        <v>0.25</v>
      </c>
      <c r="C1260">
        <f ca="1"/>
        <v>-0.1412248136442783</v>
      </c>
      <c r="D1260">
        <f ca="1"/>
        <v>1</v>
      </c>
      <c r="E1260">
        <f ca="1"/>
        <v>96.730157773024843</v>
      </c>
      <c r="F1260">
        <f ca="1"/>
        <v>-100.08996251240734</v>
      </c>
      <c r="G1260">
        <f ca="1"/>
        <v>1</v>
      </c>
      <c r="H1260">
        <f ca="1"/>
        <v>0</v>
      </c>
      <c r="I1260">
        <f ca="1"/>
        <v>0</v>
      </c>
      <c r="J1260">
        <f ca="1"/>
        <v>0</v>
      </c>
      <c r="K1260">
        <f ca="1"/>
        <v>3.359804739382497</v>
      </c>
      <c r="L1260">
        <f ca="1"/>
        <v>3.2698422269751575</v>
      </c>
    </row>
  </sheetData>
  <mergeCells count="3">
    <mergeCell ref="D8:E8"/>
    <mergeCell ref="F8:G8"/>
    <mergeCell ref="H8:I8"/>
  </mergeCells>
  <phoneticPr fontId="1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11</vt:i4>
      </vt:variant>
    </vt:vector>
  </HeadingPairs>
  <TitlesOfParts>
    <vt:vector size="13" baseType="lpstr">
      <vt:lpstr>Elementary</vt:lpstr>
      <vt:lpstr>Simulation</vt:lpstr>
      <vt:lpstr>dt</vt:lpstr>
      <vt:lpstr>error</vt:lpstr>
      <vt:lpstr>f</vt:lpstr>
      <vt:lpstr>hedge</vt:lpstr>
      <vt:lpstr>k</vt:lpstr>
      <vt:lpstr>last</vt:lpstr>
      <vt:lpstr>mu</vt:lpstr>
      <vt:lpstr>payoff</vt:lpstr>
      <vt:lpstr>put</vt:lpstr>
      <vt:lpstr>sigma</vt:lpstr>
      <vt:lpstr>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Jasper Pu</cp:lastModifiedBy>
  <dcterms:created xsi:type="dcterms:W3CDTF">2026-02-23T20:58:14Z</dcterms:created>
  <dcterms:modified xsi:type="dcterms:W3CDTF">2026-03-01T18:45:21Z</dcterms:modified>
</cp:coreProperties>
</file>