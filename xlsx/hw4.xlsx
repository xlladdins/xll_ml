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3466\source\repos\xll_ml\xlsx\"/>
    </mc:Choice>
  </mc:AlternateContent>
  <xr:revisionPtr revIDLastSave="0" documentId="13_ncr:1_{3F1E5E62-921A-41ED-9685-6BE459BC6654}" xr6:coauthVersionLast="47" xr6:coauthVersionMax="47" xr10:uidLastSave="{00000000-0000-0000-0000-000000000000}"/>
  <bookViews>
    <workbookView xWindow="3108" yWindow="1332" windowWidth="19176" windowHeight="12480" activeTab="1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E3" i="4"/>
  <c r="G4" i="4" a="1"/>
  <c r="G4" i="4" s="1"/>
  <c r="I7" i="4" a="1"/>
  <c r="I7" i="4" s="1"/>
  <c r="C5" i="4"/>
  <c r="E5" i="4" s="1"/>
  <c r="E9" i="4"/>
  <c r="E8" i="4"/>
  <c r="E7" i="4"/>
  <c r="E6" i="4"/>
  <c r="C8" i="4"/>
  <c r="C7" i="4"/>
  <c r="C6" i="4"/>
  <c r="C4" i="4"/>
  <c r="C3" i="4"/>
  <c r="B4" i="1"/>
  <c r="B6" i="1" s="1" a="1"/>
  <c r="B6" i="1" s="1"/>
  <c r="J7" i="4" a="1"/>
  <c r="F3" i="4" a="1"/>
  <c r="B5" i="2" a="1"/>
  <c r="F16" i="4" a="1"/>
  <c r="F15" i="4" a="1"/>
  <c r="F14" i="4" a="1"/>
  <c r="F13" i="4" a="1"/>
  <c r="B5" i="3" a="1"/>
  <c r="F12" i="4" a="1"/>
  <c r="F11" i="4" a="1"/>
  <c r="F10" i="4" a="1"/>
  <c r="F9" i="4" a="1"/>
  <c r="F8" i="4" a="1"/>
  <c r="F7" i="4" a="1"/>
  <c r="F6" i="4" a="1"/>
  <c r="F5" i="4" a="1"/>
  <c r="F4" i="4" a="1"/>
  <c r="B13" i="2" a="1"/>
  <c r="B10" i="2" a="1"/>
  <c r="J7" i="4" l="1"/>
  <c r="F3" i="4"/>
  <c r="G3" i="4" s="1" a="1"/>
  <c r="B5" i="2"/>
  <c r="F16" i="4"/>
  <c r="F15" i="4"/>
  <c r="F14" i="4"/>
  <c r="F13" i="4"/>
  <c r="B5" i="3"/>
  <c r="F12" i="4"/>
  <c r="F11" i="4"/>
  <c r="F10" i="4"/>
  <c r="F9" i="4"/>
  <c r="F8" i="4"/>
  <c r="F7" i="4"/>
  <c r="F6" i="4"/>
  <c r="F5" i="4"/>
  <c r="F4" i="4"/>
  <c r="B13" i="2"/>
  <c r="B10" i="2"/>
  <c r="B6" i="3" a="1"/>
  <c r="B14" i="2" a="1"/>
  <c r="B11" i="2" a="1"/>
  <c r="B6" i="2" a="1"/>
  <c r="G3" i="4" l="1"/>
  <c r="B6" i="2"/>
  <c r="B11" i="2"/>
  <c r="B14" i="2"/>
  <c r="B6" i="3"/>
  <c r="I2" i="4" a="1"/>
  <c r="I2" i="4" l="1"/>
  <c r="K8" i="4" a="1"/>
  <c r="K19" i="4" a="1"/>
  <c r="K30" i="4" a="1"/>
  <c r="K41" i="4" a="1"/>
  <c r="K52" i="4" a="1"/>
  <c r="K63" i="4" a="1"/>
  <c r="K74" i="4" a="1"/>
  <c r="K9" i="4" a="1"/>
  <c r="K20" i="4" a="1"/>
  <c r="K31" i="4" a="1"/>
  <c r="K42" i="4" a="1"/>
  <c r="K53" i="4" a="1"/>
  <c r="K64" i="4" a="1"/>
  <c r="K75" i="4" a="1"/>
  <c r="K10" i="4" a="1"/>
  <c r="K21" i="4" a="1"/>
  <c r="K32" i="4" a="1"/>
  <c r="K43" i="4" a="1"/>
  <c r="K54" i="4" a="1"/>
  <c r="K65" i="4" a="1"/>
  <c r="K11" i="4" a="1"/>
  <c r="K22" i="4" a="1"/>
  <c r="K33" i="4" a="1"/>
  <c r="K44" i="4" a="1"/>
  <c r="K55" i="4" a="1"/>
  <c r="K66" i="4" a="1"/>
  <c r="K12" i="4" a="1"/>
  <c r="K23" i="4" a="1"/>
  <c r="K34" i="4" a="1"/>
  <c r="K45" i="4" a="1"/>
  <c r="K56" i="4" a="1"/>
  <c r="K67" i="4" a="1"/>
  <c r="K13" i="4" a="1"/>
  <c r="K24" i="4" a="1"/>
  <c r="K35" i="4" a="1"/>
  <c r="K46" i="4" a="1"/>
  <c r="K57" i="4" a="1"/>
  <c r="K68" i="4" a="1"/>
  <c r="K14" i="4" a="1"/>
  <c r="K25" i="4" a="1"/>
  <c r="K36" i="4" a="1"/>
  <c r="K47" i="4" a="1"/>
  <c r="K58" i="4" a="1"/>
  <c r="K69" i="4" a="1"/>
  <c r="K15" i="4" a="1"/>
  <c r="K26" i="4" a="1"/>
  <c r="K37" i="4" a="1"/>
  <c r="K48" i="4" a="1"/>
  <c r="K59" i="4" a="1"/>
  <c r="K70" i="4" a="1"/>
  <c r="K16" i="4" a="1"/>
  <c r="K27" i="4" a="1"/>
  <c r="K60" i="4" a="1"/>
  <c r="K17" i="4" a="1"/>
  <c r="K61" i="4" a="1"/>
  <c r="K18" i="4" a="1"/>
  <c r="K62" i="4" a="1"/>
  <c r="K28" i="4" a="1"/>
  <c r="K71" i="4" a="1"/>
  <c r="K29" i="4" a="1"/>
  <c r="K72" i="4" a="1"/>
  <c r="K38" i="4" a="1"/>
  <c r="K73" i="4" a="1"/>
  <c r="K39" i="4" a="1"/>
  <c r="K40" i="4" a="1"/>
  <c r="K49" i="4" a="1"/>
  <c r="K50" i="4" a="1"/>
  <c r="K51" i="4" a="1"/>
  <c r="K7" i="4" a="1"/>
  <c r="J8" i="4" a="1"/>
  <c r="J19" i="4" a="1"/>
  <c r="J30" i="4" a="1"/>
  <c r="J41" i="4" a="1"/>
  <c r="J52" i="4" a="1"/>
  <c r="J63" i="4" a="1"/>
  <c r="J74" i="4" a="1"/>
  <c r="J9" i="4" a="1"/>
  <c r="J20" i="4" a="1"/>
  <c r="J31" i="4" a="1"/>
  <c r="J42" i="4" a="1"/>
  <c r="J53" i="4" a="1"/>
  <c r="J64" i="4" a="1"/>
  <c r="J75" i="4" a="1"/>
  <c r="J10" i="4" a="1"/>
  <c r="J21" i="4" a="1"/>
  <c r="J32" i="4" a="1"/>
  <c r="J43" i="4" a="1"/>
  <c r="J54" i="4" a="1"/>
  <c r="J65" i="4" a="1"/>
  <c r="J11" i="4" a="1"/>
  <c r="J22" i="4" a="1"/>
  <c r="J33" i="4" a="1"/>
  <c r="J44" i="4" a="1"/>
  <c r="J55" i="4" a="1"/>
  <c r="J66" i="4" a="1"/>
  <c r="J12" i="4" a="1"/>
  <c r="J23" i="4" a="1"/>
  <c r="J34" i="4" a="1"/>
  <c r="J45" i="4" a="1"/>
  <c r="J56" i="4" a="1"/>
  <c r="J67" i="4" a="1"/>
  <c r="J13" i="4" a="1"/>
  <c r="J24" i="4" a="1"/>
  <c r="J35" i="4" a="1"/>
  <c r="J46" i="4" a="1"/>
  <c r="J57" i="4" a="1"/>
  <c r="J68" i="4" a="1"/>
  <c r="J14" i="4" a="1"/>
  <c r="J25" i="4" a="1"/>
  <c r="J36" i="4" a="1"/>
  <c r="J47" i="4" a="1"/>
  <c r="J58" i="4" a="1"/>
  <c r="J69" i="4" a="1"/>
  <c r="J15" i="4" a="1"/>
  <c r="J26" i="4" a="1"/>
  <c r="J37" i="4" a="1"/>
  <c r="J48" i="4" a="1"/>
  <c r="J59" i="4" a="1"/>
  <c r="J70" i="4" a="1"/>
  <c r="J16" i="4" a="1"/>
  <c r="J27" i="4" a="1"/>
  <c r="J60" i="4" a="1"/>
  <c r="J17" i="4" a="1"/>
  <c r="J61" i="4" a="1"/>
  <c r="J18" i="4" a="1"/>
  <c r="J62" i="4" a="1"/>
  <c r="J28" i="4" a="1"/>
  <c r="J71" i="4" a="1"/>
  <c r="J29" i="4" a="1"/>
  <c r="J72" i="4" a="1"/>
  <c r="J38" i="4" a="1"/>
  <c r="J73" i="4" a="1"/>
  <c r="J39" i="4" a="1"/>
  <c r="J40" i="4" a="1"/>
  <c r="J49" i="4" a="1"/>
  <c r="J50" i="4" a="1"/>
  <c r="J51" i="4" a="1"/>
  <c r="J51" i="4" l="1"/>
  <c r="J50" i="4"/>
  <c r="J49" i="4"/>
  <c r="J40" i="4"/>
  <c r="J39" i="4"/>
  <c r="J73" i="4"/>
  <c r="J38" i="4"/>
  <c r="J72" i="4"/>
  <c r="J29" i="4"/>
  <c r="J71" i="4"/>
  <c r="J28" i="4"/>
  <c r="J62" i="4"/>
  <c r="J18" i="4"/>
  <c r="J61" i="4"/>
  <c r="J17" i="4"/>
  <c r="J60" i="4"/>
  <c r="J27" i="4"/>
  <c r="J16" i="4"/>
  <c r="J70" i="4"/>
  <c r="J59" i="4"/>
  <c r="J48" i="4"/>
  <c r="J37" i="4"/>
  <c r="J26" i="4"/>
  <c r="J15" i="4"/>
  <c r="J69" i="4"/>
  <c r="J58" i="4"/>
  <c r="J47" i="4"/>
  <c r="J36" i="4"/>
  <c r="J25" i="4"/>
  <c r="J14" i="4"/>
  <c r="J68" i="4"/>
  <c r="J57" i="4"/>
  <c r="J46" i="4"/>
  <c r="J35" i="4"/>
  <c r="J24" i="4"/>
  <c r="J13" i="4"/>
  <c r="J67" i="4"/>
  <c r="J56" i="4"/>
  <c r="J45" i="4"/>
  <c r="J34" i="4"/>
  <c r="J23" i="4"/>
  <c r="J12" i="4"/>
  <c r="J66" i="4"/>
  <c r="J55" i="4"/>
  <c r="J44" i="4"/>
  <c r="J33" i="4"/>
  <c r="J22" i="4"/>
  <c r="J11" i="4"/>
  <c r="J65" i="4"/>
  <c r="J54" i="4"/>
  <c r="J43" i="4"/>
  <c r="J32" i="4"/>
  <c r="J21" i="4"/>
  <c r="J10" i="4"/>
  <c r="J75" i="4"/>
  <c r="J64" i="4"/>
  <c r="J53" i="4"/>
  <c r="J42" i="4"/>
  <c r="J31" i="4"/>
  <c r="J20" i="4"/>
  <c r="J9" i="4"/>
  <c r="J74" i="4"/>
  <c r="J63" i="4"/>
  <c r="J52" i="4"/>
  <c r="J41" i="4"/>
  <c r="J30" i="4"/>
  <c r="J19" i="4"/>
  <c r="J8" i="4"/>
  <c r="K7" i="4"/>
  <c r="K51" i="4"/>
  <c r="K50" i="4"/>
  <c r="K49" i="4"/>
  <c r="K40" i="4"/>
  <c r="K39" i="4"/>
  <c r="K73" i="4"/>
  <c r="K38" i="4"/>
  <c r="K72" i="4"/>
  <c r="K29" i="4"/>
  <c r="K71" i="4"/>
  <c r="K28" i="4"/>
  <c r="K62" i="4"/>
  <c r="K18" i="4"/>
  <c r="K61" i="4"/>
  <c r="K17" i="4"/>
  <c r="K60" i="4"/>
  <c r="K27" i="4"/>
  <c r="K16" i="4"/>
  <c r="K70" i="4"/>
  <c r="K59" i="4"/>
  <c r="K48" i="4"/>
  <c r="K37" i="4"/>
  <c r="K26" i="4"/>
  <c r="K15" i="4"/>
  <c r="K69" i="4"/>
  <c r="K58" i="4"/>
  <c r="K47" i="4"/>
  <c r="K36" i="4"/>
  <c r="K25" i="4"/>
  <c r="K14" i="4"/>
  <c r="K68" i="4"/>
  <c r="K57" i="4"/>
  <c r="K46" i="4"/>
  <c r="K35" i="4"/>
  <c r="K24" i="4"/>
  <c r="K13" i="4"/>
  <c r="K67" i="4"/>
  <c r="K56" i="4"/>
  <c r="K45" i="4"/>
  <c r="K34" i="4"/>
  <c r="K23" i="4"/>
  <c r="K12" i="4"/>
  <c r="K66" i="4"/>
  <c r="K55" i="4"/>
  <c r="K44" i="4"/>
  <c r="K33" i="4"/>
  <c r="K22" i="4"/>
  <c r="K11" i="4"/>
  <c r="K65" i="4"/>
  <c r="K54" i="4"/>
  <c r="K43" i="4"/>
  <c r="K32" i="4"/>
  <c r="K21" i="4"/>
  <c r="K10" i="4"/>
  <c r="K75" i="4"/>
  <c r="K64" i="4"/>
  <c r="K53" i="4"/>
  <c r="K42" i="4"/>
  <c r="K31" i="4"/>
  <c r="K20" i="4"/>
  <c r="K9" i="4"/>
  <c r="K74" i="4"/>
  <c r="K63" i="4"/>
  <c r="K52" i="4"/>
  <c r="K41" i="4"/>
  <c r="K30" i="4"/>
  <c r="K19" i="4"/>
  <c r="K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<sst xmlns="http://schemas.openxmlformats.org/spreadsheetml/2006/main" count="37" uniqueCount="37">
  <si>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</si>
  <si>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</si>
  <si>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</si>
  <si>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</si>
  <si>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</si>
  <si>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</si>
  <si>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</si>
  <si>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</si>
  <si>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</si>
  <si>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</si>
  <si>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</si>
  <si>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</si>
  <si>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</si>
  <si>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</si>
  <si>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</si>
  <si>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</si>
  <si>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</si>
  <si>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</si>
  <si>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</si>
  <si>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</si>
  <si>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1.5 Mo</t>
  </si>
  <si>
    <t>bootstrap</t>
  </si>
  <si>
    <t>use \fi.ucurve.bootstrap</t>
  </si>
  <si>
    <t>t</t>
  </si>
  <si>
    <t>spot</t>
  </si>
  <si>
    <t>forward</t>
  </si>
  <si>
    <t>insert graph</t>
  </si>
  <si>
    <t>plot curve here using pwflate.spot, forward</t>
  </si>
  <si>
    <t>instrument</t>
  </si>
  <si>
    <t>zero bond</t>
  </si>
  <si>
    <t>bond</t>
  </si>
  <si>
    <t>Use of \FI.CURVE.PWFLAT</t>
  </si>
  <si>
    <t>Use of FI.CURVE.PWFLAT</t>
  </si>
  <si>
    <t>Use of \FI.INSTRUMENT</t>
  </si>
  <si>
    <t>Use of \FI.INSTRUMENT.ZERO_COUPON_BOND</t>
  </si>
  <si>
    <t>Use of \FI.INSTRUMENT.BOND</t>
  </si>
  <si>
    <t>The following also use FI.INSTRUMENT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</si>
</sst>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"/>
  </numFmts>
  <fonts count="7" x14ac:knownFonts="1"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  <font>
      <sz val="14"/>
      <color rgb="FF000000"/>
      <name val="Aptos Narrow"/>
      <family val="2"/>
      <scheme val="minor"/>
    </font>
    <font>
      <sz val="1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64" fontId="3" fillId="0" borderId="0">
      <alignment horizontal="center" vertical="center"/>
    </xf>
  </cellStyleXfs>
  <cellXfs count="1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Spot</a:t>
            </a:r>
            <a:r>
              <a:rPr lang="en-US" baseline="0"/>
              <a:t> Rate and Forwar Rate across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Bootstrap!$J$6</c:f>
              <c:strCache>
                <c:ptCount val="1"/>
                <c:pt idx="0">
                  <c:v>spot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Bootstrap!$I$7:$I$75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Bootstrap!$J$7:$J$75</c:f>
              <c:numCache>
                <c:formatCode>General</c:formatCode>
                <c:ptCount val="69"/>
                <c:pt idx="0">
                  <c:v>1.0313874368449654E-4</c:v>
                </c:pt>
                <c:pt idx="1">
                  <c:v>1.035142317659301E-4</c:v>
                </c:pt>
                <c:pt idx="2">
                  <c:v>1.0319536825936958E-4</c:v>
                </c:pt>
                <c:pt idx="3">
                  <c:v>1.0277943042752876E-4</c:v>
                </c:pt>
                <c:pt idx="4">
                  <c:v>1.0138994732094902E-4</c:v>
                </c:pt>
                <c:pt idx="5">
                  <c:v>1.0000018246136307E-4</c:v>
                </c:pt>
                <c:pt idx="6">
                  <c:v>9.8982943136249161E-5</c:v>
                </c:pt>
                <c:pt idx="7">
                  <c:v>9.8256343618310661E-5</c:v>
                </c:pt>
                <c:pt idx="8">
                  <c:v>9.7711393979856768E-5</c:v>
                </c:pt>
                <c:pt idx="9">
                  <c:v>9.7287544261059322E-5</c:v>
                </c:pt>
                <c:pt idx="10">
                  <c:v>9.6948464486021349E-5</c:v>
                </c:pt>
                <c:pt idx="11">
                  <c:v>2.3173759772428536E-2</c:v>
                </c:pt>
                <c:pt idx="12">
                  <c:v>3.4712165426399794E-2</c:v>
                </c:pt>
                <c:pt idx="13">
                  <c:v>3.477437710056816E-2</c:v>
                </c:pt>
                <c:pt idx="14">
                  <c:v>3.4815851550013738E-2</c:v>
                </c:pt>
                <c:pt idx="15">
                  <c:v>3.5344223875980733E-2</c:v>
                </c:pt>
                <c:pt idx="16">
                  <c:v>3.5740503120455978E-2</c:v>
                </c:pt>
                <c:pt idx="17">
                  <c:v>3.604872031060339E-2</c:v>
                </c:pt>
                <c:pt idx="18">
                  <c:v>3.6295294062721327E-2</c:v>
                </c:pt>
                <c:pt idx="19">
                  <c:v>3.6945179466388506E-2</c:v>
                </c:pt>
                <c:pt idx="20">
                  <c:v>3.7486750636111149E-2</c:v>
                </c:pt>
                <c:pt idx="21">
                  <c:v>3.7945003164338006E-2</c:v>
                </c:pt>
                <c:pt idx="22">
                  <c:v>3.8337791045675314E-2</c:v>
                </c:pt>
                <c:pt idx="23">
                  <c:v>3.8882386521731156E-2</c:v>
                </c:pt>
                <c:pt idx="24">
                  <c:v>3.9358907563280018E-2</c:v>
                </c:pt>
                <c:pt idx="25">
                  <c:v>3.9779367305823134E-2</c:v>
                </c:pt>
                <c:pt idx="26">
                  <c:v>4.0153109299194786E-2</c:v>
                </c:pt>
                <c:pt idx="27">
                  <c:v>4.0487510030106269E-2</c:v>
                </c:pt>
                <c:pt idx="28">
                  <c:v>4.0788470687926605E-2</c:v>
                </c:pt>
                <c:pt idx="29">
                  <c:v>4.1426325230369251E-2</c:v>
                </c:pt>
                <c:pt idx="30">
                  <c:v>4.200619299622621E-2</c:v>
                </c:pt>
                <c:pt idx="31">
                  <c:v>4.2535637478095606E-2</c:v>
                </c:pt>
                <c:pt idx="32">
                  <c:v>4.3020961586475885E-2</c:v>
                </c:pt>
                <c:pt idx="33">
                  <c:v>4.346745976618574E-2</c:v>
                </c:pt>
                <c:pt idx="34">
                  <c:v>4.3879611932071759E-2</c:v>
                </c:pt>
                <c:pt idx="35">
                  <c:v>4.4261234307892146E-2</c:v>
                </c:pt>
                <c:pt idx="36">
                  <c:v>4.4615597942582512E-2</c:v>
                </c:pt>
                <c:pt idx="37">
                  <c:v>4.4945522705914918E-2</c:v>
                </c:pt>
                <c:pt idx="38">
                  <c:v>4.5253452485025165E-2</c:v>
                </c:pt>
                <c:pt idx="39">
                  <c:v>4.5541515826773453E-2</c:v>
                </c:pt>
                <c:pt idx="40">
                  <c:v>4.5811575209662482E-2</c:v>
                </c:pt>
                <c:pt idx="41">
                  <c:v>4.6065267357224902E-2</c:v>
                </c:pt>
                <c:pt idx="42">
                  <c:v>4.6304036437283647E-2</c:v>
                </c:pt>
                <c:pt idx="43">
                  <c:v>4.6529161569910465E-2</c:v>
                </c:pt>
                <c:pt idx="44">
                  <c:v>4.6741779750724681E-2</c:v>
                </c:pt>
                <c:pt idx="45">
                  <c:v>4.694290505690029E-2</c:v>
                </c:pt>
                <c:pt idx="46">
                  <c:v>4.7133444820645611E-2</c:v>
                </c:pt>
                <c:pt idx="47">
                  <c:v>4.7314213314455268E-2</c:v>
                </c:pt>
                <c:pt idx="48">
                  <c:v>4.7485943383574439E-2</c:v>
                </c:pt>
                <c:pt idx="49">
                  <c:v>4.7511833371737464E-2</c:v>
                </c:pt>
                <c:pt idx="50">
                  <c:v>4.7536490503321288E-2</c:v>
                </c:pt>
                <c:pt idx="51">
                  <c:v>4.756000079157563E-2</c:v>
                </c:pt>
                <c:pt idx="52">
                  <c:v>4.7582442430363872E-2</c:v>
                </c:pt>
                <c:pt idx="53">
                  <c:v>4.7603886662983749E-2</c:v>
                </c:pt>
                <c:pt idx="54">
                  <c:v>4.7624398537663627E-2</c:v>
                </c:pt>
                <c:pt idx="55">
                  <c:v>4.7644037566612452E-2</c:v>
                </c:pt>
                <c:pt idx="56">
                  <c:v>4.7662858302688405E-2</c:v>
                </c:pt>
                <c:pt idx="57">
                  <c:v>4.7680910845455136E-2</c:v>
                </c:pt>
                <c:pt idx="58">
                  <c:v>4.7698241286511199E-2</c:v>
                </c:pt>
                <c:pt idx="59">
                  <c:v>4.7714892102427804E-2</c:v>
                </c:pt>
                <c:pt idx="60">
                  <c:v>4.773090250234762E-2</c:v>
                </c:pt>
                <c:pt idx="61">
                  <c:v>4.7746308736232722E-2</c:v>
                </c:pt>
                <c:pt idx="62">
                  <c:v>4.7761144368862835E-2</c:v>
                </c:pt>
                <c:pt idx="63">
                  <c:v>4.7775440523942739E-2</c:v>
                </c:pt>
                <c:pt idx="64">
                  <c:v>4.7789226102055514E-2</c:v>
                </c:pt>
                <c:pt idx="65">
                  <c:v>4.7802527975673109E-2</c:v>
                </c:pt>
                <c:pt idx="66">
                  <c:v>4.7815371163993543E-2</c:v>
                </c:pt>
                <c:pt idx="67">
                  <c:v>4.7827778989998029E-2</c:v>
                </c:pt>
                <c:pt idx="68">
                  <c:v>4.7839773221802363E-2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2-46F7-9132-D0D8056B528D}"/>
            </c:ext>
          </c:extLst>
        </c:ser>
        <c:ser>
          <c:idx val="1"/>
          <c:order val="1"/>
          <c:tx>
            <c:strRef>
              <c:f>Bootstrap!$K$6</c:f>
              <c:strCache>
                <c:ptCount val="1"/>
                <c:pt idx="0">
                  <c:v>forward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Bootstrap!$I$7:$I$75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Bootstrap!$K$7:$K$75</c:f>
              <c:numCache>
                <c:formatCode>General</c:formatCode>
                <c:ptCount val="69"/>
                <c:pt idx="0">
                  <c:v>1.0313874368449654E-4</c:v>
                </c:pt>
                <c:pt idx="1">
                  <c:v>1.0539167217309795E-4</c:v>
                </c:pt>
                <c:pt idx="2">
                  <c:v>1.011128615701034E-4</c:v>
                </c:pt>
                <c:pt idx="3">
                  <c:v>1.0278224795759079E-4</c:v>
                </c:pt>
                <c:pt idx="4">
                  <c:v>9.4441123023019248E-5</c:v>
                </c:pt>
                <c:pt idx="5">
                  <c:v>9.4441123023019248E-5</c:v>
                </c:pt>
                <c:pt idx="6">
                  <c:v>9.3896746510679631E-5</c:v>
                </c:pt>
                <c:pt idx="7">
                  <c:v>9.3896746510679631E-5</c:v>
                </c:pt>
                <c:pt idx="8">
                  <c:v>9.3896746510679631E-5</c:v>
                </c:pt>
                <c:pt idx="9">
                  <c:v>9.3896746510679631E-5</c:v>
                </c:pt>
                <c:pt idx="10">
                  <c:v>9.3896746510679631E-5</c:v>
                </c:pt>
                <c:pt idx="11">
                  <c:v>6.9327382388313569E-2</c:v>
                </c:pt>
                <c:pt idx="12">
                  <c:v>6.9327382388313569E-2</c:v>
                </c:pt>
                <c:pt idx="13">
                  <c:v>3.5023223797241633E-2</c:v>
                </c:pt>
                <c:pt idx="14">
                  <c:v>3.5023223797241633E-2</c:v>
                </c:pt>
                <c:pt idx="15">
                  <c:v>3.8514457831782707E-2</c:v>
                </c:pt>
                <c:pt idx="16">
                  <c:v>3.8514457831782707E-2</c:v>
                </c:pt>
                <c:pt idx="17">
                  <c:v>3.8514457831782707E-2</c:v>
                </c:pt>
                <c:pt idx="18">
                  <c:v>3.8514457831782707E-2</c:v>
                </c:pt>
                <c:pt idx="19">
                  <c:v>4.3444033503060267E-2</c:v>
                </c:pt>
                <c:pt idx="20">
                  <c:v>4.3444033503060267E-2</c:v>
                </c:pt>
                <c:pt idx="21">
                  <c:v>4.3444033503060267E-2</c:v>
                </c:pt>
                <c:pt idx="22">
                  <c:v>4.3444033503060267E-2</c:v>
                </c:pt>
                <c:pt idx="23">
                  <c:v>4.6506723186512944E-2</c:v>
                </c:pt>
                <c:pt idx="24">
                  <c:v>4.6506723186512944E-2</c:v>
                </c:pt>
                <c:pt idx="25">
                  <c:v>4.6506723186512944E-2</c:v>
                </c:pt>
                <c:pt idx="26">
                  <c:v>4.6506723186512944E-2</c:v>
                </c:pt>
                <c:pt idx="27">
                  <c:v>4.6506723186512944E-2</c:v>
                </c:pt>
                <c:pt idx="28">
                  <c:v>4.6506723186512944E-2</c:v>
                </c:pt>
                <c:pt idx="29">
                  <c:v>5.418341607922228E-2</c:v>
                </c:pt>
                <c:pt idx="30">
                  <c:v>5.418341607922228E-2</c:v>
                </c:pt>
                <c:pt idx="31">
                  <c:v>5.418341607922228E-2</c:v>
                </c:pt>
                <c:pt idx="32">
                  <c:v>5.418341607922228E-2</c:v>
                </c:pt>
                <c:pt idx="33">
                  <c:v>5.418341607922228E-2</c:v>
                </c:pt>
                <c:pt idx="34">
                  <c:v>5.418341607922228E-2</c:v>
                </c:pt>
                <c:pt idx="35">
                  <c:v>5.418341607922228E-2</c:v>
                </c:pt>
                <c:pt idx="36">
                  <c:v>5.418341607922228E-2</c:v>
                </c:pt>
                <c:pt idx="37">
                  <c:v>5.418341607922228E-2</c:v>
                </c:pt>
                <c:pt idx="38">
                  <c:v>5.418341607922228E-2</c:v>
                </c:pt>
                <c:pt idx="39">
                  <c:v>5.418341607922228E-2</c:v>
                </c:pt>
                <c:pt idx="40">
                  <c:v>5.418341607922228E-2</c:v>
                </c:pt>
                <c:pt idx="41">
                  <c:v>5.418341607922228E-2</c:v>
                </c:pt>
                <c:pt idx="42">
                  <c:v>5.418341607922228E-2</c:v>
                </c:pt>
                <c:pt idx="43">
                  <c:v>5.418341607922228E-2</c:v>
                </c:pt>
                <c:pt idx="44">
                  <c:v>5.418341607922228E-2</c:v>
                </c:pt>
                <c:pt idx="45">
                  <c:v>5.418341607922228E-2</c:v>
                </c:pt>
                <c:pt idx="46">
                  <c:v>5.418341607922228E-2</c:v>
                </c:pt>
                <c:pt idx="47">
                  <c:v>5.418341607922228E-2</c:v>
                </c:pt>
                <c:pt idx="48">
                  <c:v>5.418341607922228E-2</c:v>
                </c:pt>
                <c:pt idx="49">
                  <c:v>4.8547432898258212E-2</c:v>
                </c:pt>
                <c:pt idx="50">
                  <c:v>4.8547432898258212E-2</c:v>
                </c:pt>
                <c:pt idx="51">
                  <c:v>4.8547432898258212E-2</c:v>
                </c:pt>
                <c:pt idx="52">
                  <c:v>4.8547432898258212E-2</c:v>
                </c:pt>
                <c:pt idx="53">
                  <c:v>4.8547432898258212E-2</c:v>
                </c:pt>
                <c:pt idx="54">
                  <c:v>4.8547432898258212E-2</c:v>
                </c:pt>
                <c:pt idx="55">
                  <c:v>4.8547432898258212E-2</c:v>
                </c:pt>
                <c:pt idx="56">
                  <c:v>4.8547432898258212E-2</c:v>
                </c:pt>
                <c:pt idx="57">
                  <c:v>4.8547432898258212E-2</c:v>
                </c:pt>
                <c:pt idx="58">
                  <c:v>4.8547432898258212E-2</c:v>
                </c:pt>
                <c:pt idx="59">
                  <c:v>4.8547432898258212E-2</c:v>
                </c:pt>
                <c:pt idx="60">
                  <c:v>4.8547432898258212E-2</c:v>
                </c:pt>
                <c:pt idx="61">
                  <c:v>4.8547432898258212E-2</c:v>
                </c:pt>
                <c:pt idx="62">
                  <c:v>4.8547432898258212E-2</c:v>
                </c:pt>
                <c:pt idx="63">
                  <c:v>4.8547432898258212E-2</c:v>
                </c:pt>
                <c:pt idx="64">
                  <c:v>4.8547432898258212E-2</c:v>
                </c:pt>
                <c:pt idx="65">
                  <c:v>4.8547432898258212E-2</c:v>
                </c:pt>
                <c:pt idx="66">
                  <c:v>4.8547432898258212E-2</c:v>
                </c:pt>
                <c:pt idx="67">
                  <c:v>4.8547432898258212E-2</c:v>
                </c:pt>
                <c:pt idx="68">
                  <c:v>4.8547432898258212E-2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C2-46F7-9132-D0D8056B5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0512"/>
        <c:axId val="1778131072"/>
      </c:scatterChart>
      <c:valAx>
        <c:axId val="1778120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31072"/>
        <c:crosses val="autoZero"/>
        <c:crossBetween val="midCat"/>
      </c:valAx>
      <c:valAx>
        <c:axId val="177813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2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110490</xdr:colOff>
      <xdr:row>6</xdr:row>
      <xdr:rowOff>209550</xdr:rowOff>
    </xdr:from>
    <xdr:to>
      <xdr:col>17</xdr:col>
      <xdr:colOff>720090</xdr:colOff>
      <xdr:row>18</xdr:row>
      <xdr:rowOff>209550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5AF9E0-F9FF-D0BC-6ECC-52202584F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38"/>
  <sheetViews>
    <sheetView workbookViewId="0">
      <selection activeCell="B6" sqref="B6"/>
    </sheetView>
  </sheetViews>
  <sheetFormatPr defaultRowHeight="18" x14ac:dyDescent="0.35"/>
  <sheetData>
    <row r="2" spans="2:16" x14ac:dyDescent="0.35">
      <c r="B2" s="1" t="s">
        <v>0</v>
      </c>
    </row>
    <row r="4" spans="2:16" x14ac:dyDescent="0.35">
      <c r="B4" t="str">
        <f>_xlfn.WEBSERVICE(B2)</f>
        <v>Date,"1 Mo","1.5 Month","2 Mo","3 Mo","4 Mo","6 Mo","1 Yr","2 Yr","3 Yr","5 Yr","7 Yr","10 Yr","20 Yr","30 Yr"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35">
      <c r="B6" t="str" cm="1">
        <f t="array" ref="B6:P38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35">
      <c r="B7" t="str">
        <v>02/18/2026</v>
      </c>
      <c r="C7" t="str">
        <v>3.71</v>
      </c>
      <c r="D7" t="str">
        <v>3.74</v>
      </c>
      <c r="E7" t="str">
        <v>3.73</v>
      </c>
      <c r="F7" t="str">
        <v>3.70</v>
      </c>
      <c r="G7" t="str">
        <v>3.70</v>
      </c>
      <c r="H7" t="str">
        <v>3.60</v>
      </c>
      <c r="I7" t="str">
        <v>3.49</v>
      </c>
      <c r="J7" t="str">
        <v>3.47</v>
      </c>
      <c r="K7" t="str">
        <v>3.50</v>
      </c>
      <c r="L7" t="str">
        <v>3.66</v>
      </c>
      <c r="M7" t="str">
        <v>3.86</v>
      </c>
      <c r="N7" t="str">
        <v>4.09</v>
      </c>
      <c r="O7" t="str">
        <v>4.65</v>
      </c>
      <c r="P7" t="str">
        <v>4.71</v>
      </c>
    </row>
    <row r="8" spans="2:16" x14ac:dyDescent="0.35">
      <c r="B8" t="str">
        <v>02/17/2026</v>
      </c>
      <c r="C8" t="str">
        <v>3.72</v>
      </c>
      <c r="D8" t="str">
        <v>3.75</v>
      </c>
      <c r="E8" t="str">
        <v>3.73</v>
      </c>
      <c r="F8" t="str">
        <v>3.69</v>
      </c>
      <c r="G8" t="str">
        <v>3.70</v>
      </c>
      <c r="H8" t="str">
        <v>3.59</v>
      </c>
      <c r="I8" t="str">
        <v>3.48</v>
      </c>
      <c r="J8" t="str">
        <v>3.43</v>
      </c>
      <c r="K8" t="str">
        <v>3.47</v>
      </c>
      <c r="L8" t="str">
        <v>3.63</v>
      </c>
      <c r="M8" t="str">
        <v>3.82</v>
      </c>
      <c r="N8" t="str">
        <v>4.05</v>
      </c>
      <c r="O8" t="str">
        <v>4.63</v>
      </c>
      <c r="P8" t="str">
        <v>4.68</v>
      </c>
    </row>
    <row r="9" spans="2:16" x14ac:dyDescent="0.35">
      <c r="B9" t="str">
        <v>02/13/2026</v>
      </c>
      <c r="C9" t="str">
        <v>3.72</v>
      </c>
      <c r="D9" t="str">
        <v>3.71</v>
      </c>
      <c r="E9" t="str">
        <v>3.73</v>
      </c>
      <c r="F9" t="str">
        <v>3.68</v>
      </c>
      <c r="G9" t="str">
        <v>3.70</v>
      </c>
      <c r="H9" t="str">
        <v>3.59</v>
      </c>
      <c r="I9" t="str">
        <v>3.42</v>
      </c>
      <c r="J9" t="str">
        <v>3.40</v>
      </c>
      <c r="K9" t="str">
        <v>3.43</v>
      </c>
      <c r="L9" t="str">
        <v>3.61</v>
      </c>
      <c r="M9" t="str">
        <v>3.81</v>
      </c>
      <c r="N9" t="str">
        <v>4.04</v>
      </c>
      <c r="O9" t="str">
        <v>4.64</v>
      </c>
      <c r="P9" t="str">
        <v>4.69</v>
      </c>
    </row>
    <row r="10" spans="2:16" x14ac:dyDescent="0.35">
      <c r="B10" t="str">
        <v>02/12/2026</v>
      </c>
      <c r="C10" t="str">
        <v>3.72</v>
      </c>
      <c r="D10" t="str">
        <v>3.71</v>
      </c>
      <c r="E10" t="str">
        <v>3.74</v>
      </c>
      <c r="F10" t="str">
        <v>3.70</v>
      </c>
      <c r="G10" t="str">
        <v>3.70</v>
      </c>
      <c r="H10" t="str">
        <v>3.58</v>
      </c>
      <c r="I10" t="str">
        <v>3.45</v>
      </c>
      <c r="J10" t="str">
        <v>3.47</v>
      </c>
      <c r="K10" t="str">
        <v>3.49</v>
      </c>
      <c r="L10" t="str">
        <v>3.67</v>
      </c>
      <c r="M10" t="str">
        <v>3.87</v>
      </c>
      <c r="N10" t="str">
        <v>4.09</v>
      </c>
      <c r="O10" t="str">
        <v>4.68</v>
      </c>
      <c r="P10" t="str">
        <v>4.72</v>
      </c>
    </row>
    <row r="11" spans="2:16" x14ac:dyDescent="0.35">
      <c r="B11" t="str">
        <v>02/11/2026</v>
      </c>
      <c r="C11" t="str">
        <v>3.71</v>
      </c>
      <c r="D11" t="str">
        <v>3.71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3.47</v>
      </c>
      <c r="J11" t="str">
        <v>3.52</v>
      </c>
      <c r="K11" t="str">
        <v>3.55</v>
      </c>
      <c r="L11" t="str">
        <v>3.75</v>
      </c>
      <c r="M11" t="str">
        <v>3.96</v>
      </c>
      <c r="N11" t="str">
        <v>4.18</v>
      </c>
      <c r="O11" t="str">
        <v>4.76</v>
      </c>
      <c r="P11" t="str">
        <v>4.82</v>
      </c>
    </row>
    <row r="12" spans="2:16" x14ac:dyDescent="0.35">
      <c r="B12" t="str">
        <v>02/10/2026</v>
      </c>
      <c r="C12" t="str">
        <v>3.72</v>
      </c>
      <c r="D12" t="str">
        <v>3.72</v>
      </c>
      <c r="E12" t="str">
        <v>3.74</v>
      </c>
      <c r="F12" t="str">
        <v>3.69</v>
      </c>
      <c r="G12" t="str">
        <v>3.69</v>
      </c>
      <c r="H12" t="str">
        <v>3.58</v>
      </c>
      <c r="I12" t="str">
        <v>3.40</v>
      </c>
      <c r="J12" t="str">
        <v>3.45</v>
      </c>
      <c r="K12" t="str">
        <v>3.50</v>
      </c>
      <c r="L12" t="str">
        <v>3.70</v>
      </c>
      <c r="M12" t="str">
        <v>3.92</v>
      </c>
      <c r="N12" t="str">
        <v>4.16</v>
      </c>
      <c r="O12" t="str">
        <v>4.73</v>
      </c>
      <c r="P12" t="str">
        <v>4.78</v>
      </c>
    </row>
    <row r="13" spans="2:16" x14ac:dyDescent="0.35">
      <c r="B13" t="str">
        <v>02/09/2026</v>
      </c>
      <c r="C13" t="str">
        <v>3.72</v>
      </c>
      <c r="D13" t="str">
        <v>3.72</v>
      </c>
      <c r="E13" t="str">
        <v>3.73</v>
      </c>
      <c r="F13" t="str">
        <v>3.69</v>
      </c>
      <c r="G13" t="str">
        <v>3.70</v>
      </c>
      <c r="H13" t="str">
        <v>3.59</v>
      </c>
      <c r="I13" t="str">
        <v>3.43</v>
      </c>
      <c r="J13" t="str">
        <v>3.48</v>
      </c>
      <c r="K13" t="str">
        <v>3.56</v>
      </c>
      <c r="L13" t="str">
        <v>3.75</v>
      </c>
      <c r="M13" t="str">
        <v>3.97</v>
      </c>
      <c r="N13" t="str">
        <v>4.22</v>
      </c>
      <c r="O13" t="str">
        <v>4.79</v>
      </c>
      <c r="P13" t="str">
        <v>4.85</v>
      </c>
    </row>
    <row r="14" spans="2:16" x14ac:dyDescent="0.35">
      <c r="B14" t="str">
        <v>02/06/2026</v>
      </c>
      <c r="C14" t="str">
        <v>3.72</v>
      </c>
      <c r="D14" t="str">
        <v>3.72</v>
      </c>
      <c r="E14" t="str">
        <v>3.74</v>
      </c>
      <c r="F14" t="str">
        <v>3.68</v>
      </c>
      <c r="G14" t="str">
        <v>3.70</v>
      </c>
      <c r="H14" t="str">
        <v>3.59</v>
      </c>
      <c r="I14" t="str">
        <v>3.45</v>
      </c>
      <c r="J14" t="str">
        <v>3.50</v>
      </c>
      <c r="K14" t="str">
        <v>3.57</v>
      </c>
      <c r="L14" t="str">
        <v>3.76</v>
      </c>
      <c r="M14" t="str">
        <v>3.98</v>
      </c>
      <c r="N14" t="str">
        <v>4.22</v>
      </c>
      <c r="O14" t="str">
        <v>4.80</v>
      </c>
      <c r="P14" t="str">
        <v>4.85</v>
      </c>
    </row>
    <row r="15" spans="2:16" x14ac:dyDescent="0.35">
      <c r="B15" t="str">
        <v>02/05/2026</v>
      </c>
      <c r="C15" t="str">
        <v>3.72</v>
      </c>
      <c r="D15" t="str">
        <v>3.71</v>
      </c>
      <c r="E15" t="str">
        <v>3.74</v>
      </c>
      <c r="F15" t="str">
        <v>3.67</v>
      </c>
      <c r="G15" t="str">
        <v>3.68</v>
      </c>
      <c r="H15" t="str">
        <v>3.58</v>
      </c>
      <c r="I15" t="str">
        <v>3.44</v>
      </c>
      <c r="J15" t="str">
        <v>3.47</v>
      </c>
      <c r="K15" t="str">
        <v>3.55</v>
      </c>
      <c r="L15" t="str">
        <v>3.74</v>
      </c>
      <c r="M15" t="str">
        <v>3.97</v>
      </c>
      <c r="N15" t="str">
        <v>4.21</v>
      </c>
      <c r="O15" t="str">
        <v>4.79</v>
      </c>
      <c r="P15" t="str">
        <v>4.85</v>
      </c>
    </row>
    <row r="16" spans="2:16" x14ac:dyDescent="0.35">
      <c r="B16" t="str">
        <v>02/04/2026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3.70</v>
      </c>
      <c r="H16" t="str">
        <v>3.62</v>
      </c>
      <c r="I16" t="str">
        <v>3.49</v>
      </c>
      <c r="J16" t="str">
        <v>3.57</v>
      </c>
      <c r="K16" t="str">
        <v>3.64</v>
      </c>
      <c r="L16" t="str">
        <v>3.83</v>
      </c>
      <c r="M16" t="str">
        <v>4.05</v>
      </c>
      <c r="N16" t="str">
        <v>4.29</v>
      </c>
      <c r="O16" t="str">
        <v>4.86</v>
      </c>
      <c r="P16" t="str">
        <v>4.91</v>
      </c>
    </row>
    <row r="17" spans="2:16" x14ac:dyDescent="0.35">
      <c r="B17" t="str">
        <v>02/03/2026</v>
      </c>
      <c r="C17" t="str">
        <v>3.72</v>
      </c>
      <c r="D17" t="str">
        <v>3.72</v>
      </c>
      <c r="E17" t="str">
        <v>3.74</v>
      </c>
      <c r="F17" t="str">
        <v>3.69</v>
      </c>
      <c r="G17" t="str">
        <v>3.70</v>
      </c>
      <c r="H17" t="str">
        <v>3.62</v>
      </c>
      <c r="I17" t="str">
        <v>3.49</v>
      </c>
      <c r="J17" t="str">
        <v>3.57</v>
      </c>
      <c r="K17" t="str">
        <v>3.64</v>
      </c>
      <c r="L17" t="str">
        <v>3.83</v>
      </c>
      <c r="M17" t="str">
        <v>4.04</v>
      </c>
      <c r="N17" t="str">
        <v>4.28</v>
      </c>
      <c r="O17" t="str">
        <v>4.85</v>
      </c>
      <c r="P17" t="str">
        <v>4.90</v>
      </c>
    </row>
    <row r="18" spans="2:16" x14ac:dyDescent="0.35">
      <c r="B18" t="str">
        <v>02/02/2026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4.85</v>
      </c>
      <c r="P18" t="str">
        <v>4.90</v>
      </c>
    </row>
    <row r="19" spans="2:16" x14ac:dyDescent="0.35">
      <c r="B19" t="str">
        <v>01/30/2026</v>
      </c>
      <c r="C19" t="str">
        <v>3.72</v>
      </c>
      <c r="D19" t="str">
        <v>3.73</v>
      </c>
      <c r="E19" t="str">
        <v>3.75</v>
      </c>
      <c r="F19" t="str">
        <v>3.67</v>
      </c>
      <c r="G19" t="str">
        <v>3.69</v>
      </c>
      <c r="H19" t="str">
        <v>3.61</v>
      </c>
      <c r="I19" t="str">
        <v>3.48</v>
      </c>
      <c r="J19" t="str">
        <v>3.52</v>
      </c>
      <c r="K19" t="str">
        <v>3.60</v>
      </c>
      <c r="L19" t="str">
        <v>3.79</v>
      </c>
      <c r="M19" t="str">
        <v>4.01</v>
      </c>
      <c r="N19" t="str">
        <v>4.26</v>
      </c>
      <c r="O19" t="str">
        <v>4.82</v>
      </c>
      <c r="P19" t="str">
        <v>4.87</v>
      </c>
    </row>
    <row r="20" spans="2:16" x14ac:dyDescent="0.35">
      <c r="B20" t="str">
        <v>01/29/2026</v>
      </c>
      <c r="C20" t="str">
        <v>3.72</v>
      </c>
      <c r="D20" t="str">
        <v>3.73</v>
      </c>
      <c r="E20" t="str">
        <v>3.75</v>
      </c>
      <c r="F20" t="str">
        <v>3.67</v>
      </c>
      <c r="G20" t="str">
        <v>3.69</v>
      </c>
      <c r="H20" t="str">
        <v>3.62</v>
      </c>
      <c r="I20" t="str">
        <v>3.50</v>
      </c>
      <c r="J20" t="str">
        <v>3.53</v>
      </c>
      <c r="K20" t="str">
        <v>3.63</v>
      </c>
      <c r="L20" t="str">
        <v>3.80</v>
      </c>
      <c r="M20" t="str">
        <v>4.01</v>
      </c>
      <c r="N20" t="str">
        <v>4.24</v>
      </c>
      <c r="O20" t="str">
        <v>4.80</v>
      </c>
      <c r="P20" t="str">
        <v>4.85</v>
      </c>
    </row>
    <row r="21" spans="2:16" x14ac:dyDescent="0.35">
      <c r="B21" t="str">
        <v>01/28/2026</v>
      </c>
      <c r="C21" t="str">
        <v>3.76</v>
      </c>
      <c r="D21" t="str">
        <v>3.72</v>
      </c>
      <c r="E21" t="str">
        <v>3.71</v>
      </c>
      <c r="F21" t="str">
        <v>3.68</v>
      </c>
      <c r="G21" t="str">
        <v>3.70</v>
      </c>
      <c r="H21" t="str">
        <v>3.63</v>
      </c>
      <c r="I21" t="str">
        <v>3.52</v>
      </c>
      <c r="J21" t="str">
        <v>3.56</v>
      </c>
      <c r="K21" t="str">
        <v>3.66</v>
      </c>
      <c r="L21" t="str">
        <v>3.83</v>
      </c>
      <c r="M21" t="str">
        <v>4.05</v>
      </c>
      <c r="N21" t="str">
        <v>4.26</v>
      </c>
      <c r="O21" t="str">
        <v>4.81</v>
      </c>
      <c r="P21" t="str">
        <v>4.85</v>
      </c>
    </row>
    <row r="22" spans="2:16" x14ac:dyDescent="0.35">
      <c r="B22" t="str">
        <v>01/27/2026</v>
      </c>
      <c r="C22" t="str">
        <v>3.77</v>
      </c>
      <c r="D22" t="str">
        <v>3.72</v>
      </c>
      <c r="E22" t="str">
        <v>3.70</v>
      </c>
      <c r="F22" t="str">
        <v>3.67</v>
      </c>
      <c r="G22" t="str">
        <v>3.66</v>
      </c>
      <c r="H22" t="str">
        <v>3.61</v>
      </c>
      <c r="I22" t="str">
        <v>3.50</v>
      </c>
      <c r="J22" t="str">
        <v>3.53</v>
      </c>
      <c r="K22" t="str">
        <v>3.65</v>
      </c>
      <c r="L22" t="str">
        <v>3.81</v>
      </c>
      <c r="M22" t="str">
        <v>4.03</v>
      </c>
      <c r="N22" t="str">
        <v>4.24</v>
      </c>
      <c r="O22" t="str">
        <v>4.79</v>
      </c>
      <c r="P22" t="str">
        <v>4.83</v>
      </c>
    </row>
    <row r="23" spans="2:16" x14ac:dyDescent="0.35">
      <c r="B23" t="str">
        <v>01/26/2026</v>
      </c>
      <c r="C23" t="str">
        <v>3.77</v>
      </c>
      <c r="D23" t="str">
        <v>3.71</v>
      </c>
      <c r="E23" t="str">
        <v>3.70</v>
      </c>
      <c r="F23" t="str">
        <v>3.67</v>
      </c>
      <c r="G23" t="str">
        <v>3.67</v>
      </c>
      <c r="H23" t="str">
        <v>3.62</v>
      </c>
      <c r="I23" t="str">
        <v>3.52</v>
      </c>
      <c r="J23" t="str">
        <v>3.56</v>
      </c>
      <c r="K23" t="str">
        <v>3.66</v>
      </c>
      <c r="L23" t="str">
        <v>3.82</v>
      </c>
      <c r="M23" t="str">
        <v>4.02</v>
      </c>
      <c r="N23" t="str">
        <v>4.22</v>
      </c>
      <c r="O23" t="str">
        <v>4.75</v>
      </c>
      <c r="P23" t="str">
        <v>4.80</v>
      </c>
    </row>
    <row r="24" spans="2:16" x14ac:dyDescent="0.35">
      <c r="B24" t="str">
        <v>01/23/2026</v>
      </c>
      <c r="C24" t="str">
        <v>3.78</v>
      </c>
      <c r="D24" t="str">
        <v>3.71</v>
      </c>
      <c r="E24" t="str">
        <v>3.72</v>
      </c>
      <c r="F24" t="str">
        <v>3.70</v>
      </c>
      <c r="G24" t="str">
        <v>3.67</v>
      </c>
      <c r="H24" t="str">
        <v>3.61</v>
      </c>
      <c r="I24" t="str">
        <v>3.53</v>
      </c>
      <c r="J24" t="str">
        <v>3.60</v>
      </c>
      <c r="K24" t="str">
        <v>3.67</v>
      </c>
      <c r="L24" t="str">
        <v>3.84</v>
      </c>
      <c r="M24" t="str">
        <v>4.03</v>
      </c>
      <c r="N24" t="str">
        <v>4.24</v>
      </c>
      <c r="O24" t="str">
        <v>4.78</v>
      </c>
      <c r="P24" t="str">
        <v>4.82</v>
      </c>
    </row>
    <row r="25" spans="2:16" x14ac:dyDescent="0.35">
      <c r="B25" t="str">
        <v>01/22/2026</v>
      </c>
      <c r="C25" t="str">
        <v>3.79</v>
      </c>
      <c r="D25" t="str">
        <v>3.71</v>
      </c>
      <c r="E25" t="str">
        <v>3.72</v>
      </c>
      <c r="F25" t="str">
        <v>3.71</v>
      </c>
      <c r="G25" t="str">
        <v>3.67</v>
      </c>
      <c r="H25" t="str">
        <v>3.61</v>
      </c>
      <c r="I25" t="str">
        <v>3.53</v>
      </c>
      <c r="J25" t="str">
        <v>3.61</v>
      </c>
      <c r="K25" t="str">
        <v>3.68</v>
      </c>
      <c r="L25" t="str">
        <v>3.85</v>
      </c>
      <c r="M25" t="str">
        <v>4.05</v>
      </c>
      <c r="N25" t="str">
        <v>4.26</v>
      </c>
      <c r="O25" t="str">
        <v>4.79</v>
      </c>
      <c r="P25" t="str">
        <v>4.84</v>
      </c>
    </row>
    <row r="26" spans="2:16" x14ac:dyDescent="0.35">
      <c r="B26" t="str">
        <v>01/21/2026</v>
      </c>
      <c r="C26" t="str">
        <v>3.75</v>
      </c>
      <c r="D26" t="str">
        <v>3.71</v>
      </c>
      <c r="E26" t="str">
        <v>3.70</v>
      </c>
      <c r="F26" t="str">
        <v>3.70</v>
      </c>
      <c r="G26" t="str">
        <v>3.67</v>
      </c>
      <c r="H26" t="str">
        <v>3.62</v>
      </c>
      <c r="I26" t="str">
        <v>3.53</v>
      </c>
      <c r="J26" t="str">
        <v>3.60</v>
      </c>
      <c r="K26" t="str">
        <v>3.66</v>
      </c>
      <c r="L26" t="str">
        <v>3.83</v>
      </c>
      <c r="M26" t="str">
        <v>4.04</v>
      </c>
      <c r="N26" t="str">
        <v>4.26</v>
      </c>
      <c r="O26" t="str">
        <v>4.82</v>
      </c>
      <c r="P26" t="str">
        <v>4.87</v>
      </c>
    </row>
    <row r="27" spans="2:16" x14ac:dyDescent="0.35">
      <c r="B27" t="str">
        <v>01/20/2026</v>
      </c>
      <c r="C27" t="str">
        <v>3.75</v>
      </c>
      <c r="D27" t="str">
        <v>3.71</v>
      </c>
      <c r="E27" t="str">
        <v>3.69</v>
      </c>
      <c r="F27" t="str">
        <v>3.70</v>
      </c>
      <c r="G27" t="str">
        <v>3.65</v>
      </c>
      <c r="H27" t="str">
        <v>3.61</v>
      </c>
      <c r="I27" t="str">
        <v>3.53</v>
      </c>
      <c r="J27" t="str">
        <v>3.60</v>
      </c>
      <c r="K27" t="str">
        <v>3.68</v>
      </c>
      <c r="L27" t="str">
        <v>3.86</v>
      </c>
      <c r="M27" t="str">
        <v>4.08</v>
      </c>
      <c r="N27" t="str">
        <v>4.30</v>
      </c>
      <c r="O27" t="str">
        <v>4.87</v>
      </c>
      <c r="P27" t="str">
        <v>4.91</v>
      </c>
    </row>
    <row r="28" spans="2:16" x14ac:dyDescent="0.35">
      <c r="B28" t="str">
        <v>01/16/2026</v>
      </c>
      <c r="C28" t="str">
        <v>3.75</v>
      </c>
      <c r="D28" t="str">
        <v>3.72</v>
      </c>
      <c r="E28" t="str">
        <v>3.68</v>
      </c>
      <c r="F28" t="str">
        <v>3.67</v>
      </c>
      <c r="G28" t="str">
        <v>3.66</v>
      </c>
      <c r="H28" t="str">
        <v>3.60</v>
      </c>
      <c r="I28" t="str">
        <v>3.55</v>
      </c>
      <c r="J28" t="str">
        <v>3.59</v>
      </c>
      <c r="K28" t="str">
        <v>3.67</v>
      </c>
      <c r="L28" t="str">
        <v>3.82</v>
      </c>
      <c r="M28" t="str">
        <v>4.02</v>
      </c>
      <c r="N28" t="str">
        <v>4.24</v>
      </c>
      <c r="O28" t="str">
        <v>4.79</v>
      </c>
      <c r="P28" t="str">
        <v>4.83</v>
      </c>
    </row>
    <row r="29" spans="2:16" x14ac:dyDescent="0.35">
      <c r="B29" t="str">
        <v>01/15/2026</v>
      </c>
      <c r="C29" t="str">
        <v>3.75</v>
      </c>
      <c r="D29" t="str">
        <v>3.73</v>
      </c>
      <c r="E29" t="str">
        <v>3.69</v>
      </c>
      <c r="F29" t="str">
        <v>3.68</v>
      </c>
      <c r="G29" t="str">
        <v>3.66</v>
      </c>
      <c r="H29" t="str">
        <v>3.60</v>
      </c>
      <c r="I29" t="str">
        <v>3.54</v>
      </c>
      <c r="J29" t="str">
        <v>3.56</v>
      </c>
      <c r="K29" t="str">
        <v>3.62</v>
      </c>
      <c r="L29" t="str">
        <v>3.77</v>
      </c>
      <c r="M29" t="str">
        <v>3.96</v>
      </c>
      <c r="N29" t="str">
        <v>4.17</v>
      </c>
      <c r="O29" t="str">
        <v>4.74</v>
      </c>
      <c r="P29" t="str">
        <v>4.79</v>
      </c>
    </row>
    <row r="30" spans="2:16" x14ac:dyDescent="0.35">
      <c r="B30" t="str">
        <v>01/14/2026</v>
      </c>
      <c r="C30" t="str">
        <v>3.72</v>
      </c>
      <c r="D30" t="str">
        <v>3.71</v>
      </c>
      <c r="E30" t="str">
        <v>3.66</v>
      </c>
      <c r="F30" t="str">
        <v>3.67</v>
      </c>
      <c r="G30" t="str">
        <v>3.65</v>
      </c>
      <c r="H30" t="str">
        <v>3.58</v>
      </c>
      <c r="I30" t="str">
        <v>3.50</v>
      </c>
      <c r="J30" t="str">
        <v>3.51</v>
      </c>
      <c r="K30" t="str">
        <v>3.56</v>
      </c>
      <c r="L30" t="str">
        <v>3.72</v>
      </c>
      <c r="M30" t="str">
        <v>3.92</v>
      </c>
      <c r="N30" t="str">
        <v>4.15</v>
      </c>
      <c r="O30" t="str">
        <v>4.73</v>
      </c>
      <c r="P30" t="str">
        <v>4.79</v>
      </c>
    </row>
    <row r="31" spans="2:16" x14ac:dyDescent="0.35">
      <c r="B31" t="str">
        <v>01/13/2026</v>
      </c>
      <c r="C31" t="str">
        <v>3.72</v>
      </c>
      <c r="D31" t="str">
        <v>3.72</v>
      </c>
      <c r="E31" t="str">
        <v>3.66</v>
      </c>
      <c r="F31" t="str">
        <v>3.67</v>
      </c>
      <c r="G31" t="str">
        <v>3.63</v>
      </c>
      <c r="H31" t="str">
        <v>3.59</v>
      </c>
      <c r="I31" t="str">
        <v>3.51</v>
      </c>
      <c r="J31" t="str">
        <v>3.53</v>
      </c>
      <c r="K31" t="str">
        <v>3.57</v>
      </c>
      <c r="L31" t="str">
        <v>3.75</v>
      </c>
      <c r="M31" t="str">
        <v>3.95</v>
      </c>
      <c r="N31" t="str">
        <v>4.18</v>
      </c>
      <c r="O31" t="str">
        <v>4.77</v>
      </c>
      <c r="P31" t="str">
        <v>4.83</v>
      </c>
    </row>
    <row r="32" spans="2:16" x14ac:dyDescent="0.35">
      <c r="B32" t="str">
        <v>01/12/2026</v>
      </c>
      <c r="C32" t="str">
        <v>3.71</v>
      </c>
      <c r="D32" t="str">
        <v>3.68</v>
      </c>
      <c r="E32" t="str">
        <v>3.64</v>
      </c>
      <c r="F32" t="str">
        <v>3.67</v>
      </c>
      <c r="G32" t="str">
        <v>3.63</v>
      </c>
      <c r="H32" t="str">
        <v>3.58</v>
      </c>
      <c r="I32" t="str">
        <v>3.53</v>
      </c>
      <c r="J32" t="str">
        <v>3.54</v>
      </c>
      <c r="K32" t="str">
        <v>3.59</v>
      </c>
      <c r="L32" t="str">
        <v>3.77</v>
      </c>
      <c r="M32" t="str">
        <v>3.97</v>
      </c>
      <c r="N32" t="str">
        <v>4.19</v>
      </c>
      <c r="O32" t="str">
        <v>4.78</v>
      </c>
      <c r="P32" t="str">
        <v>4.83</v>
      </c>
    </row>
    <row r="33" spans="2:16" x14ac:dyDescent="0.35">
      <c r="B33" t="str">
        <v>01/09/2026</v>
      </c>
      <c r="C33" t="str">
        <v>3.70</v>
      </c>
      <c r="D33" t="str">
        <v>3.68</v>
      </c>
      <c r="E33" t="str">
        <v>3.63</v>
      </c>
      <c r="F33" t="str">
        <v>3.62</v>
      </c>
      <c r="G33" t="str">
        <v>3.62</v>
      </c>
      <c r="H33" t="str">
        <v>3.57</v>
      </c>
      <c r="I33" t="str">
        <v>3.52</v>
      </c>
      <c r="J33" t="str">
        <v>3.54</v>
      </c>
      <c r="K33" t="str">
        <v>3.59</v>
      </c>
      <c r="L33" t="str">
        <v>3.75</v>
      </c>
      <c r="M33" t="str">
        <v>3.95</v>
      </c>
      <c r="N33" t="str">
        <v>4.18</v>
      </c>
      <c r="O33" t="str">
        <v>4.76</v>
      </c>
      <c r="P33" t="str">
        <v>4.82</v>
      </c>
    </row>
    <row r="34" spans="2:16" x14ac:dyDescent="0.35">
      <c r="B34" t="str">
        <v>01/08/2026</v>
      </c>
      <c r="C34" t="str">
        <v>3.70</v>
      </c>
      <c r="D34" t="str">
        <v>3.69</v>
      </c>
      <c r="E34" t="str">
        <v>3.63</v>
      </c>
      <c r="F34" t="str">
        <v>3.62</v>
      </c>
      <c r="G34" t="str">
        <v>3.60</v>
      </c>
      <c r="H34" t="str">
        <v>3.56</v>
      </c>
      <c r="I34" t="str">
        <v>3.48</v>
      </c>
      <c r="J34" t="str">
        <v>3.49</v>
      </c>
      <c r="K34" t="str">
        <v>3.56</v>
      </c>
      <c r="L34" t="str">
        <v>3.74</v>
      </c>
      <c r="M34" t="str">
        <v>3.95</v>
      </c>
      <c r="N34" t="str">
        <v>4.19</v>
      </c>
      <c r="O34" t="str">
        <v>4.79</v>
      </c>
      <c r="P34" t="str">
        <v>4.85</v>
      </c>
    </row>
    <row r="35" spans="2:16" x14ac:dyDescent="0.35">
      <c r="B35" t="str">
        <v>01/07/2026</v>
      </c>
      <c r="C35" t="str">
        <v>3.70</v>
      </c>
      <c r="D35" t="str">
        <v>3.69</v>
      </c>
      <c r="E35" t="str">
        <v>3.60</v>
      </c>
      <c r="F35" t="str">
        <v>3.62</v>
      </c>
      <c r="G35" t="str">
        <v>3.60</v>
      </c>
      <c r="H35" t="str">
        <v>3.56</v>
      </c>
      <c r="I35" t="str">
        <v>3.48</v>
      </c>
      <c r="J35" t="str">
        <v>3.47</v>
      </c>
      <c r="K35" t="str">
        <v>3.53</v>
      </c>
      <c r="L35" t="str">
        <v>3.70</v>
      </c>
      <c r="M35" t="str">
        <v>3.91</v>
      </c>
      <c r="N35" t="str">
        <v>4.15</v>
      </c>
      <c r="O35" t="str">
        <v>4.76</v>
      </c>
      <c r="P35" t="str">
        <v>4.82</v>
      </c>
    </row>
    <row r="36" spans="2:16" x14ac:dyDescent="0.35">
      <c r="B36" t="str">
        <v>01/06/2026</v>
      </c>
      <c r="C36" t="str">
        <v>3.70</v>
      </c>
      <c r="D36" t="str">
        <v>3.70</v>
      </c>
      <c r="E36" t="str">
        <v>3.61</v>
      </c>
      <c r="F36" t="str">
        <v>3.63</v>
      </c>
      <c r="G36" t="str">
        <v>3.58</v>
      </c>
      <c r="H36" t="str">
        <v>3.56</v>
      </c>
      <c r="I36" t="str">
        <v>3.48</v>
      </c>
      <c r="J36" t="str">
        <v>3.47</v>
      </c>
      <c r="K36" t="str">
        <v>3.54</v>
      </c>
      <c r="L36" t="str">
        <v>3.72</v>
      </c>
      <c r="M36" t="str">
        <v>3.93</v>
      </c>
      <c r="N36" t="str">
        <v>4.18</v>
      </c>
      <c r="O36" t="str">
        <v>4.80</v>
      </c>
      <c r="P36" t="str">
        <v>4.86</v>
      </c>
    </row>
    <row r="37" spans="2:16" x14ac:dyDescent="0.35">
      <c r="B37" t="str">
        <v>01/05/2026</v>
      </c>
      <c r="C37" t="str">
        <v>3.71</v>
      </c>
      <c r="D37" t="str">
        <v>3.68</v>
      </c>
      <c r="E37" t="str">
        <v>3.64</v>
      </c>
      <c r="F37" t="str">
        <v>3.64</v>
      </c>
      <c r="G37" t="str">
        <v>3.61</v>
      </c>
      <c r="H37" t="str">
        <v>3.57</v>
      </c>
      <c r="I37" t="str">
        <v>3.47</v>
      </c>
      <c r="J37" t="str">
        <v>3.46</v>
      </c>
      <c r="K37" t="str">
        <v>3.53</v>
      </c>
      <c r="L37" t="str">
        <v>3.71</v>
      </c>
      <c r="M37" t="str">
        <v>3.92</v>
      </c>
      <c r="N37" t="str">
        <v>4.17</v>
      </c>
      <c r="O37" t="str">
        <v>4.79</v>
      </c>
      <c r="P37" t="str">
        <v>4.85</v>
      </c>
    </row>
    <row r="38" spans="2:16" x14ac:dyDescent="0.35">
      <c r="B38" t="str">
        <v>01/02/2026</v>
      </c>
      <c r="C38" t="str">
        <v>3.72</v>
      </c>
      <c r="D38" t="str">
        <v>3.71</v>
      </c>
      <c r="E38" t="str">
        <v>3.66</v>
      </c>
      <c r="F38" t="str">
        <v>3.65</v>
      </c>
      <c r="G38" t="str">
        <v>3.62</v>
      </c>
      <c r="H38" t="str">
        <v>3.58</v>
      </c>
      <c r="I38" t="str">
        <v>3.47</v>
      </c>
      <c r="J38" t="str">
        <v>3.47</v>
      </c>
      <c r="K38" t="str">
        <v>3.55</v>
      </c>
      <c r="L38" t="str">
        <v>3.74</v>
      </c>
      <c r="M38" t="str">
        <v>3.95</v>
      </c>
      <c r="N38" t="str">
        <v>4.19</v>
      </c>
      <c r="O38" t="str">
        <v>4.81</v>
      </c>
      <c r="P38" t="str">
        <v>4.86</v>
      </c>
    </row>
  </sheetData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A2:F16"/>
  <sheetViews>
    <sheetView tabSelected="1" workbookViewId="0">
      <selection activeCell="G8" sqref="G8"/>
    </sheetView>
  </sheetViews>
  <sheetFormatPr defaultRowHeight="18" x14ac:dyDescent="0.35"/>
  <cols>
    <col min="1" max="1" width="9.1640625" bestFit="1" customWidth="1"/>
    <col min="2" max="2" width="11.75" bestFit="1" customWidth="1"/>
    <col min="3" max="5" width="8.75" bestFit="1" customWidth="1"/>
  </cols>
  <sheetData>
    <row r="2" spans="1:6" x14ac:dyDescent="0.35">
      <c r="B2" s="3" t="s">
        <v>1</v>
      </c>
    </row>
    <row r="3" spans="1:6" x14ac:dyDescent="0.35">
      <c r="A3" s="8" t="s">
        <v>28</v>
      </c>
      <c r="B3" s="9">
        <v>1</v>
      </c>
      <c r="C3" s="9">
        <v>2</v>
      </c>
      <c r="D3" s="9">
        <v>3</v>
      </c>
      <c r="E3" s="9">
        <v>4</v>
      </c>
      <c r="F3" s="9"/>
    </row>
    <row r="4" spans="1:6" x14ac:dyDescent="0.35">
      <c r="A4" s="8"/>
      <c r="B4" s="10">
        <v>0.05</v>
      </c>
      <c r="C4" s="10">
        <v>0.05</v>
      </c>
      <c r="D4" s="10">
        <v>0.05</v>
      </c>
      <c r="E4" s="10">
        <v>1.05</v>
      </c>
      <c r="F4" s="9"/>
    </row>
    <row r="5" spans="1:6" x14ac:dyDescent="0.35">
      <c r="A5" s="8"/>
      <c r="B5" s="11" cm="1">
        <f t="array" ref="B5">_xll.\FI.INSTRUMENT(B3:E3,B4:E4)</f>
        <v>2108863780496</v>
      </c>
      <c r="C5" s="9" t="s">
        <v>33</v>
      </c>
      <c r="D5" s="9"/>
      <c r="E5" s="9"/>
      <c r="F5" s="9"/>
    </row>
    <row r="6" spans="1:6" x14ac:dyDescent="0.35">
      <c r="A6" s="8"/>
      <c r="B6" s="9" cm="1">
        <f t="array" ref="B6:E7">_xll.FI.INSTRUMENT(B5)</f>
        <v>1</v>
      </c>
      <c r="C6" s="9">
        <v>2</v>
      </c>
      <c r="D6" s="9">
        <v>3</v>
      </c>
      <c r="E6" s="9">
        <v>4</v>
      </c>
      <c r="F6" s="9"/>
    </row>
    <row r="7" spans="1:6" x14ac:dyDescent="0.35">
      <c r="A7" s="8"/>
      <c r="B7" s="9">
        <v>0.05</v>
      </c>
      <c r="C7" s="9">
        <v>0.05</v>
      </c>
      <c r="D7" s="9">
        <v>0.05</v>
      </c>
      <c r="E7" s="9">
        <v>1.05</v>
      </c>
      <c r="F7" s="9"/>
    </row>
    <row r="8" spans="1:6" x14ac:dyDescent="0.35">
      <c r="A8" s="8" t="s">
        <v>29</v>
      </c>
      <c r="B8" s="9">
        <v>1</v>
      </c>
      <c r="C8" s="9"/>
      <c r="D8" s="9"/>
      <c r="E8" s="9"/>
      <c r="F8" s="9"/>
    </row>
    <row r="9" spans="1:6" x14ac:dyDescent="0.35">
      <c r="A9" s="8"/>
      <c r="B9" s="9">
        <v>0.5</v>
      </c>
      <c r="C9" s="9"/>
      <c r="D9" s="9"/>
      <c r="E9" s="9"/>
      <c r="F9" s="9"/>
    </row>
    <row r="10" spans="1:6" x14ac:dyDescent="0.35">
      <c r="A10" s="8"/>
      <c r="B10" s="12" cm="1">
        <f t="array" ref="B10">_xll.\FI.INSTRUMENT.ZERO_COUPON_BOND(B8,B9)</f>
        <v>2110523736064</v>
      </c>
      <c r="C10" s="9" t="s">
        <v>34</v>
      </c>
      <c r="D10" s="9"/>
      <c r="E10" s="9"/>
      <c r="F10" s="9"/>
    </row>
    <row r="11" spans="1:6" x14ac:dyDescent="0.35">
      <c r="A11" s="8"/>
      <c r="B11" s="9" cm="1">
        <f t="array" ref="B11:B12">_xll.FI.INSTRUMENT(B10)</f>
        <v>1</v>
      </c>
      <c r="C11" s="9"/>
      <c r="D11" s="9"/>
      <c r="E11" s="9"/>
      <c r="F11" s="9"/>
    </row>
    <row r="12" spans="1:6" x14ac:dyDescent="0.35">
      <c r="A12" s="8"/>
      <c r="B12" s="9">
        <v>0.5</v>
      </c>
      <c r="C12" s="9"/>
      <c r="D12" s="9"/>
      <c r="E12" s="9"/>
      <c r="F12" s="9"/>
    </row>
    <row r="13" spans="1:6" x14ac:dyDescent="0.35">
      <c r="A13" s="8" t="s">
        <v>30</v>
      </c>
      <c r="B13" s="12" cm="1">
        <f t="array" ref="B13">_xll.\FI.INSTRUMENT.BOND(2,0.5,2)</f>
        <v>2110732027264</v>
      </c>
      <c r="C13" s="9" t="s">
        <v>35</v>
      </c>
      <c r="D13" s="9"/>
      <c r="E13" s="9"/>
      <c r="F13" s="9"/>
    </row>
    <row r="14" spans="1:6" x14ac:dyDescent="0.35">
      <c r="A14" s="8"/>
      <c r="B14" s="9" cm="1">
        <f t="array" ref="B14:E15">_xll.FI.INSTRUMENT(B13)</f>
        <v>0.5</v>
      </c>
      <c r="C14" s="9">
        <v>1</v>
      </c>
      <c r="D14" s="9">
        <v>1.5</v>
      </c>
      <c r="E14" s="9">
        <v>2</v>
      </c>
      <c r="F14" s="9"/>
    </row>
    <row r="15" spans="1:6" x14ac:dyDescent="0.35">
      <c r="A15" s="8"/>
      <c r="B15" s="9">
        <v>0.25</v>
      </c>
      <c r="C15" s="9">
        <v>0.25</v>
      </c>
      <c r="D15" s="9">
        <v>0.25</v>
      </c>
      <c r="E15" s="9">
        <v>1.25</v>
      </c>
      <c r="F15" s="9"/>
    </row>
    <row r="16" spans="1:6" x14ac:dyDescent="0.35">
      <c r="B16" s="9" t="s">
        <v>36</v>
      </c>
      <c r="C16" s="9"/>
      <c r="D16" s="9"/>
      <c r="E16" s="9"/>
      <c r="F16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:E8"/>
  <sheetViews>
    <sheetView workbookViewId="0">
      <selection activeCell="B12" sqref="B12"/>
    </sheetView>
  </sheetViews>
  <sheetFormatPr defaultRowHeight="18" x14ac:dyDescent="0.35"/>
  <cols>
    <col min="2" max="2" width="11.75" bestFit="1" customWidth="1"/>
  </cols>
  <sheetData>
    <row r="2" spans="2:5" x14ac:dyDescent="0.35">
      <c r="B2" t="s">
        <v>2</v>
      </c>
    </row>
    <row r="3" spans="2:5" x14ac:dyDescent="0.35">
      <c r="B3" s="8">
        <v>1</v>
      </c>
      <c r="C3" s="8">
        <v>2</v>
      </c>
      <c r="D3" s="8">
        <v>3</v>
      </c>
      <c r="E3" s="8">
        <v>4</v>
      </c>
    </row>
    <row r="4" spans="2:5" x14ac:dyDescent="0.35">
      <c r="B4" s="8">
        <v>0.05</v>
      </c>
      <c r="C4" s="8">
        <v>0.05</v>
      </c>
      <c r="D4" s="8">
        <v>0.05</v>
      </c>
      <c r="E4" s="8">
        <v>0.05</v>
      </c>
    </row>
    <row r="5" spans="2:5" x14ac:dyDescent="0.35">
      <c r="B5" cm="1">
        <f t="array" ref="B5">_xll.\FI.CURVE.PWFLAT(B3:E3,B4:E4)</f>
        <v>2110908399376</v>
      </c>
      <c r="C5" t="s">
        <v>31</v>
      </c>
    </row>
    <row r="6" spans="2:5" x14ac:dyDescent="0.35">
      <c r="B6" cm="1">
        <f t="array" ref="B6:E7">_xll.FI.CURVE.PWFLAT(B5)</f>
        <v>1</v>
      </c>
      <c r="C6">
        <v>2</v>
      </c>
      <c r="D6">
        <v>3</v>
      </c>
      <c r="E6">
        <v>4</v>
      </c>
    </row>
    <row r="7" spans="2:5" x14ac:dyDescent="0.35">
      <c r="B7">
        <v>0.05</v>
      </c>
      <c r="C7">
        <v>0.05</v>
      </c>
      <c r="D7">
        <v>0.05</v>
      </c>
      <c r="E7">
        <v>0.05</v>
      </c>
    </row>
    <row r="8" spans="2:5" x14ac:dyDescent="0.35">
      <c r="C8" t="s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T75"/>
  <sheetViews>
    <sheetView zoomScale="89" workbookViewId="0">
      <selection activeCell="E19" sqref="E19"/>
    </sheetView>
  </sheetViews>
  <sheetFormatPr defaultRowHeight="18" x14ac:dyDescent="0.35"/>
  <cols>
    <col min="3" max="4" width="8.75" bestFit="1" customWidth="1"/>
    <col min="5" max="5" width="16.08203125" customWidth="1"/>
    <col min="6" max="15" width="12.1640625" bestFit="1" customWidth="1"/>
  </cols>
  <sheetData>
    <row r="2" spans="2:20" x14ac:dyDescent="0.35">
      <c r="C2" s="7" t="s">
        <v>16</v>
      </c>
      <c r="D2" s="7" t="s">
        <v>17</v>
      </c>
      <c r="E2" s="7" t="s">
        <v>18</v>
      </c>
      <c r="F2" t="s">
        <v>19</v>
      </c>
      <c r="G2" s="2" t="s">
        <v>21</v>
      </c>
      <c r="H2" s="6" t="s">
        <v>22</v>
      </c>
      <c r="I2" cm="1">
        <f t="array" ref="I2">_xll.\FI.CURVE.PWFLAT.BOOTSTRAP(_xlfn.ANCHORARRAY(G3),_xlfn.ANCHORARRAY(G4))</f>
        <v>2110728488496</v>
      </c>
    </row>
    <row r="3" spans="2:20" x14ac:dyDescent="0.35">
      <c r="B3" s="2" t="s">
        <v>3</v>
      </c>
      <c r="C3" s="4">
        <f>1/12</f>
        <v>8.3333333333333329E-2</v>
      </c>
      <c r="D3">
        <v>3.7100000000000001E-2</v>
      </c>
      <c r="E3">
        <f>1-D3*C3/360</f>
        <v>0.99999141203703701</v>
      </c>
      <c r="F3" s="6" cm="1">
        <f t="array" ref="F3">_xll.\FI.INSTRUMENT.ZERO_COUPON_BOND(C3)</f>
        <v>2110728483888</v>
      </c>
      <c r="G3" cm="1">
        <f t="array" ref="G3:T3">TRANSPOSE(F3:F16)</f>
        <v>2110728483888</v>
      </c>
      <c r="H3">
        <v>2110908422272</v>
      </c>
      <c r="I3">
        <v>2110908422848</v>
      </c>
      <c r="J3">
        <v>2110908419824</v>
      </c>
      <c r="K3">
        <v>2110908414352</v>
      </c>
      <c r="L3">
        <v>2110908410608</v>
      </c>
      <c r="M3">
        <v>2110908406288</v>
      </c>
      <c r="N3">
        <v>2110905579056</v>
      </c>
      <c r="O3">
        <v>2110905581936</v>
      </c>
      <c r="P3">
        <v>2110905581776</v>
      </c>
      <c r="Q3">
        <v>2110905575696</v>
      </c>
      <c r="R3">
        <v>2110905575536</v>
      </c>
      <c r="S3">
        <v>2110905583216</v>
      </c>
      <c r="T3">
        <v>2110905588176</v>
      </c>
    </row>
    <row r="4" spans="2:20" x14ac:dyDescent="0.35">
      <c r="B4" s="2" t="s">
        <v>20</v>
      </c>
      <c r="C4">
        <f>1.5/12</f>
        <v>0.125</v>
      </c>
      <c r="D4">
        <v>3.7400000000000003E-2</v>
      </c>
      <c r="E4">
        <f>1-D4*C4/360</f>
        <v>0.99998701388888889</v>
      </c>
      <c r="F4" cm="1">
        <f t="array" ref="F4">_xll.\FI.INSTRUMENT.ZERO_COUPON_BOND(C4)</f>
        <v>2110908422272</v>
      </c>
      <c r="G4" cm="1">
        <f t="array" ref="G4:T4">TRANSPOSE(E3:E16)</f>
        <v>0.99999141203703701</v>
      </c>
      <c r="H4">
        <v>0.99998701388888889</v>
      </c>
      <c r="I4">
        <v>0.99998273148148153</v>
      </c>
      <c r="J4">
        <v>0.99997430555555555</v>
      </c>
      <c r="K4">
        <v>0.99996574074074074</v>
      </c>
      <c r="L4">
        <v>0.99995000000000001</v>
      </c>
      <c r="M4">
        <v>0.99990305555555559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</row>
    <row r="5" spans="2:20" x14ac:dyDescent="0.35">
      <c r="B5" s="2" t="s">
        <v>4</v>
      </c>
      <c r="C5" s="4">
        <f>2/12</f>
        <v>0.16666666666666666</v>
      </c>
      <c r="D5">
        <v>3.73E-2</v>
      </c>
      <c r="E5">
        <f t="shared" ref="E5:E9" si="0">1-D5*C5/360</f>
        <v>0.99998273148148153</v>
      </c>
      <c r="F5" cm="1">
        <f t="array" ref="F5">_xll.\FI.INSTRUMENT.ZERO_COUPON_BOND(C5)</f>
        <v>2110908422848</v>
      </c>
      <c r="I5" t="s">
        <v>27</v>
      </c>
    </row>
    <row r="6" spans="2:20" x14ac:dyDescent="0.35">
      <c r="B6" s="2" t="s">
        <v>5</v>
      </c>
      <c r="C6">
        <f>3/12</f>
        <v>0.25</v>
      </c>
      <c r="D6">
        <v>3.7000000000000005E-2</v>
      </c>
      <c r="E6">
        <f t="shared" si="0"/>
        <v>0.99997430555555555</v>
      </c>
      <c r="F6" cm="1">
        <f t="array" ref="F6">_xll.\FI.INSTRUMENT.ZERO_COUPON_BOND(C6)</f>
        <v>2110908419824</v>
      </c>
      <c r="I6" s="7" t="s">
        <v>23</v>
      </c>
      <c r="J6" s="7" t="s">
        <v>24</v>
      </c>
      <c r="K6" s="7" t="s">
        <v>25</v>
      </c>
    </row>
    <row r="7" spans="2:20" x14ac:dyDescent="0.35">
      <c r="B7" s="2" t="s">
        <v>6</v>
      </c>
      <c r="C7" s="5">
        <f>4/12</f>
        <v>0.33333333333333331</v>
      </c>
      <c r="D7">
        <v>3.7000000000000005E-2</v>
      </c>
      <c r="E7">
        <f t="shared" si="0"/>
        <v>0.99996574074074074</v>
      </c>
      <c r="F7" cm="1">
        <f t="array" ref="F7">_xll.\FI.INSTRUMENT.ZERO_COUPON_BOND(C7)</f>
        <v>2110908414352</v>
      </c>
      <c r="H7">
        <v>0.1</v>
      </c>
      <c r="I7" cm="1">
        <f t="array" ref="I7:I75">_xlfn.VSTACK(_xlfn.SEQUENCE(1/H7,1,0,H7),_xlfn.SEQUENCE(1+29/H8,1,1,H8))</f>
        <v>0</v>
      </c>
      <c r="J7" cm="1">
        <f t="array" ref="J7">_xll.FI.CURVE.SPOT($I$2,I7)</f>
        <v>1.0313874368449654E-4</v>
      </c>
      <c r="K7" cm="1">
        <f t="array" ref="K7">_xll.FI.CURVE.FORWARD($I$2,I7)</f>
        <v>1.0313874368449654E-4</v>
      </c>
    </row>
    <row r="8" spans="2:20" x14ac:dyDescent="0.35">
      <c r="B8" s="2" t="s">
        <v>7</v>
      </c>
      <c r="C8">
        <f>6/12</f>
        <v>0.5</v>
      </c>
      <c r="D8">
        <v>3.6000000000000004E-2</v>
      </c>
      <c r="E8">
        <f t="shared" si="0"/>
        <v>0.99995000000000001</v>
      </c>
      <c r="F8" cm="1">
        <f t="array" ref="F8">_xll.\FI.INSTRUMENT.ZERO_COUPON_BOND(C8)</f>
        <v>2110908410608</v>
      </c>
      <c r="H8">
        <v>0.5</v>
      </c>
      <c r="I8">
        <v>0.1</v>
      </c>
      <c r="J8" cm="1">
        <f t="array" ref="J8">_xll.FI.CURVE.SPOT($I$2,I8)</f>
        <v>1.035142317659301E-4</v>
      </c>
      <c r="K8" cm="1">
        <f t="array" ref="K8">_xll.FI.CURVE.FORWARD($I$2,I8)</f>
        <v>1.0539167217309795E-4</v>
      </c>
    </row>
    <row r="9" spans="2:20" x14ac:dyDescent="0.35">
      <c r="B9" s="2" t="s">
        <v>8</v>
      </c>
      <c r="C9">
        <v>1</v>
      </c>
      <c r="D9">
        <v>3.49E-2</v>
      </c>
      <c r="E9">
        <f t="shared" si="0"/>
        <v>0.99990305555555559</v>
      </c>
      <c r="F9" cm="1">
        <f t="array" ref="F9">_xll.\FI.INSTRUMENT.ZERO_COUPON_BOND(C9)</f>
        <v>2110908406288</v>
      </c>
      <c r="I9">
        <v>0.2</v>
      </c>
      <c r="J9" cm="1">
        <f t="array" ref="J9">_xll.FI.CURVE.SPOT($I$2,I9)</f>
        <v>1.0319536825936958E-4</v>
      </c>
      <c r="K9" cm="1">
        <f t="array" ref="K9">_xll.FI.CURVE.FORWARD($I$2,I9)</f>
        <v>1.011128615701034E-4</v>
      </c>
    </row>
    <row r="10" spans="2:20" x14ac:dyDescent="0.35">
      <c r="B10" s="2" t="s">
        <v>9</v>
      </c>
      <c r="C10">
        <v>2</v>
      </c>
      <c r="D10">
        <v>3.4700000000000002E-2</v>
      </c>
      <c r="E10">
        <v>1</v>
      </c>
      <c r="F10" s="6" cm="1">
        <f t="array" ref="F10">_xll.\FI.INSTRUMENT.BOND(C10,D10,1)</f>
        <v>2110905579056</v>
      </c>
      <c r="I10">
        <v>0.30000000000000004</v>
      </c>
      <c r="J10" cm="1">
        <f t="array" ref="J10">_xll.FI.CURVE.SPOT($I$2,I10)</f>
        <v>1.0277943042752876E-4</v>
      </c>
      <c r="K10" cm="1">
        <f t="array" ref="K10">_xll.FI.CURVE.FORWARD($I$2,I10)</f>
        <v>1.0278224795759079E-4</v>
      </c>
      <c r="L10" s="6" t="s">
        <v>26</v>
      </c>
    </row>
    <row r="11" spans="2:20" x14ac:dyDescent="0.35">
      <c r="B11" s="2" t="s">
        <v>10</v>
      </c>
      <c r="C11">
        <v>3</v>
      </c>
      <c r="D11">
        <v>3.5000000000000003E-2</v>
      </c>
      <c r="E11">
        <v>1</v>
      </c>
      <c r="F11" cm="1">
        <f t="array" ref="F11">_xll.\FI.INSTRUMENT.BOND(C11,D11,1)</f>
        <v>2110905581936</v>
      </c>
      <c r="I11">
        <v>0.4</v>
      </c>
      <c r="J11" cm="1">
        <f t="array" ref="J11">_xll.FI.CURVE.SPOT($I$2,I11)</f>
        <v>1.0138994732094902E-4</v>
      </c>
      <c r="K11" cm="1">
        <f t="array" ref="K11">_xll.FI.CURVE.FORWARD($I$2,I11)</f>
        <v>9.4441123023019248E-5</v>
      </c>
    </row>
    <row r="12" spans="2:20" x14ac:dyDescent="0.35">
      <c r="B12" s="2" t="s">
        <v>11</v>
      </c>
      <c r="C12">
        <v>5</v>
      </c>
      <c r="D12">
        <v>3.6600000000000001E-2</v>
      </c>
      <c r="E12">
        <v>1</v>
      </c>
      <c r="F12" cm="1">
        <f t="array" ref="F12">_xll.\FI.INSTRUMENT.BOND(C12,D12,1)</f>
        <v>2110905581776</v>
      </c>
      <c r="I12">
        <v>0.5</v>
      </c>
      <c r="J12" cm="1">
        <f t="array" ref="J12">_xll.FI.CURVE.SPOT($I$2,I12)</f>
        <v>1.0000018246136307E-4</v>
      </c>
      <c r="K12" cm="1">
        <f t="array" ref="K12">_xll.FI.CURVE.FORWARD($I$2,I12)</f>
        <v>9.4441123023019248E-5</v>
      </c>
    </row>
    <row r="13" spans="2:20" x14ac:dyDescent="0.35">
      <c r="B13" s="2" t="s">
        <v>12</v>
      </c>
      <c r="C13">
        <v>7</v>
      </c>
      <c r="D13">
        <v>3.8599999999999995E-2</v>
      </c>
      <c r="E13">
        <v>1</v>
      </c>
      <c r="F13" cm="1">
        <f t="array" ref="F13">_xll.\FI.INSTRUMENT.BOND(C13,D13,1)</f>
        <v>2110905575696</v>
      </c>
      <c r="I13">
        <v>0.6</v>
      </c>
      <c r="J13" cm="1">
        <f t="array" ref="J13">_xll.FI.CURVE.SPOT($I$2,I13)</f>
        <v>9.8982943136249161E-5</v>
      </c>
      <c r="K13" cm="1">
        <f t="array" ref="K13">_xll.FI.CURVE.FORWARD($I$2,I13)</f>
        <v>9.3896746510679631E-5</v>
      </c>
    </row>
    <row r="14" spans="2:20" x14ac:dyDescent="0.35">
      <c r="B14" s="2" t="s">
        <v>13</v>
      </c>
      <c r="C14">
        <v>10</v>
      </c>
      <c r="D14">
        <v>4.0899999999999999E-2</v>
      </c>
      <c r="E14">
        <v>1</v>
      </c>
      <c r="F14" cm="1">
        <f t="array" ref="F14">_xll.\FI.INSTRUMENT.BOND(C14,D14,1)</f>
        <v>2110905575536</v>
      </c>
      <c r="I14">
        <v>0.7</v>
      </c>
      <c r="J14" cm="1">
        <f t="array" ref="J14">_xll.FI.CURVE.SPOT($I$2,I14)</f>
        <v>9.8256343618310661E-5</v>
      </c>
      <c r="K14" cm="1">
        <f t="array" ref="K14">_xll.FI.CURVE.FORWARD($I$2,I14)</f>
        <v>9.3896746510679631E-5</v>
      </c>
    </row>
    <row r="15" spans="2:20" x14ac:dyDescent="0.35">
      <c r="B15" s="2" t="s">
        <v>14</v>
      </c>
      <c r="C15">
        <v>20</v>
      </c>
      <c r="D15">
        <v>4.6500000000000007E-2</v>
      </c>
      <c r="E15">
        <v>1</v>
      </c>
      <c r="F15" cm="1">
        <f t="array" ref="F15">_xll.\FI.INSTRUMENT.BOND(C15,D15,1)</f>
        <v>2110905583216</v>
      </c>
      <c r="I15">
        <v>0.79999999999999993</v>
      </c>
      <c r="J15" cm="1">
        <f t="array" ref="J15">_xll.FI.CURVE.SPOT($I$2,I15)</f>
        <v>9.7711393979856768E-5</v>
      </c>
      <c r="K15" cm="1">
        <f t="array" ref="K15">_xll.FI.CURVE.FORWARD($I$2,I15)</f>
        <v>9.3896746510679631E-5</v>
      </c>
    </row>
    <row r="16" spans="2:20" x14ac:dyDescent="0.35">
      <c r="B16" s="2" t="s">
        <v>15</v>
      </c>
      <c r="C16">
        <v>30</v>
      </c>
      <c r="D16">
        <v>4.7100000000000003E-2</v>
      </c>
      <c r="E16">
        <v>1</v>
      </c>
      <c r="F16" cm="1">
        <f t="array" ref="F16">_xll.\FI.INSTRUMENT.BOND(C16,D16,1)</f>
        <v>2110905588176</v>
      </c>
      <c r="I16">
        <v>0.89999999999999991</v>
      </c>
      <c r="J16" cm="1">
        <f t="array" ref="J16">_xll.FI.CURVE.SPOT($I$2,I16)</f>
        <v>9.7287544261059322E-5</v>
      </c>
      <c r="K16" cm="1">
        <f t="array" ref="K16">_xll.FI.CURVE.FORWARD($I$2,I16)</f>
        <v>9.3896746510679631E-5</v>
      </c>
    </row>
    <row r="17" spans="9:11" x14ac:dyDescent="0.35">
      <c r="I17">
        <v>1</v>
      </c>
      <c r="J17" cm="1">
        <f t="array" ref="J17">_xll.FI.CURVE.SPOT($I$2,I17)</f>
        <v>9.6948464486021349E-5</v>
      </c>
      <c r="K17" cm="1">
        <f t="array" ref="K17">_xll.FI.CURVE.FORWARD($I$2,I17)</f>
        <v>9.3896746510679631E-5</v>
      </c>
    </row>
    <row r="18" spans="9:11" x14ac:dyDescent="0.35">
      <c r="I18">
        <v>1.5</v>
      </c>
      <c r="J18" cm="1">
        <f t="array" ref="J18">_xll.FI.CURVE.SPOT($I$2,I18)</f>
        <v>2.3173759772428536E-2</v>
      </c>
      <c r="K18" cm="1">
        <f t="array" ref="K18">_xll.FI.CURVE.FORWARD($I$2,I18)</f>
        <v>6.9327382388313569E-2</v>
      </c>
    </row>
    <row r="19" spans="9:11" x14ac:dyDescent="0.35">
      <c r="I19">
        <v>2</v>
      </c>
      <c r="J19" cm="1">
        <f t="array" ref="J19">_xll.FI.CURVE.SPOT($I$2,I19)</f>
        <v>3.4712165426399794E-2</v>
      </c>
      <c r="K19" cm="1">
        <f t="array" ref="K19">_xll.FI.CURVE.FORWARD($I$2,I19)</f>
        <v>6.9327382388313569E-2</v>
      </c>
    </row>
    <row r="20" spans="9:11" x14ac:dyDescent="0.35">
      <c r="I20">
        <v>2.5</v>
      </c>
      <c r="J20" cm="1">
        <f t="array" ref="J20">_xll.FI.CURVE.SPOT($I$2,I20)</f>
        <v>3.477437710056816E-2</v>
      </c>
      <c r="K20" cm="1">
        <f t="array" ref="K20">_xll.FI.CURVE.FORWARD($I$2,I20)</f>
        <v>3.5023223797241633E-2</v>
      </c>
    </row>
    <row r="21" spans="9:11" x14ac:dyDescent="0.35">
      <c r="I21">
        <v>3</v>
      </c>
      <c r="J21" cm="1">
        <f t="array" ref="J21">_xll.FI.CURVE.SPOT($I$2,I21)</f>
        <v>3.4815851550013738E-2</v>
      </c>
      <c r="K21" cm="1">
        <f t="array" ref="K21">_xll.FI.CURVE.FORWARD($I$2,I21)</f>
        <v>3.5023223797241633E-2</v>
      </c>
    </row>
    <row r="22" spans="9:11" x14ac:dyDescent="0.35">
      <c r="I22">
        <v>3.5</v>
      </c>
      <c r="J22" cm="1">
        <f t="array" ref="J22">_xll.FI.CURVE.SPOT($I$2,I22)</f>
        <v>3.5344223875980733E-2</v>
      </c>
      <c r="K22" cm="1">
        <f t="array" ref="K22">_xll.FI.CURVE.FORWARD($I$2,I22)</f>
        <v>3.8514457831782707E-2</v>
      </c>
    </row>
    <row r="23" spans="9:11" x14ac:dyDescent="0.35">
      <c r="I23">
        <v>4</v>
      </c>
      <c r="J23" cm="1">
        <f t="array" ref="J23">_xll.FI.CURVE.SPOT($I$2,I23)</f>
        <v>3.5740503120455978E-2</v>
      </c>
      <c r="K23" cm="1">
        <f t="array" ref="K23">_xll.FI.CURVE.FORWARD($I$2,I23)</f>
        <v>3.8514457831782707E-2</v>
      </c>
    </row>
    <row r="24" spans="9:11" x14ac:dyDescent="0.35">
      <c r="I24">
        <v>4.5</v>
      </c>
      <c r="J24" cm="1">
        <f t="array" ref="J24">_xll.FI.CURVE.SPOT($I$2,I24)</f>
        <v>3.604872031060339E-2</v>
      </c>
      <c r="K24" cm="1">
        <f t="array" ref="K24">_xll.FI.CURVE.FORWARD($I$2,I24)</f>
        <v>3.8514457831782707E-2</v>
      </c>
    </row>
    <row r="25" spans="9:11" x14ac:dyDescent="0.35">
      <c r="I25">
        <v>5</v>
      </c>
      <c r="J25" cm="1">
        <f t="array" ref="J25">_xll.FI.CURVE.SPOT($I$2,I25)</f>
        <v>3.6295294062721327E-2</v>
      </c>
      <c r="K25" cm="1">
        <f t="array" ref="K25">_xll.FI.CURVE.FORWARD($I$2,I25)</f>
        <v>3.8514457831782707E-2</v>
      </c>
    </row>
    <row r="26" spans="9:11" x14ac:dyDescent="0.35">
      <c r="I26">
        <v>5.5</v>
      </c>
      <c r="J26" cm="1">
        <f t="array" ref="J26">_xll.FI.CURVE.SPOT($I$2,I26)</f>
        <v>3.6945179466388506E-2</v>
      </c>
      <c r="K26" cm="1">
        <f t="array" ref="K26">_xll.FI.CURVE.FORWARD($I$2,I26)</f>
        <v>4.3444033503060267E-2</v>
      </c>
    </row>
    <row r="27" spans="9:11" x14ac:dyDescent="0.35">
      <c r="I27">
        <v>6</v>
      </c>
      <c r="J27" cm="1">
        <f t="array" ref="J27">_xll.FI.CURVE.SPOT($I$2,I27)</f>
        <v>3.7486750636111149E-2</v>
      </c>
      <c r="K27" cm="1">
        <f t="array" ref="K27">_xll.FI.CURVE.FORWARD($I$2,I27)</f>
        <v>4.3444033503060267E-2</v>
      </c>
    </row>
    <row r="28" spans="9:11" x14ac:dyDescent="0.35">
      <c r="I28">
        <v>6.5</v>
      </c>
      <c r="J28" cm="1">
        <f t="array" ref="J28">_xll.FI.CURVE.SPOT($I$2,I28)</f>
        <v>3.7945003164338006E-2</v>
      </c>
      <c r="K28" cm="1">
        <f t="array" ref="K28">_xll.FI.CURVE.FORWARD($I$2,I28)</f>
        <v>4.3444033503060267E-2</v>
      </c>
    </row>
    <row r="29" spans="9:11" x14ac:dyDescent="0.35">
      <c r="I29">
        <v>7</v>
      </c>
      <c r="J29" cm="1">
        <f t="array" ref="J29">_xll.FI.CURVE.SPOT($I$2,I29)</f>
        <v>3.8337791045675314E-2</v>
      </c>
      <c r="K29" cm="1">
        <f t="array" ref="K29">_xll.FI.CURVE.FORWARD($I$2,I29)</f>
        <v>4.3444033503060267E-2</v>
      </c>
    </row>
    <row r="30" spans="9:11" x14ac:dyDescent="0.35">
      <c r="I30">
        <v>7.5</v>
      </c>
      <c r="J30" cm="1">
        <f t="array" ref="J30">_xll.FI.CURVE.SPOT($I$2,I30)</f>
        <v>3.8882386521731156E-2</v>
      </c>
      <c r="K30" cm="1">
        <f t="array" ref="K30">_xll.FI.CURVE.FORWARD($I$2,I30)</f>
        <v>4.6506723186512944E-2</v>
      </c>
    </row>
    <row r="31" spans="9:11" x14ac:dyDescent="0.35">
      <c r="I31">
        <v>8</v>
      </c>
      <c r="J31" cm="1">
        <f t="array" ref="J31">_xll.FI.CURVE.SPOT($I$2,I31)</f>
        <v>3.9358907563280018E-2</v>
      </c>
      <c r="K31" cm="1">
        <f t="array" ref="K31">_xll.FI.CURVE.FORWARD($I$2,I31)</f>
        <v>4.6506723186512944E-2</v>
      </c>
    </row>
    <row r="32" spans="9:11" x14ac:dyDescent="0.35">
      <c r="I32">
        <v>8.5</v>
      </c>
      <c r="J32" cm="1">
        <f t="array" ref="J32">_xll.FI.CURVE.SPOT($I$2,I32)</f>
        <v>3.9779367305823134E-2</v>
      </c>
      <c r="K32" cm="1">
        <f t="array" ref="K32">_xll.FI.CURVE.FORWARD($I$2,I32)</f>
        <v>4.6506723186512944E-2</v>
      </c>
    </row>
    <row r="33" spans="9:11" x14ac:dyDescent="0.35">
      <c r="I33">
        <v>9</v>
      </c>
      <c r="J33" cm="1">
        <f t="array" ref="J33">_xll.FI.CURVE.SPOT($I$2,I33)</f>
        <v>4.0153109299194786E-2</v>
      </c>
      <c r="K33" cm="1">
        <f t="array" ref="K33">_xll.FI.CURVE.FORWARD($I$2,I33)</f>
        <v>4.6506723186512944E-2</v>
      </c>
    </row>
    <row r="34" spans="9:11" x14ac:dyDescent="0.35">
      <c r="I34">
        <v>9.5</v>
      </c>
      <c r="J34" cm="1">
        <f t="array" ref="J34">_xll.FI.CURVE.SPOT($I$2,I34)</f>
        <v>4.0487510030106269E-2</v>
      </c>
      <c r="K34" cm="1">
        <f t="array" ref="K34">_xll.FI.CURVE.FORWARD($I$2,I34)</f>
        <v>4.6506723186512944E-2</v>
      </c>
    </row>
    <row r="35" spans="9:11" x14ac:dyDescent="0.35">
      <c r="I35">
        <v>10</v>
      </c>
      <c r="J35" cm="1">
        <f t="array" ref="J35">_xll.FI.CURVE.SPOT($I$2,I35)</f>
        <v>4.0788470687926605E-2</v>
      </c>
      <c r="K35" cm="1">
        <f t="array" ref="K35">_xll.FI.CURVE.FORWARD($I$2,I35)</f>
        <v>4.6506723186512944E-2</v>
      </c>
    </row>
    <row r="36" spans="9:11" x14ac:dyDescent="0.35">
      <c r="I36">
        <v>10.5</v>
      </c>
      <c r="J36" cm="1">
        <f t="array" ref="J36">_xll.FI.CURVE.SPOT($I$2,I36)</f>
        <v>4.1426325230369251E-2</v>
      </c>
      <c r="K36" cm="1">
        <f t="array" ref="K36">_xll.FI.CURVE.FORWARD($I$2,I36)</f>
        <v>5.418341607922228E-2</v>
      </c>
    </row>
    <row r="37" spans="9:11" x14ac:dyDescent="0.35">
      <c r="I37">
        <v>11</v>
      </c>
      <c r="J37" cm="1">
        <f t="array" ref="J37">_xll.FI.CURVE.SPOT($I$2,I37)</f>
        <v>4.200619299622621E-2</v>
      </c>
      <c r="K37" cm="1">
        <f t="array" ref="K37">_xll.FI.CURVE.FORWARD($I$2,I37)</f>
        <v>5.418341607922228E-2</v>
      </c>
    </row>
    <row r="38" spans="9:11" x14ac:dyDescent="0.35">
      <c r="I38">
        <v>11.5</v>
      </c>
      <c r="J38" cm="1">
        <f t="array" ref="J38">_xll.FI.CURVE.SPOT($I$2,I38)</f>
        <v>4.2535637478095606E-2</v>
      </c>
      <c r="K38" cm="1">
        <f t="array" ref="K38">_xll.FI.CURVE.FORWARD($I$2,I38)</f>
        <v>5.418341607922228E-2</v>
      </c>
    </row>
    <row r="39" spans="9:11" x14ac:dyDescent="0.35">
      <c r="I39">
        <v>12</v>
      </c>
      <c r="J39" cm="1">
        <f t="array" ref="J39">_xll.FI.CURVE.SPOT($I$2,I39)</f>
        <v>4.3020961586475885E-2</v>
      </c>
      <c r="K39" cm="1">
        <f t="array" ref="K39">_xll.FI.CURVE.FORWARD($I$2,I39)</f>
        <v>5.418341607922228E-2</v>
      </c>
    </row>
    <row r="40" spans="9:11" x14ac:dyDescent="0.35">
      <c r="I40">
        <v>12.5</v>
      </c>
      <c r="J40" cm="1">
        <f t="array" ref="J40">_xll.FI.CURVE.SPOT($I$2,I40)</f>
        <v>4.346745976618574E-2</v>
      </c>
      <c r="K40" cm="1">
        <f t="array" ref="K40">_xll.FI.CURVE.FORWARD($I$2,I40)</f>
        <v>5.418341607922228E-2</v>
      </c>
    </row>
    <row r="41" spans="9:11" x14ac:dyDescent="0.35">
      <c r="I41">
        <v>13</v>
      </c>
      <c r="J41" cm="1">
        <f t="array" ref="J41">_xll.FI.CURVE.SPOT($I$2,I41)</f>
        <v>4.3879611932071759E-2</v>
      </c>
      <c r="K41" cm="1">
        <f t="array" ref="K41">_xll.FI.CURVE.FORWARD($I$2,I41)</f>
        <v>5.418341607922228E-2</v>
      </c>
    </row>
    <row r="42" spans="9:11" x14ac:dyDescent="0.35">
      <c r="I42">
        <v>13.5</v>
      </c>
      <c r="J42" cm="1">
        <f t="array" ref="J42">_xll.FI.CURVE.SPOT($I$2,I42)</f>
        <v>4.4261234307892146E-2</v>
      </c>
      <c r="K42" cm="1">
        <f t="array" ref="K42">_xll.FI.CURVE.FORWARD($I$2,I42)</f>
        <v>5.418341607922228E-2</v>
      </c>
    </row>
    <row r="43" spans="9:11" x14ac:dyDescent="0.35">
      <c r="I43">
        <v>14</v>
      </c>
      <c r="J43" cm="1">
        <f t="array" ref="J43">_xll.FI.CURVE.SPOT($I$2,I43)</f>
        <v>4.4615597942582512E-2</v>
      </c>
      <c r="K43" cm="1">
        <f t="array" ref="K43">_xll.FI.CURVE.FORWARD($I$2,I43)</f>
        <v>5.418341607922228E-2</v>
      </c>
    </row>
    <row r="44" spans="9:11" x14ac:dyDescent="0.35">
      <c r="I44">
        <v>14.5</v>
      </c>
      <c r="J44" cm="1">
        <f t="array" ref="J44">_xll.FI.CURVE.SPOT($I$2,I44)</f>
        <v>4.4945522705914918E-2</v>
      </c>
      <c r="K44" cm="1">
        <f t="array" ref="K44">_xll.FI.CURVE.FORWARD($I$2,I44)</f>
        <v>5.418341607922228E-2</v>
      </c>
    </row>
    <row r="45" spans="9:11" x14ac:dyDescent="0.35">
      <c r="I45">
        <v>15</v>
      </c>
      <c r="J45" cm="1">
        <f t="array" ref="J45">_xll.FI.CURVE.SPOT($I$2,I45)</f>
        <v>4.5253452485025165E-2</v>
      </c>
      <c r="K45" cm="1">
        <f t="array" ref="K45">_xll.FI.CURVE.FORWARD($I$2,I45)</f>
        <v>5.418341607922228E-2</v>
      </c>
    </row>
    <row r="46" spans="9:11" x14ac:dyDescent="0.35">
      <c r="I46">
        <v>15.5</v>
      </c>
      <c r="J46" cm="1">
        <f t="array" ref="J46">_xll.FI.CURVE.SPOT($I$2,I46)</f>
        <v>4.5541515826773453E-2</v>
      </c>
      <c r="K46" cm="1">
        <f t="array" ref="K46">_xll.FI.CURVE.FORWARD($I$2,I46)</f>
        <v>5.418341607922228E-2</v>
      </c>
    </row>
    <row r="47" spans="9:11" x14ac:dyDescent="0.35">
      <c r="I47">
        <v>16</v>
      </c>
      <c r="J47" cm="1">
        <f t="array" ref="J47">_xll.FI.CURVE.SPOT($I$2,I47)</f>
        <v>4.5811575209662482E-2</v>
      </c>
      <c r="K47" cm="1">
        <f t="array" ref="K47">_xll.FI.CURVE.FORWARD($I$2,I47)</f>
        <v>5.418341607922228E-2</v>
      </c>
    </row>
    <row r="48" spans="9:11" x14ac:dyDescent="0.35">
      <c r="I48">
        <v>16.5</v>
      </c>
      <c r="J48" cm="1">
        <f t="array" ref="J48">_xll.FI.CURVE.SPOT($I$2,I48)</f>
        <v>4.6065267357224902E-2</v>
      </c>
      <c r="K48" cm="1">
        <f t="array" ref="K48">_xll.FI.CURVE.FORWARD($I$2,I48)</f>
        <v>5.418341607922228E-2</v>
      </c>
    </row>
    <row r="49" spans="9:11" x14ac:dyDescent="0.35">
      <c r="I49">
        <v>17</v>
      </c>
      <c r="J49" cm="1">
        <f t="array" ref="J49">_xll.FI.CURVE.SPOT($I$2,I49)</f>
        <v>4.6304036437283647E-2</v>
      </c>
      <c r="K49" cm="1">
        <f t="array" ref="K49">_xll.FI.CURVE.FORWARD($I$2,I49)</f>
        <v>5.418341607922228E-2</v>
      </c>
    </row>
    <row r="50" spans="9:11" x14ac:dyDescent="0.35">
      <c r="I50">
        <v>17.5</v>
      </c>
      <c r="J50" cm="1">
        <f t="array" ref="J50">_xll.FI.CURVE.SPOT($I$2,I50)</f>
        <v>4.6529161569910465E-2</v>
      </c>
      <c r="K50" cm="1">
        <f t="array" ref="K50">_xll.FI.CURVE.FORWARD($I$2,I50)</f>
        <v>5.418341607922228E-2</v>
      </c>
    </row>
    <row r="51" spans="9:11" x14ac:dyDescent="0.35">
      <c r="I51">
        <v>18</v>
      </c>
      <c r="J51" cm="1">
        <f t="array" ref="J51">_xll.FI.CURVE.SPOT($I$2,I51)</f>
        <v>4.6741779750724681E-2</v>
      </c>
      <c r="K51" cm="1">
        <f t="array" ref="K51">_xll.FI.CURVE.FORWARD($I$2,I51)</f>
        <v>5.418341607922228E-2</v>
      </c>
    </row>
    <row r="52" spans="9:11" x14ac:dyDescent="0.35">
      <c r="I52">
        <v>18.5</v>
      </c>
      <c r="J52" cm="1">
        <f t="array" ref="J52">_xll.FI.CURVE.SPOT($I$2,I52)</f>
        <v>4.694290505690029E-2</v>
      </c>
      <c r="K52" cm="1">
        <f t="array" ref="K52">_xll.FI.CURVE.FORWARD($I$2,I52)</f>
        <v>5.418341607922228E-2</v>
      </c>
    </row>
    <row r="53" spans="9:11" x14ac:dyDescent="0.35">
      <c r="I53">
        <v>19</v>
      </c>
      <c r="J53" cm="1">
        <f t="array" ref="J53">_xll.FI.CURVE.SPOT($I$2,I53)</f>
        <v>4.7133444820645611E-2</v>
      </c>
      <c r="K53" cm="1">
        <f t="array" ref="K53">_xll.FI.CURVE.FORWARD($I$2,I53)</f>
        <v>5.418341607922228E-2</v>
      </c>
    </row>
    <row r="54" spans="9:11" x14ac:dyDescent="0.35">
      <c r="I54">
        <v>19.5</v>
      </c>
      <c r="J54" cm="1">
        <f t="array" ref="J54">_xll.FI.CURVE.SPOT($I$2,I54)</f>
        <v>4.7314213314455268E-2</v>
      </c>
      <c r="K54" cm="1">
        <f t="array" ref="K54">_xll.FI.CURVE.FORWARD($I$2,I54)</f>
        <v>5.418341607922228E-2</v>
      </c>
    </row>
    <row r="55" spans="9:11" x14ac:dyDescent="0.35">
      <c r="I55">
        <v>20</v>
      </c>
      <c r="J55" cm="1">
        <f t="array" ref="J55">_xll.FI.CURVE.SPOT($I$2,I55)</f>
        <v>4.7485943383574439E-2</v>
      </c>
      <c r="K55" cm="1">
        <f t="array" ref="K55">_xll.FI.CURVE.FORWARD($I$2,I55)</f>
        <v>5.418341607922228E-2</v>
      </c>
    </row>
    <row r="56" spans="9:11" x14ac:dyDescent="0.35">
      <c r="I56">
        <v>20.5</v>
      </c>
      <c r="J56" cm="1">
        <f t="array" ref="J56">_xll.FI.CURVE.SPOT($I$2,I56)</f>
        <v>4.7511833371737464E-2</v>
      </c>
      <c r="K56" cm="1">
        <f t="array" ref="K56">_xll.FI.CURVE.FORWARD($I$2,I56)</f>
        <v>4.8547432898258212E-2</v>
      </c>
    </row>
    <row r="57" spans="9:11" x14ac:dyDescent="0.35">
      <c r="I57">
        <v>21</v>
      </c>
      <c r="J57" cm="1">
        <f t="array" ref="J57">_xll.FI.CURVE.SPOT($I$2,I57)</f>
        <v>4.7536490503321288E-2</v>
      </c>
      <c r="K57" cm="1">
        <f t="array" ref="K57">_xll.FI.CURVE.FORWARD($I$2,I57)</f>
        <v>4.8547432898258212E-2</v>
      </c>
    </row>
    <row r="58" spans="9:11" x14ac:dyDescent="0.35">
      <c r="I58">
        <v>21.5</v>
      </c>
      <c r="J58" cm="1">
        <f t="array" ref="J58">_xll.FI.CURVE.SPOT($I$2,I58)</f>
        <v>4.756000079157563E-2</v>
      </c>
      <c r="K58" cm="1">
        <f t="array" ref="K58">_xll.FI.CURVE.FORWARD($I$2,I58)</f>
        <v>4.8547432898258212E-2</v>
      </c>
    </row>
    <row r="59" spans="9:11" x14ac:dyDescent="0.35">
      <c r="I59">
        <v>22</v>
      </c>
      <c r="J59" cm="1">
        <f t="array" ref="J59">_xll.FI.CURVE.SPOT($I$2,I59)</f>
        <v>4.7582442430363872E-2</v>
      </c>
      <c r="K59" cm="1">
        <f t="array" ref="K59">_xll.FI.CURVE.FORWARD($I$2,I59)</f>
        <v>4.8547432898258212E-2</v>
      </c>
    </row>
    <row r="60" spans="9:11" x14ac:dyDescent="0.35">
      <c r="I60">
        <v>22.5</v>
      </c>
      <c r="J60" cm="1">
        <f t="array" ref="J60">_xll.FI.CURVE.SPOT($I$2,I60)</f>
        <v>4.7603886662983749E-2</v>
      </c>
      <c r="K60" cm="1">
        <f t="array" ref="K60">_xll.FI.CURVE.FORWARD($I$2,I60)</f>
        <v>4.8547432898258212E-2</v>
      </c>
    </row>
    <row r="61" spans="9:11" x14ac:dyDescent="0.35">
      <c r="I61">
        <v>23</v>
      </c>
      <c r="J61" cm="1">
        <f t="array" ref="J61">_xll.FI.CURVE.SPOT($I$2,I61)</f>
        <v>4.7624398537663627E-2</v>
      </c>
      <c r="K61" cm="1">
        <f t="array" ref="K61">_xll.FI.CURVE.FORWARD($I$2,I61)</f>
        <v>4.8547432898258212E-2</v>
      </c>
    </row>
    <row r="62" spans="9:11" x14ac:dyDescent="0.35">
      <c r="I62">
        <v>23.5</v>
      </c>
      <c r="J62" cm="1">
        <f t="array" ref="J62">_xll.FI.CURVE.SPOT($I$2,I62)</f>
        <v>4.7644037566612452E-2</v>
      </c>
      <c r="K62" cm="1">
        <f t="array" ref="K62">_xll.FI.CURVE.FORWARD($I$2,I62)</f>
        <v>4.8547432898258212E-2</v>
      </c>
    </row>
    <row r="63" spans="9:11" x14ac:dyDescent="0.35">
      <c r="I63">
        <v>24</v>
      </c>
      <c r="J63" cm="1">
        <f t="array" ref="J63">_xll.FI.CURVE.SPOT($I$2,I63)</f>
        <v>4.7662858302688405E-2</v>
      </c>
      <c r="K63" cm="1">
        <f t="array" ref="K63">_xll.FI.CURVE.FORWARD($I$2,I63)</f>
        <v>4.8547432898258212E-2</v>
      </c>
    </row>
    <row r="64" spans="9:11" x14ac:dyDescent="0.35">
      <c r="I64">
        <v>24.5</v>
      </c>
      <c r="J64" cm="1">
        <f t="array" ref="J64">_xll.FI.CURVE.SPOT($I$2,I64)</f>
        <v>4.7680910845455136E-2</v>
      </c>
      <c r="K64" cm="1">
        <f t="array" ref="K64">_xll.FI.CURVE.FORWARD($I$2,I64)</f>
        <v>4.8547432898258212E-2</v>
      </c>
    </row>
    <row r="65" spans="9:11" x14ac:dyDescent="0.35">
      <c r="I65">
        <v>25</v>
      </c>
      <c r="J65" cm="1">
        <f t="array" ref="J65">_xll.FI.CURVE.SPOT($I$2,I65)</f>
        <v>4.7698241286511199E-2</v>
      </c>
      <c r="K65" cm="1">
        <f t="array" ref="K65">_xll.FI.CURVE.FORWARD($I$2,I65)</f>
        <v>4.8547432898258212E-2</v>
      </c>
    </row>
    <row r="66" spans="9:11" x14ac:dyDescent="0.35">
      <c r="I66">
        <v>25.5</v>
      </c>
      <c r="J66" cm="1">
        <f t="array" ref="J66">_xll.FI.CURVE.SPOT($I$2,I66)</f>
        <v>4.7714892102427804E-2</v>
      </c>
      <c r="K66" cm="1">
        <f t="array" ref="K66">_xll.FI.CURVE.FORWARD($I$2,I66)</f>
        <v>4.8547432898258212E-2</v>
      </c>
    </row>
    <row r="67" spans="9:11" x14ac:dyDescent="0.35">
      <c r="I67">
        <v>26</v>
      </c>
      <c r="J67" cm="1">
        <f t="array" ref="J67">_xll.FI.CURVE.SPOT($I$2,I67)</f>
        <v>4.773090250234762E-2</v>
      </c>
      <c r="K67" cm="1">
        <f t="array" ref="K67">_xll.FI.CURVE.FORWARD($I$2,I67)</f>
        <v>4.8547432898258212E-2</v>
      </c>
    </row>
    <row r="68" spans="9:11" x14ac:dyDescent="0.35">
      <c r="I68">
        <v>26.5</v>
      </c>
      <c r="J68" cm="1">
        <f t="array" ref="J68">_xll.FI.CURVE.SPOT($I$2,I68)</f>
        <v>4.7746308736232722E-2</v>
      </c>
      <c r="K68" cm="1">
        <f t="array" ref="K68">_xll.FI.CURVE.FORWARD($I$2,I68)</f>
        <v>4.8547432898258212E-2</v>
      </c>
    </row>
    <row r="69" spans="9:11" x14ac:dyDescent="0.35">
      <c r="I69">
        <v>27</v>
      </c>
      <c r="J69" cm="1">
        <f t="array" ref="J69">_xll.FI.CURVE.SPOT($I$2,I69)</f>
        <v>4.7761144368862835E-2</v>
      </c>
      <c r="K69" cm="1">
        <f t="array" ref="K69">_xll.FI.CURVE.FORWARD($I$2,I69)</f>
        <v>4.8547432898258212E-2</v>
      </c>
    </row>
    <row r="70" spans="9:11" x14ac:dyDescent="0.35">
      <c r="I70">
        <v>27.5</v>
      </c>
      <c r="J70" cm="1">
        <f t="array" ref="J70">_xll.FI.CURVE.SPOT($I$2,I70)</f>
        <v>4.7775440523942739E-2</v>
      </c>
      <c r="K70" cm="1">
        <f t="array" ref="K70">_xll.FI.CURVE.FORWARD($I$2,I70)</f>
        <v>4.8547432898258212E-2</v>
      </c>
    </row>
    <row r="71" spans="9:11" x14ac:dyDescent="0.35">
      <c r="I71">
        <v>28</v>
      </c>
      <c r="J71" cm="1">
        <f t="array" ref="J71">_xll.FI.CURVE.SPOT($I$2,I71)</f>
        <v>4.7789226102055514E-2</v>
      </c>
      <c r="K71" cm="1">
        <f t="array" ref="K71">_xll.FI.CURVE.FORWARD($I$2,I71)</f>
        <v>4.8547432898258212E-2</v>
      </c>
    </row>
    <row r="72" spans="9:11" x14ac:dyDescent="0.35">
      <c r="I72">
        <v>28.5</v>
      </c>
      <c r="J72" cm="1">
        <f t="array" ref="J72">_xll.FI.CURVE.SPOT($I$2,I72)</f>
        <v>4.7802527975673109E-2</v>
      </c>
      <c r="K72" cm="1">
        <f t="array" ref="K72">_xll.FI.CURVE.FORWARD($I$2,I72)</f>
        <v>4.8547432898258212E-2</v>
      </c>
    </row>
    <row r="73" spans="9:11" x14ac:dyDescent="0.35">
      <c r="I73">
        <v>29</v>
      </c>
      <c r="J73" cm="1">
        <f t="array" ref="J73">_xll.FI.CURVE.SPOT($I$2,I73)</f>
        <v>4.7815371163993543E-2</v>
      </c>
      <c r="K73" cm="1">
        <f t="array" ref="K73">_xll.FI.CURVE.FORWARD($I$2,I73)</f>
        <v>4.8547432898258212E-2</v>
      </c>
    </row>
    <row r="74" spans="9:11" x14ac:dyDescent="0.35">
      <c r="I74">
        <v>29.5</v>
      </c>
      <c r="J74" cm="1">
        <f t="array" ref="J74">_xll.FI.CURVE.SPOT($I$2,I74)</f>
        <v>4.7827778989998029E-2</v>
      </c>
      <c r="K74" cm="1">
        <f t="array" ref="K74">_xll.FI.CURVE.FORWARD($I$2,I74)</f>
        <v>4.8547432898258212E-2</v>
      </c>
    </row>
    <row r="75" spans="9:11" x14ac:dyDescent="0.35">
      <c r="I75">
        <v>30</v>
      </c>
      <c r="J75" cm="1">
        <f t="array" ref="J75">_xll.FI.CURVE.SPOT($I$2,I75)</f>
        <v>4.7839773221802363E-2</v>
      </c>
      <c r="K75" cm="1">
        <f t="array" ref="K75">_xll.FI.CURVE.FORWARD($I$2,I75)</f>
        <v>4.8547432898258212E-2</v>
      </c>
    </row>
  </sheetData>
  <pageMargins left="0.7" right="0.7" top="0.75" bottom="0.75" header="0.3" footer="0.3"/>
  <ignoredErrors>
    <ignoredError sqref="C4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Enhua Zhu</cp:lastModifiedBy>
  <dcterms:created xsi:type="dcterms:W3CDTF">2026-02-18T22:45:22Z</dcterms:created>
  <dcterms:modified xsi:type="dcterms:W3CDTF">2026-02-23T20:22:35Z</dcterms:modified>
</cp:coreProperties>
</file>