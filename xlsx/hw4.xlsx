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dney\Documents\GitHub\xll_ml\xlsx\"/>
    </mc:Choice>
  </mc:AlternateContent>
  <xr:revisionPtr revIDLastSave="0" documentId="13_ncr:1_{123395CA-8DA6-42DB-97ED-AC4D88B10448}" xr6:coauthVersionLast="47" xr6:coauthVersionMax="47" xr10:uidLastSave="{00000000-0000-0000-0000-000000000000}"/>
  <bookViews>
    <workbookView xWindow="-108" yWindow="-108" windowWidth="23256" windowHeight="12456" activeTab="3" xr2:uid="{EDEE3299-5466-402C-8B4F-6E69C4CA67FB}"/>
  </bookViews>
  <sheets>
    <sheet name="Treasury Rates" sheetId="1" r:id="rId1"/>
    <sheet name="Instrument" sheetId="2" r:id="rId2"/>
    <sheet name="Curve" sheetId="3" r:id="rId3"/>
    <sheet name="Bootstra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3" i="4"/>
  <c r="F20" i="2"/>
  <c r="F17" i="2"/>
  <c r="C7" i="2"/>
  <c r="C8" i="2" s="1" a="1"/>
  <c r="K7" i="4" a="1"/>
  <c r="K15" i="4" a="1"/>
  <c r="K23" i="4" a="1"/>
  <c r="K31" i="4" a="1"/>
  <c r="K39" i="4" a="1"/>
  <c r="K47" i="4" a="1"/>
  <c r="K55" i="4" a="1"/>
  <c r="K63" i="4" a="1"/>
  <c r="K71" i="4" a="1"/>
  <c r="K29" i="4" a="1"/>
  <c r="K62" i="4" a="1"/>
  <c r="K16" i="4" a="1"/>
  <c r="K56" i="4" a="1"/>
  <c r="K51" i="4" a="1"/>
  <c r="K60" i="4" a="1"/>
  <c r="K69" i="4" a="1"/>
  <c r="K8" i="4" a="1"/>
  <c r="K24" i="4" a="1"/>
  <c r="K32" i="4" a="1"/>
  <c r="K40" i="4" a="1"/>
  <c r="K48" i="4" a="1"/>
  <c r="K64" i="4" a="1"/>
  <c r="K72" i="4" a="1"/>
  <c r="K44" i="4" a="1"/>
  <c r="K22" i="4" a="1"/>
  <c r="K33" i="4" a="1"/>
  <c r="K49" i="4" a="1"/>
  <c r="K65" i="4" a="1"/>
  <c r="K73" i="4" a="1"/>
  <c r="K50" i="4" a="1"/>
  <c r="K58" i="4" a="1"/>
  <c r="K74" i="4" a="1"/>
  <c r="K12" i="4" a="1"/>
  <c r="K9" i="4" a="1"/>
  <c r="K17" i="4" a="1"/>
  <c r="K25" i="4" a="1"/>
  <c r="K41" i="4" a="1"/>
  <c r="K57" i="4" a="1"/>
  <c r="K66" i="4" a="1"/>
  <c r="K67" i="4" a="1"/>
  <c r="K28" i="4" a="1"/>
  <c r="K61" i="4" a="1"/>
  <c r="K34" i="4" a="1"/>
  <c r="K43" i="4" a="1"/>
  <c r="K59" i="4" a="1"/>
  <c r="K36" i="4" a="1"/>
  <c r="K37" i="4" a="1"/>
  <c r="K70" i="4" a="1"/>
  <c r="K10" i="4" a="1"/>
  <c r="K18" i="4" a="1"/>
  <c r="K26" i="4" a="1"/>
  <c r="K42" i="4" a="1"/>
  <c r="K21" i="4" a="1"/>
  <c r="K19" i="4" a="1"/>
  <c r="K27" i="4" a="1"/>
  <c r="K35" i="4" a="1"/>
  <c r="K68" i="4" a="1"/>
  <c r="K53" i="4" a="1"/>
  <c r="K11" i="4" a="1"/>
  <c r="K38" i="4" a="1"/>
  <c r="K52" i="4" a="1"/>
  <c r="K14" i="4" a="1"/>
  <c r="K20" i="4" a="1"/>
  <c r="K30" i="4" a="1"/>
  <c r="K45" i="4" a="1"/>
  <c r="K46" i="4" a="1"/>
  <c r="K13" i="4" a="1"/>
  <c r="K54" i="4" a="1"/>
  <c r="J7" i="4" a="1"/>
  <c r="J15" i="4" a="1"/>
  <c r="J23" i="4" a="1"/>
  <c r="J31" i="4" a="1"/>
  <c r="J39" i="4" a="1"/>
  <c r="J47" i="4" a="1"/>
  <c r="J55" i="4" a="1"/>
  <c r="J63" i="4" a="1"/>
  <c r="J71" i="4" a="1"/>
  <c r="J8" i="4" a="1"/>
  <c r="J24" i="4" a="1"/>
  <c r="J40" i="4" a="1"/>
  <c r="J48" i="4" a="1"/>
  <c r="J56" i="4" a="1"/>
  <c r="J64" i="4" a="1"/>
  <c r="J72" i="4" a="1"/>
  <c r="J13" i="4" a="1"/>
  <c r="J69" i="4" a="1"/>
  <c r="J32" i="4" a="1"/>
  <c r="J62" i="4" a="1"/>
  <c r="J16" i="4" a="1"/>
  <c r="J21" i="4" a="1"/>
  <c r="J46" i="4" a="1"/>
  <c r="J17" i="4" a="1"/>
  <c r="J73" i="4" a="1"/>
  <c r="J26" i="4" a="1"/>
  <c r="J42" i="4" a="1"/>
  <c r="J58" i="4" a="1"/>
  <c r="J27" i="4" a="1"/>
  <c r="J51" i="4" a="1"/>
  <c r="J20" i="4" a="1"/>
  <c r="J52" i="4" a="1"/>
  <c r="J30" i="4" a="1"/>
  <c r="J9" i="4" a="1"/>
  <c r="J25" i="4" a="1"/>
  <c r="J33" i="4" a="1"/>
  <c r="J41" i="4" a="1"/>
  <c r="J49" i="4" a="1"/>
  <c r="J57" i="4" a="1"/>
  <c r="J65" i="4" a="1"/>
  <c r="J18" i="4" a="1"/>
  <c r="J34" i="4" a="1"/>
  <c r="J50" i="4" a="1"/>
  <c r="J74" i="4" a="1"/>
  <c r="J11" i="4" a="1"/>
  <c r="J35" i="4" a="1"/>
  <c r="J59" i="4" a="1"/>
  <c r="J36" i="4" a="1"/>
  <c r="J29" i="4" a="1"/>
  <c r="J53" i="4" a="1"/>
  <c r="J38" i="4" a="1"/>
  <c r="J10" i="4" a="1"/>
  <c r="J66" i="4" a="1"/>
  <c r="J19" i="4" a="1"/>
  <c r="J43" i="4" a="1"/>
  <c r="J67" i="4" a="1"/>
  <c r="J12" i="4" a="1"/>
  <c r="J44" i="4" a="1"/>
  <c r="J60" i="4" a="1"/>
  <c r="J37" i="4" a="1"/>
  <c r="J54" i="4" a="1"/>
  <c r="J45" i="4" a="1"/>
  <c r="J68" i="4" a="1"/>
  <c r="J14" i="4" a="1"/>
  <c r="J28" i="4" a="1"/>
  <c r="J22" i="4" a="1"/>
  <c r="J61" i="4" a="1"/>
  <c r="J70" i="4" a="1"/>
  <c r="K6" i="4" a="1"/>
  <c r="J6" i="4" a="1"/>
  <c r="H2" i="4" a="1"/>
  <c r="G3" i="4" a="1"/>
  <c r="G11" i="4" a="1"/>
  <c r="G15" i="4" a="1"/>
  <c r="G16" i="4" a="1"/>
  <c r="G4" i="4" a="1"/>
  <c r="G12" i="4" a="1"/>
  <c r="G14" i="4" a="1"/>
  <c r="G10" i="4" a="1"/>
  <c r="G5" i="4" a="1"/>
  <c r="G13" i="4" a="1"/>
  <c r="G7" i="4" a="1"/>
  <c r="G8" i="4" a="1"/>
  <c r="G9" i="4" a="1"/>
  <c r="G6" i="4" a="1"/>
  <c r="K54" i="4" l="1"/>
  <c r="K13" i="4"/>
  <c r="K46" i="4"/>
  <c r="K45" i="4"/>
  <c r="K30" i="4"/>
  <c r="K20" i="4"/>
  <c r="K14" i="4"/>
  <c r="K52" i="4"/>
  <c r="K38" i="4"/>
  <c r="K11" i="4"/>
  <c r="K53" i="4"/>
  <c r="K68" i="4"/>
  <c r="K35" i="4"/>
  <c r="K27" i="4"/>
  <c r="K19" i="4"/>
  <c r="K21" i="4"/>
  <c r="K42" i="4"/>
  <c r="K26" i="4"/>
  <c r="K18" i="4"/>
  <c r="K10" i="4"/>
  <c r="K70" i="4"/>
  <c r="K37" i="4"/>
  <c r="K36" i="4"/>
  <c r="K59" i="4"/>
  <c r="K43" i="4"/>
  <c r="K34" i="4"/>
  <c r="K61" i="4"/>
  <c r="K28" i="4"/>
  <c r="K67" i="4"/>
  <c r="K66" i="4"/>
  <c r="K57" i="4"/>
  <c r="K41" i="4"/>
  <c r="K25" i="4"/>
  <c r="K17" i="4"/>
  <c r="K9" i="4"/>
  <c r="K12" i="4"/>
  <c r="K74" i="4"/>
  <c r="K58" i="4"/>
  <c r="K50" i="4"/>
  <c r="K73" i="4"/>
  <c r="K65" i="4"/>
  <c r="K49" i="4"/>
  <c r="K33" i="4"/>
  <c r="K22" i="4"/>
  <c r="K44" i="4"/>
  <c r="K72" i="4"/>
  <c r="K64" i="4"/>
  <c r="K48" i="4"/>
  <c r="K40" i="4"/>
  <c r="K32" i="4"/>
  <c r="K24" i="4"/>
  <c r="K8" i="4"/>
  <c r="K69" i="4"/>
  <c r="K60" i="4"/>
  <c r="K51" i="4"/>
  <c r="K56" i="4"/>
  <c r="K16" i="4"/>
  <c r="K62" i="4"/>
  <c r="K29" i="4"/>
  <c r="K71" i="4"/>
  <c r="K63" i="4"/>
  <c r="K55" i="4"/>
  <c r="K47" i="4"/>
  <c r="K39" i="4"/>
  <c r="K31" i="4"/>
  <c r="K23" i="4"/>
  <c r="K15" i="4"/>
  <c r="K7" i="4"/>
  <c r="J70" i="4"/>
  <c r="J61" i="4"/>
  <c r="J22" i="4"/>
  <c r="J28" i="4"/>
  <c r="J14" i="4"/>
  <c r="J68" i="4"/>
  <c r="J45" i="4"/>
  <c r="J54" i="4"/>
  <c r="J37" i="4"/>
  <c r="J60" i="4"/>
  <c r="J44" i="4"/>
  <c r="J12" i="4"/>
  <c r="J67" i="4"/>
  <c r="J43" i="4"/>
  <c r="J19" i="4"/>
  <c r="J66" i="4"/>
  <c r="J10" i="4"/>
  <c r="J38" i="4"/>
  <c r="J53" i="4"/>
  <c r="J29" i="4"/>
  <c r="J36" i="4"/>
  <c r="J59" i="4"/>
  <c r="J35" i="4"/>
  <c r="J11" i="4"/>
  <c r="J74" i="4"/>
  <c r="J50" i="4"/>
  <c r="J34" i="4"/>
  <c r="J18" i="4"/>
  <c r="J65" i="4"/>
  <c r="J57" i="4"/>
  <c r="J49" i="4"/>
  <c r="J41" i="4"/>
  <c r="J33" i="4"/>
  <c r="J25" i="4"/>
  <c r="J9" i="4"/>
  <c r="J30" i="4"/>
  <c r="J52" i="4"/>
  <c r="J20" i="4"/>
  <c r="J51" i="4"/>
  <c r="J27" i="4"/>
  <c r="J58" i="4"/>
  <c r="J42" i="4"/>
  <c r="J26" i="4"/>
  <c r="J73" i="4"/>
  <c r="J17" i="4"/>
  <c r="J46" i="4"/>
  <c r="J21" i="4"/>
  <c r="J16" i="4"/>
  <c r="J62" i="4"/>
  <c r="J32" i="4"/>
  <c r="J69" i="4"/>
  <c r="J13" i="4"/>
  <c r="J72" i="4"/>
  <c r="J64" i="4"/>
  <c r="J56" i="4"/>
  <c r="J48" i="4"/>
  <c r="J40" i="4"/>
  <c r="J24" i="4"/>
  <c r="J8" i="4"/>
  <c r="J71" i="4"/>
  <c r="J63" i="4"/>
  <c r="J55" i="4"/>
  <c r="J47" i="4"/>
  <c r="J39" i="4"/>
  <c r="J31" i="4"/>
  <c r="J23" i="4"/>
  <c r="J15" i="4"/>
  <c r="J7" i="4"/>
  <c r="K6" i="4"/>
  <c r="J6" i="4"/>
  <c r="H2" i="4"/>
  <c r="G6" i="4"/>
  <c r="G9" i="4"/>
  <c r="G8" i="4"/>
  <c r="G7" i="4"/>
  <c r="G13" i="4"/>
  <c r="G5" i="4"/>
  <c r="G10" i="4"/>
  <c r="G14" i="4"/>
  <c r="G12" i="4"/>
  <c r="G4" i="4"/>
  <c r="G16" i="4"/>
  <c r="G15" i="4"/>
  <c r="G11" i="4"/>
  <c r="G3" i="4"/>
  <c r="C8" i="2"/>
  <c r="I6" i="4" a="1"/>
  <c r="I6" i="4" s="1"/>
  <c r="C5" i="4"/>
  <c r="C8" i="4"/>
  <c r="C7" i="4"/>
  <c r="C6" i="4"/>
  <c r="C4" i="4"/>
  <c r="C3" i="4"/>
  <c r="B4" i="1"/>
  <c r="B6" i="1" s="1" a="1"/>
  <c r="B6" i="1" s="1"/>
  <c r="B10" i="3"/>
  <c r="B8" i="3" a="1"/>
  <c r="B7" i="3" a="1"/>
  <c r="E20" i="2"/>
  <c r="E19" i="2"/>
  <c r="F19" i="2" s="1"/>
  <c r="E18" i="2"/>
  <c r="F18" i="2" s="1"/>
  <c r="E17" i="2"/>
  <c r="D15" i="2"/>
  <c r="E15" i="2" s="1"/>
  <c r="D14" i="2"/>
  <c r="E14" i="2" s="1"/>
  <c r="D13" i="2"/>
  <c r="E13" i="2" s="1"/>
  <c r="B8" i="3" l="1"/>
  <c r="B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E3" authorId="0" shapeId="0" xr:uid="{2B41EF9A-7B2A-4C9F-8A02-560BED64463C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<sst xmlns="http://schemas.openxmlformats.org/spreadsheetml/2006/main" count="51" uniqueCount="37">
  <si>
    <t>https://home.treasury.gov/resource-center/data-chart-center/interest-rates/daily-treasury-rates.csv/2026/all?field_tdr_date_value=2026&amp;type=daily_treasury_yield_curve&amp;page&amp;_format=csv</t>
  </si>
  <si>
    <t>Add examples for \FI.INSTURMENT, FI.INSTRUMENT, FI.INTRUMENT.ZERO_COUPON_BOND, and FI.INSTRUMENT.BOND</t>
  </si>
  <si>
    <t>Add examples for \FI.CURVE.PWFLAT and FI.CURVE.PWFLAT</t>
  </si>
  <si>
    <t>1 Mo</t>
  </si>
  <si>
    <t>2 Mo</t>
  </si>
  <si>
    <t>3 Mo</t>
  </si>
  <si>
    <t>4 Mo</t>
  </si>
  <si>
    <t>6 Mo</t>
  </si>
  <si>
    <t>1 Yr</t>
  </si>
  <si>
    <t>2 Yr</t>
  </si>
  <si>
    <t>3 Yr</t>
  </si>
  <si>
    <t>5 Yr</t>
  </si>
  <si>
    <t>7 Yr</t>
  </si>
  <si>
    <t>10 Yr</t>
  </si>
  <si>
    <t>20 Yr</t>
  </si>
  <si>
    <t>30 Yr</t>
  </si>
  <si>
    <t>time</t>
  </si>
  <si>
    <t>rate</t>
  </si>
  <si>
    <t>price</t>
  </si>
  <si>
    <t>bill/bond</t>
  </si>
  <si>
    <t>usd \fi.bond</t>
  </si>
  <si>
    <t>.</t>
  </si>
  <si>
    <t>1.5 Mo</t>
  </si>
  <si>
    <t>bootstrap</t>
  </si>
  <si>
    <t>use \fi.zero cupon bond</t>
  </si>
  <si>
    <t>t</t>
  </si>
  <si>
    <t>spot</t>
  </si>
  <si>
    <t>forward</t>
  </si>
  <si>
    <t>insert graph</t>
  </si>
  <si>
    <t>plot curve here using pwflate.spot, forward</t>
  </si>
  <si>
    <t>Times / Cash flows:</t>
  </si>
  <si>
    <t>u (maturity)</t>
  </si>
  <si>
    <t>c (payment)</t>
  </si>
  <si>
    <t>Handle</t>
  </si>
  <si>
    <t>Times / Cash flows</t>
  </si>
  <si>
    <t>c (coupon)</t>
  </si>
  <si>
    <t>f (frequency)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</si>
</sst>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0x&quot;#"/>
    <numFmt numFmtId="177" formatCode="0.000"/>
  </numFmts>
  <fonts count="6" x14ac:knownFonts="1">
    <font>
      <sz val="14"/>
      <color theme="1"/>
      <name val="等线"/>
      <family val="2"/>
      <scheme val="minor"/>
    </font>
    <font>
      <u/>
      <sz val="14"/>
      <color theme="10"/>
      <name val="等线"/>
      <family val="2"/>
      <scheme val="minor"/>
    </font>
    <font>
      <sz val="14"/>
      <color theme="1"/>
      <name val="等线"/>
      <family val="2"/>
      <scheme val="minor"/>
    </font>
    <font>
      <sz val="8"/>
      <color indexed="63"/>
      <name val="等线"/>
      <family val="2"/>
      <scheme val="minor"/>
    </font>
    <font>
      <b/>
      <sz val="11"/>
      <color indexed="81"/>
      <name val="Tahoma"/>
      <family val="2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Font="0" applyAlignment="0" applyProtection="0"/>
    <xf numFmtId="176" fontId="3" fillId="0" borderId="0">
      <alignment horizontal="center" vertical="center"/>
    </xf>
  </cellStyleXfs>
  <cellXfs count="7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177" fontId="0" fillId="0" borderId="0" xfId="0" applyNumberFormat="1"/>
    <xf numFmtId="2" fontId="0" fillId="0" borderId="0" xfId="0" applyNumberFormat="1"/>
    <xf numFmtId="0" fontId="0" fillId="2" borderId="1" xfId="2" applyFont="1"/>
    <xf numFmtId="0" fontId="0" fillId="0" borderId="0" xfId="0" applyAlignment="1">
      <alignment horizontal="center"/>
    </xf>
  </cellXfs>
  <cellStyles count="4">
    <cellStyle name="Handle" xfId="3" xr:uid="{FB5D0E3F-B7C2-471A-97B4-EF18ADDF021D}"/>
    <cellStyle name="常规" xfId="0" builtinId="0"/>
    <cellStyle name="超链接" xfId="1" builtinId="8"/>
    <cellStyle name="注释" xfId="2" builtinId="1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Bootstrap!$J$5</c:f>
              <c:strCache>
                <c:ptCount val="1"/>
                <c:pt idx="0">
                  <c:v>spot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Bootstrap!$I$6:$I$74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Bootstrap!$J$6:$J$74</c:f>
              <c:numCache>
                <c:formatCode>General</c:formatCode>
                <c:ptCount val="69"/>
                <c:pt idx="0">
                  <c:v>3.715831656820115E-2</c:v>
                </c:pt>
                <c:pt idx="1">
                  <c:v>3.7323037168694624E-2</c:v>
                </c:pt>
                <c:pt idx="2">
                  <c:v>3.7294240837115154E-2</c:v>
                </c:pt>
                <c:pt idx="3">
                  <c:v>3.721079054557859E-2</c:v>
                </c:pt>
                <c:pt idx="4">
                  <c:v>3.6778519999290514E-2</c:v>
                </c:pt>
                <c:pt idx="5">
                  <c:v>3.632691013270551E-2</c:v>
                </c:pt>
                <c:pt idx="6">
                  <c:v>3.6059207069266165E-2</c:v>
                </c:pt>
                <c:pt idx="7">
                  <c:v>3.5867990595380914E-2</c:v>
                </c:pt>
                <c:pt idx="8">
                  <c:v>3.5724578239966977E-2</c:v>
                </c:pt>
                <c:pt idx="9">
                  <c:v>3.5613035296867254E-2</c:v>
                </c:pt>
                <c:pt idx="10">
                  <c:v>3.5523800942387468E-2</c:v>
                </c:pt>
                <c:pt idx="11">
                  <c:v>3.4760767774771613E-2</c:v>
                </c:pt>
                <c:pt idx="12">
                  <c:v>3.4379251190963682E-2</c:v>
                </c:pt>
                <c:pt idx="13">
                  <c:v>3.4567027196897734E-2</c:v>
                </c:pt>
                <c:pt idx="14">
                  <c:v>3.4692211200853765E-2</c:v>
                </c:pt>
                <c:pt idx="15">
                  <c:v>3.5286394901676073E-2</c:v>
                </c:pt>
                <c:pt idx="16">
                  <c:v>3.5732032677292802E-2</c:v>
                </c:pt>
                <c:pt idx="17">
                  <c:v>3.6078639836105812E-2</c:v>
                </c:pt>
                <c:pt idx="18">
                  <c:v>3.635592556315622E-2</c:v>
                </c:pt>
                <c:pt idx="19">
                  <c:v>3.703878714772197E-2</c:v>
                </c:pt>
                <c:pt idx="20">
                  <c:v>3.7607838468193426E-2</c:v>
                </c:pt>
                <c:pt idx="21">
                  <c:v>3.8089343431669268E-2</c:v>
                </c:pt>
                <c:pt idx="22">
                  <c:v>3.8502061971791415E-2</c:v>
                </c:pt>
                <c:pt idx="23">
                  <c:v>3.9069157753752602E-2</c:v>
                </c:pt>
                <c:pt idx="24">
                  <c:v>3.9565366562968628E-2</c:v>
                </c:pt>
                <c:pt idx="25">
                  <c:v>4.0003197865218068E-2</c:v>
                </c:pt>
                <c:pt idx="26">
                  <c:v>4.0392381244995348E-2</c:v>
                </c:pt>
                <c:pt idx="27">
                  <c:v>4.0740597953217127E-2</c:v>
                </c:pt>
                <c:pt idx="28">
                  <c:v>4.1053992990616725E-2</c:v>
                </c:pt>
                <c:pt idx="29">
                  <c:v>4.1713169260319559E-2</c:v>
                </c:pt>
                <c:pt idx="30">
                  <c:v>4.2312420414594855E-2</c:v>
                </c:pt>
                <c:pt idx="31">
                  <c:v>4.2859562772846214E-2</c:v>
                </c:pt>
                <c:pt idx="32">
                  <c:v>4.3361109934576626E-2</c:v>
                </c:pt>
                <c:pt idx="33">
                  <c:v>4.3822533323368607E-2</c:v>
                </c:pt>
                <c:pt idx="34">
                  <c:v>4.4248462605330441E-2</c:v>
                </c:pt>
                <c:pt idx="35">
                  <c:v>4.4642841570109906E-2</c:v>
                </c:pt>
                <c:pt idx="36">
                  <c:v>4.5009050608833708E-2</c:v>
                </c:pt>
                <c:pt idx="37">
                  <c:v>4.5350003851783442E-2</c:v>
                </c:pt>
                <c:pt idx="38">
                  <c:v>4.5668226878536534E-2</c:v>
                </c:pt>
                <c:pt idx="39">
                  <c:v>4.5965919387434585E-2</c:v>
                </c:pt>
                <c:pt idx="40">
                  <c:v>4.6245006114526511E-2</c:v>
                </c:pt>
                <c:pt idx="41">
                  <c:v>4.6507178494521954E-2</c:v>
                </c:pt>
                <c:pt idx="42">
                  <c:v>4.6753928969811787E-2</c:v>
                </c:pt>
                <c:pt idx="43">
                  <c:v>4.6986579417942195E-2</c:v>
                </c:pt>
                <c:pt idx="44">
                  <c:v>4.7206304841176466E-2</c:v>
                </c:pt>
                <c:pt idx="45">
                  <c:v>4.7414153214506191E-2</c:v>
                </c:pt>
                <c:pt idx="46">
                  <c:v>4.7611062199765922E-2</c:v>
                </c:pt>
                <c:pt idx="47">
                  <c:v>4.7797873288345678E-2</c:v>
                </c:pt>
                <c:pt idx="48">
                  <c:v>4.7975343822496436E-2</c:v>
                </c:pt>
                <c:pt idx="49">
                  <c:v>4.8004086588156983E-2</c:v>
                </c:pt>
                <c:pt idx="50">
                  <c:v>4.803146065069084E-2</c:v>
                </c:pt>
                <c:pt idx="51">
                  <c:v>4.8057561501013812E-2</c:v>
                </c:pt>
                <c:pt idx="52">
                  <c:v>4.808247594904938E-2</c:v>
                </c:pt>
                <c:pt idx="53">
                  <c:v>4.810628308828338E-2</c:v>
                </c:pt>
                <c:pt idx="54">
                  <c:v>4.8129055134507194E-2</c:v>
                </c:pt>
                <c:pt idx="55">
                  <c:v>4.8150858157487438E-2</c:v>
                </c:pt>
                <c:pt idx="56">
                  <c:v>4.8171752721176846E-2</c:v>
                </c:pt>
                <c:pt idx="57">
                  <c:v>4.8191794445531996E-2</c:v>
                </c:pt>
                <c:pt idx="58">
                  <c:v>4.8211034500912929E-2</c:v>
                </c:pt>
                <c:pt idx="59">
                  <c:v>4.8229520044318144E-2</c:v>
                </c:pt>
                <c:pt idx="60">
                  <c:v>4.8247294605284693E-2</c:v>
                </c:pt>
                <c:pt idx="61">
                  <c:v>4.8264398428101575E-2</c:v>
                </c:pt>
                <c:pt idx="62">
                  <c:v>4.8280868775999297E-2</c:v>
                </c:pt>
                <c:pt idx="63">
                  <c:v>4.829674020215529E-2</c:v>
                </c:pt>
                <c:pt idx="64">
                  <c:v>4.8312044791662852E-2</c:v>
                </c:pt>
                <c:pt idx="65">
                  <c:v>4.8326812378029799E-2</c:v>
                </c:pt>
                <c:pt idx="66">
                  <c:v>4.8341070737280653E-2</c:v>
                </c:pt>
                <c:pt idx="67">
                  <c:v>4.8354845762319604E-2</c:v>
                </c:pt>
                <c:pt idx="68">
                  <c:v>4.8368161619857256E-2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AF-4C94-ABA2-A3D19D42D547}"/>
            </c:ext>
          </c:extLst>
        </c:ser>
        <c:ser>
          <c:idx val="1"/>
          <c:order val="1"/>
          <c:tx>
            <c:strRef>
              <c:f>Bootstrap!$K$5</c:f>
              <c:strCache>
                <c:ptCount val="1"/>
                <c:pt idx="0">
                  <c:v>forward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Bootstrap!$I$6:$I$74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Bootstrap!$K$6:$K$74</c:f>
              <c:numCache>
                <c:formatCode>General</c:formatCode>
                <c:ptCount val="69"/>
                <c:pt idx="0">
                  <c:v>3.715831656820115E-2</c:v>
                </c:pt>
                <c:pt idx="1">
                  <c:v>3.814664017116199E-2</c:v>
                </c:pt>
                <c:pt idx="2">
                  <c:v>3.6683596176462913E-2</c:v>
                </c:pt>
                <c:pt idx="3">
                  <c:v>3.7404183748547974E-2</c:v>
                </c:pt>
                <c:pt idx="4">
                  <c:v>3.4520470666365488E-2</c:v>
                </c:pt>
                <c:pt idx="5">
                  <c:v>3.4520470666365488E-2</c:v>
                </c:pt>
                <c:pt idx="6">
                  <c:v>3.4720691752069432E-2</c:v>
                </c:pt>
                <c:pt idx="7">
                  <c:v>3.4720691752069432E-2</c:v>
                </c:pt>
                <c:pt idx="8">
                  <c:v>3.4720691752069432E-2</c:v>
                </c:pt>
                <c:pt idx="9">
                  <c:v>3.4720691752069432E-2</c:v>
                </c:pt>
                <c:pt idx="10">
                  <c:v>3.4720691752069432E-2</c:v>
                </c:pt>
                <c:pt idx="11">
                  <c:v>3.3234701439539896E-2</c:v>
                </c:pt>
                <c:pt idx="12">
                  <c:v>3.3234701439539896E-2</c:v>
                </c:pt>
                <c:pt idx="13">
                  <c:v>3.531813122063393E-2</c:v>
                </c:pt>
                <c:pt idx="14">
                  <c:v>3.531813122063393E-2</c:v>
                </c:pt>
                <c:pt idx="15">
                  <c:v>3.8851497106609914E-2</c:v>
                </c:pt>
                <c:pt idx="16">
                  <c:v>3.8851497106609914E-2</c:v>
                </c:pt>
                <c:pt idx="17">
                  <c:v>3.8851497106609914E-2</c:v>
                </c:pt>
                <c:pt idx="18">
                  <c:v>3.8851497106609914E-2</c:v>
                </c:pt>
                <c:pt idx="19">
                  <c:v>4.386740299337942E-2</c:v>
                </c:pt>
                <c:pt idx="20">
                  <c:v>4.386740299337942E-2</c:v>
                </c:pt>
                <c:pt idx="21">
                  <c:v>4.386740299337942E-2</c:v>
                </c:pt>
                <c:pt idx="22">
                  <c:v>4.386740299337942E-2</c:v>
                </c:pt>
                <c:pt idx="23">
                  <c:v>4.7008498701209114E-2</c:v>
                </c:pt>
                <c:pt idx="24">
                  <c:v>4.7008498701209114E-2</c:v>
                </c:pt>
                <c:pt idx="25">
                  <c:v>4.7008498701209114E-2</c:v>
                </c:pt>
                <c:pt idx="26">
                  <c:v>4.7008498701209114E-2</c:v>
                </c:pt>
                <c:pt idx="27">
                  <c:v>4.7008498701209114E-2</c:v>
                </c:pt>
                <c:pt idx="28">
                  <c:v>4.7008498701209114E-2</c:v>
                </c:pt>
                <c:pt idx="29">
                  <c:v>5.4896694654376146E-2</c:v>
                </c:pt>
                <c:pt idx="30">
                  <c:v>5.4896694654376146E-2</c:v>
                </c:pt>
                <c:pt idx="31">
                  <c:v>5.4896694654376146E-2</c:v>
                </c:pt>
                <c:pt idx="32">
                  <c:v>5.4896694654376146E-2</c:v>
                </c:pt>
                <c:pt idx="33">
                  <c:v>5.4896694654376146E-2</c:v>
                </c:pt>
                <c:pt idx="34">
                  <c:v>5.4896694654376146E-2</c:v>
                </c:pt>
                <c:pt idx="35">
                  <c:v>5.4896694654376146E-2</c:v>
                </c:pt>
                <c:pt idx="36">
                  <c:v>5.4896694654376146E-2</c:v>
                </c:pt>
                <c:pt idx="37">
                  <c:v>5.4896694654376146E-2</c:v>
                </c:pt>
                <c:pt idx="38">
                  <c:v>5.4896694654376146E-2</c:v>
                </c:pt>
                <c:pt idx="39">
                  <c:v>5.4896694654376146E-2</c:v>
                </c:pt>
                <c:pt idx="40">
                  <c:v>5.4896694654376146E-2</c:v>
                </c:pt>
                <c:pt idx="41">
                  <c:v>5.4896694654376146E-2</c:v>
                </c:pt>
                <c:pt idx="42">
                  <c:v>5.4896694654376146E-2</c:v>
                </c:pt>
                <c:pt idx="43">
                  <c:v>5.4896694654376146E-2</c:v>
                </c:pt>
                <c:pt idx="44">
                  <c:v>5.4896694654376146E-2</c:v>
                </c:pt>
                <c:pt idx="45">
                  <c:v>5.4896694654376146E-2</c:v>
                </c:pt>
                <c:pt idx="46">
                  <c:v>5.4896694654376146E-2</c:v>
                </c:pt>
                <c:pt idx="47">
                  <c:v>5.4896694654376146E-2</c:v>
                </c:pt>
                <c:pt idx="48">
                  <c:v>5.4896694654376146E-2</c:v>
                </c:pt>
                <c:pt idx="49">
                  <c:v>4.9153797214578902E-2</c:v>
                </c:pt>
                <c:pt idx="50">
                  <c:v>4.9153797214578902E-2</c:v>
                </c:pt>
                <c:pt idx="51">
                  <c:v>4.9153797214578902E-2</c:v>
                </c:pt>
                <c:pt idx="52">
                  <c:v>4.9153797214578902E-2</c:v>
                </c:pt>
                <c:pt idx="53">
                  <c:v>4.9153797214578902E-2</c:v>
                </c:pt>
                <c:pt idx="54">
                  <c:v>4.9153797214578902E-2</c:v>
                </c:pt>
                <c:pt idx="55">
                  <c:v>4.9153797214578902E-2</c:v>
                </c:pt>
                <c:pt idx="56">
                  <c:v>4.9153797214578902E-2</c:v>
                </c:pt>
                <c:pt idx="57">
                  <c:v>4.9153797214578902E-2</c:v>
                </c:pt>
                <c:pt idx="58">
                  <c:v>4.9153797214578902E-2</c:v>
                </c:pt>
                <c:pt idx="59">
                  <c:v>4.9153797214578902E-2</c:v>
                </c:pt>
                <c:pt idx="60">
                  <c:v>4.9153797214578902E-2</c:v>
                </c:pt>
                <c:pt idx="61">
                  <c:v>4.9153797214578902E-2</c:v>
                </c:pt>
                <c:pt idx="62">
                  <c:v>4.9153797214578902E-2</c:v>
                </c:pt>
                <c:pt idx="63">
                  <c:v>4.9153797214578902E-2</c:v>
                </c:pt>
                <c:pt idx="64">
                  <c:v>4.9153797214578902E-2</c:v>
                </c:pt>
                <c:pt idx="65">
                  <c:v>4.9153797214578902E-2</c:v>
                </c:pt>
                <c:pt idx="66">
                  <c:v>4.9153797214578902E-2</c:v>
                </c:pt>
                <c:pt idx="67">
                  <c:v>4.9153797214578902E-2</c:v>
                </c:pt>
                <c:pt idx="68">
                  <c:v>4.9153797214578902E-2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7AF-4C94-ABA2-A3D19D42D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5378591"/>
        <c:axId val="1435376671"/>
      </c:scatterChart>
      <c:valAx>
        <c:axId val="1435378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35376671"/>
        <c:crosses val="autoZero"/>
        <c:crossBetween val="midCat"/>
      </c:valAx>
      <c:valAx>
        <c:axId val="143537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35378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4</xdr:row>
      <xdr:rowOff>0</xdr:rowOff>
    </xdr:from>
    <xdr:to>
      <xdr:col>17</xdr:col>
      <xdr:colOff>609600</xdr:colOff>
      <xdr:row>16</xdr:row>
      <xdr:rowOff>91440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7F9C3F6-9CD1-4D1D-8845-4794D51BDE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.treasury.gov/resource-center/data-chart-center/interest-rates/daily-treasury-rates.csv/2026/all?field_tdr_date_value=2026&amp;type=daily_treasury_yield_curve&amp;page&amp;_format=csv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E00C4-F6CC-4E64-A377-FDB90E30013C}">
  <dimension ref="B2:P38"/>
  <sheetViews>
    <sheetView workbookViewId="0">
      <selection activeCell="B6" sqref="B6"/>
    </sheetView>
  </sheetViews>
  <sheetFormatPr defaultRowHeight="17.399999999999999" x14ac:dyDescent="0.3"/>
  <sheetData>
    <row r="2" spans="2:16" x14ac:dyDescent="0.3">
      <c r="B2" s="1" t="s">
        <v>0</v>
      </c>
    </row>
    <row r="4" spans="2:16" x14ac:dyDescent="0.3">
      <c r="B4" t="str">
        <f>_xlfn.WEBSERVICE(B2)</f>
        <v>Date,"1 Mo","1.5 Month","2 Mo","3 Mo","4 Mo","6 Mo","1 Yr","2 Yr","3 Yr","5 Yr","7 Yr","10 Yr","20 Yr","30 Yr"
02/18/2026,3.71,3.74,3.73,3.70,3.70,3.60,3.49,3.47,3.50,3.66,3.86,4.09,4.65,4.71
02/17/2026,3.72,3.75,3.73,3.69,3.70,3.59,3.48,3.43,3.47,3.63,3.82,4.05,4.63,4.68
02/13/2026,3.72,3.71,3.73,3.68,3.70,3.59,3.42,3.40,3.43,3.61,3.81,4.04,4.64,4.69
02/12/2026,3.72,3.71,3.74,3.70,3.70,3.58,3.45,3.47,3.49,3.67,3.87,4.09,4.68,4.72
02/11/2026,3.71,3.71,3.73,3.70,3.70,3.60,3.47,3.52,3.55,3.75,3.96,4.18,4.76,4.82
02/10/2026,3.72,3.72,3.74,3.69,3.69,3.58,3.40,3.45,3.50,3.70,3.92,4.16,4.73,4.78
02/09/2026,3.72,3.72,3.73,3.69,3.70,3.59,3.43,3.48,3.56,3.75,3.97,4.22,4.79,4.85
02/06/2026,3.72,3.72,3.74,3.68,3.70,3.59,3.45,3.50,3.57,3.76,3.98,4.22,4.80,4.85
02/05/2026,3.72,3.71,3.74,3.67,3.68,3.58,3.44,3.47,3.55,3.74,3.97,4.21,4.79,4.85
02/04/2026,3.72,3.72,3.74,3.69,3.70,3.62,3.49,3.57,3.64,3.83,4.05,4.29,4.86,4.91
02/03/2026,3.72,3.72,3.74,3.69,3.70,3.62,3.49,3.57,3.64,3.83,4.04,4.28,4.85,4.90
02/02/2026,3.72,3.72,3.74,3.69,3.70,3.62,3.49,3.57,3.64,3.83,4.05,4.29,4.85,4.90
01/30/2026,3.72,3.73,3.75,3.67,3.69,3.61,3.48,3.52,3.60,3.79,4.01,4.26,4.82,4.87
01/29/2026,3.72,3.73,3.75,3.67,3.69,3.62,3.50,3.53,3.63,3.80,4.01,4.24,4.80,4.85
01/28/2026,3.76,3.72,3.71,3.68,3.70,3.63,3.52,3.56,3.66,3.83,4.05,4.26,4.81,4.85
01/27/2026,3.77,3.72,3.70,3.67,3.66,3.61,3.50,3.53,3.65,3.81,4.03,4.24,4.79,4.83
01/26/2026,3.77,3.71,3.70,3.67,3.67,3.62,3.52,3.56,3.66,3.82,4.02,4.22,4.75,4.80
01/23/2026,3.78,3.71,3.72,3.70,3.67,3.61,3.53,3.60,3.67,3.84,4.03,4.24,4.78,4.82
01/22/2026,3.79,3.71,3.72,3.71,3.67,3.61,3.53,3.61,3.68,3.85,4.05,4.26,4.79,4.84
01/21/2026,3.75,3.71,3.70,3.70,3.67,3.62,3.53,3.60,3.66,3.83,4.04,4.26,4.82,4.87
01/20/2026,3.75,3.71,3.69,3.70,3.65,3.61,3.53,3.60,3.68,3.86,4.08,4.30,4.87,4.91
01/16/2026,3.75,3.72,3.68,3.67,3.66,3.60,3.55,3.59,3.67,3.82,4.02,4.24,4.79,4.83
01/15/2026,3.75,3.73,3.69,3.68,3.66,3.60,3.54,3.56,3.62,3.77,3.96,4.17,4.74,4.79
01/14/2026,3.72,3.71,3.66,3.67,3.65,3.58,3.50,3.51,3.56,3.72,3.92,4.15,4.73,4.79
01/13/2026,3.72,3.72,3.66,3.67,3.63,3.59,3.51,3.53,3.57,3.75,3.95,4.18,4.77,4.83
01/12/2026,3.71,3.68,3.64,3.67,3.63,3.58,3.53,3.54,3.59,3.77,3.97,4.19,4.78,4.83
01/09/2026,3.70,3.68,3.63,3.62,3.62,3.57,3.52,3.54,3.59,3.75,3.95,4.18,4.76,4.82
01/08/2026,3.70,3.69,3.63,3.62,3.60,3.56,3.48,3.49,3.56,3.74,3.95,4.19,4.79,4.85
01/07/2026,3.70,3.69,3.60,3.62,3.60,3.56,3.48,3.47,3.53,3.70,3.91,4.15,4.76,4.82
01/06/2026,3.70,3.70,3.61,3.63,3.58,3.56,3.48,3.47,3.54,3.72,3.93,4.18,4.80,4.86
01/05/2026,3.71,3.68,3.64,3.64,3.61,3.57,3.47,3.46,3.53,3.71,3.92,4.17,4.79,4.85
01/02/2026,3.72,3.71,3.66,3.65,3.62,3.58,3.47,3.47,3.55,3.74,3.95,4.19,4.81,4.86</v>
      </c>
    </row>
    <row r="6" spans="2:16" x14ac:dyDescent="0.3">
      <c r="B6" t="str" cm="1">
        <f t="array" ref="B6:P38">_xlfn.TEXTSPLIT(B4,",",CHAR(10))</f>
        <v>Date</v>
      </c>
      <c r="C6" t="str">
        <v>"1 Mo"</v>
      </c>
      <c r="D6" t="str">
        <v>"1.5 Month"</v>
      </c>
      <c r="E6" t="str">
        <v>"2 Mo"</v>
      </c>
      <c r="F6" t="str">
        <v>"3 Mo"</v>
      </c>
      <c r="G6" t="str">
        <v>"4 Mo"</v>
      </c>
      <c r="H6" t="str">
        <v>"6 Mo"</v>
      </c>
      <c r="I6" t="str">
        <v>"1 Yr"</v>
      </c>
      <c r="J6" t="str">
        <v>"2 Yr"</v>
      </c>
      <c r="K6" t="str">
        <v>"3 Yr"</v>
      </c>
      <c r="L6" t="str">
        <v>"5 Yr"</v>
      </c>
      <c r="M6" t="str">
        <v>"7 Yr"</v>
      </c>
      <c r="N6" t="str">
        <v>"10 Yr"</v>
      </c>
      <c r="O6" t="str">
        <v>"20 Yr"</v>
      </c>
      <c r="P6" t="str">
        <v>"30 Yr"</v>
      </c>
    </row>
    <row r="7" spans="2:16" x14ac:dyDescent="0.3">
      <c r="B7" t="str">
        <v>02/18/2026</v>
      </c>
      <c r="C7" t="str">
        <v>3.71</v>
      </c>
      <c r="D7" t="str">
        <v>3.74</v>
      </c>
      <c r="E7" t="str">
        <v>3.73</v>
      </c>
      <c r="F7" t="str">
        <v>3.70</v>
      </c>
      <c r="G7" t="str">
        <v>3.70</v>
      </c>
      <c r="H7" t="str">
        <v>3.60</v>
      </c>
      <c r="I7" t="str">
        <v>3.49</v>
      </c>
      <c r="J7" t="str">
        <v>3.47</v>
      </c>
      <c r="K7" t="str">
        <v>3.50</v>
      </c>
      <c r="L7" t="str">
        <v>3.66</v>
      </c>
      <c r="M7" t="str">
        <v>3.86</v>
      </c>
      <c r="N7" t="str">
        <v>4.09</v>
      </c>
      <c r="O7" t="str">
        <v>4.65</v>
      </c>
      <c r="P7" t="str">
        <v>4.71</v>
      </c>
    </row>
    <row r="8" spans="2:16" x14ac:dyDescent="0.3">
      <c r="B8" t="str">
        <v>02/17/2026</v>
      </c>
      <c r="C8" t="str">
        <v>3.72</v>
      </c>
      <c r="D8" t="str">
        <v>3.75</v>
      </c>
      <c r="E8" t="str">
        <v>3.73</v>
      </c>
      <c r="F8" t="str">
        <v>3.69</v>
      </c>
      <c r="G8" t="str">
        <v>3.70</v>
      </c>
      <c r="H8" t="str">
        <v>3.59</v>
      </c>
      <c r="I8" t="str">
        <v>3.48</v>
      </c>
      <c r="J8" t="str">
        <v>3.43</v>
      </c>
      <c r="K8" t="str">
        <v>3.47</v>
      </c>
      <c r="L8" t="str">
        <v>3.63</v>
      </c>
      <c r="M8" t="str">
        <v>3.82</v>
      </c>
      <c r="N8" t="str">
        <v>4.05</v>
      </c>
      <c r="O8" t="str">
        <v>4.63</v>
      </c>
      <c r="P8" t="str">
        <v>4.68</v>
      </c>
    </row>
    <row r="9" spans="2:16" x14ac:dyDescent="0.3">
      <c r="B9" t="str">
        <v>02/13/2026</v>
      </c>
      <c r="C9" t="str">
        <v>3.72</v>
      </c>
      <c r="D9" t="str">
        <v>3.71</v>
      </c>
      <c r="E9" t="str">
        <v>3.73</v>
      </c>
      <c r="F9" t="str">
        <v>3.68</v>
      </c>
      <c r="G9" t="str">
        <v>3.70</v>
      </c>
      <c r="H9" t="str">
        <v>3.59</v>
      </c>
      <c r="I9" t="str">
        <v>3.42</v>
      </c>
      <c r="J9" t="str">
        <v>3.40</v>
      </c>
      <c r="K9" t="str">
        <v>3.43</v>
      </c>
      <c r="L9" t="str">
        <v>3.61</v>
      </c>
      <c r="M9" t="str">
        <v>3.81</v>
      </c>
      <c r="N9" t="str">
        <v>4.04</v>
      </c>
      <c r="O9" t="str">
        <v>4.64</v>
      </c>
      <c r="P9" t="str">
        <v>4.69</v>
      </c>
    </row>
    <row r="10" spans="2:16" x14ac:dyDescent="0.3">
      <c r="B10" t="str">
        <v>02/12/2026</v>
      </c>
      <c r="C10" t="str">
        <v>3.72</v>
      </c>
      <c r="D10" t="str">
        <v>3.71</v>
      </c>
      <c r="E10" t="str">
        <v>3.74</v>
      </c>
      <c r="F10" t="str">
        <v>3.70</v>
      </c>
      <c r="G10" t="str">
        <v>3.70</v>
      </c>
      <c r="H10" t="str">
        <v>3.58</v>
      </c>
      <c r="I10" t="str">
        <v>3.45</v>
      </c>
      <c r="J10" t="str">
        <v>3.47</v>
      </c>
      <c r="K10" t="str">
        <v>3.49</v>
      </c>
      <c r="L10" t="str">
        <v>3.67</v>
      </c>
      <c r="M10" t="str">
        <v>3.87</v>
      </c>
      <c r="N10" t="str">
        <v>4.09</v>
      </c>
      <c r="O10" t="str">
        <v>4.68</v>
      </c>
      <c r="P10" t="str">
        <v>4.72</v>
      </c>
    </row>
    <row r="11" spans="2:16" x14ac:dyDescent="0.3">
      <c r="B11" t="str">
        <v>02/11/2026</v>
      </c>
      <c r="C11" t="str">
        <v>3.71</v>
      </c>
      <c r="D11" t="str">
        <v>3.71</v>
      </c>
      <c r="E11" t="str">
        <v>3.73</v>
      </c>
      <c r="F11" t="str">
        <v>3.70</v>
      </c>
      <c r="G11" t="str">
        <v>3.70</v>
      </c>
      <c r="H11" t="str">
        <v>3.60</v>
      </c>
      <c r="I11" t="str">
        <v>3.47</v>
      </c>
      <c r="J11" t="str">
        <v>3.52</v>
      </c>
      <c r="K11" t="str">
        <v>3.55</v>
      </c>
      <c r="L11" t="str">
        <v>3.75</v>
      </c>
      <c r="M11" t="str">
        <v>3.96</v>
      </c>
      <c r="N11" t="str">
        <v>4.18</v>
      </c>
      <c r="O11" t="str">
        <v>4.76</v>
      </c>
      <c r="P11" t="str">
        <v>4.82</v>
      </c>
    </row>
    <row r="12" spans="2:16" x14ac:dyDescent="0.3">
      <c r="B12" t="str">
        <v>02/10/2026</v>
      </c>
      <c r="C12" t="str">
        <v>3.72</v>
      </c>
      <c r="D12" t="str">
        <v>3.72</v>
      </c>
      <c r="E12" t="str">
        <v>3.74</v>
      </c>
      <c r="F12" t="str">
        <v>3.69</v>
      </c>
      <c r="G12" t="str">
        <v>3.69</v>
      </c>
      <c r="H12" t="str">
        <v>3.58</v>
      </c>
      <c r="I12" t="str">
        <v>3.40</v>
      </c>
      <c r="J12" t="str">
        <v>3.45</v>
      </c>
      <c r="K12" t="str">
        <v>3.50</v>
      </c>
      <c r="L12" t="str">
        <v>3.70</v>
      </c>
      <c r="M12" t="str">
        <v>3.92</v>
      </c>
      <c r="N12" t="str">
        <v>4.16</v>
      </c>
      <c r="O12" t="str">
        <v>4.73</v>
      </c>
      <c r="P12" t="str">
        <v>4.78</v>
      </c>
    </row>
    <row r="13" spans="2:16" x14ac:dyDescent="0.3">
      <c r="B13" t="str">
        <v>02/09/2026</v>
      </c>
      <c r="C13" t="str">
        <v>3.72</v>
      </c>
      <c r="D13" t="str">
        <v>3.72</v>
      </c>
      <c r="E13" t="str">
        <v>3.73</v>
      </c>
      <c r="F13" t="str">
        <v>3.69</v>
      </c>
      <c r="G13" t="str">
        <v>3.70</v>
      </c>
      <c r="H13" t="str">
        <v>3.59</v>
      </c>
      <c r="I13" t="str">
        <v>3.43</v>
      </c>
      <c r="J13" t="str">
        <v>3.48</v>
      </c>
      <c r="K13" t="str">
        <v>3.56</v>
      </c>
      <c r="L13" t="str">
        <v>3.75</v>
      </c>
      <c r="M13" t="str">
        <v>3.97</v>
      </c>
      <c r="N13" t="str">
        <v>4.22</v>
      </c>
      <c r="O13" t="str">
        <v>4.79</v>
      </c>
      <c r="P13" t="str">
        <v>4.85</v>
      </c>
    </row>
    <row r="14" spans="2:16" x14ac:dyDescent="0.3">
      <c r="B14" t="str">
        <v>02/06/2026</v>
      </c>
      <c r="C14" t="str">
        <v>3.72</v>
      </c>
      <c r="D14" t="str">
        <v>3.72</v>
      </c>
      <c r="E14" t="str">
        <v>3.74</v>
      </c>
      <c r="F14" t="str">
        <v>3.68</v>
      </c>
      <c r="G14" t="str">
        <v>3.70</v>
      </c>
      <c r="H14" t="str">
        <v>3.59</v>
      </c>
      <c r="I14" t="str">
        <v>3.45</v>
      </c>
      <c r="J14" t="str">
        <v>3.50</v>
      </c>
      <c r="K14" t="str">
        <v>3.57</v>
      </c>
      <c r="L14" t="str">
        <v>3.76</v>
      </c>
      <c r="M14" t="str">
        <v>3.98</v>
      </c>
      <c r="N14" t="str">
        <v>4.22</v>
      </c>
      <c r="O14" t="str">
        <v>4.80</v>
      </c>
      <c r="P14" t="str">
        <v>4.85</v>
      </c>
    </row>
    <row r="15" spans="2:16" x14ac:dyDescent="0.3">
      <c r="B15" t="str">
        <v>02/05/2026</v>
      </c>
      <c r="C15" t="str">
        <v>3.72</v>
      </c>
      <c r="D15" t="str">
        <v>3.71</v>
      </c>
      <c r="E15" t="str">
        <v>3.74</v>
      </c>
      <c r="F15" t="str">
        <v>3.67</v>
      </c>
      <c r="G15" t="str">
        <v>3.68</v>
      </c>
      <c r="H15" t="str">
        <v>3.58</v>
      </c>
      <c r="I15" t="str">
        <v>3.44</v>
      </c>
      <c r="J15" t="str">
        <v>3.47</v>
      </c>
      <c r="K15" t="str">
        <v>3.55</v>
      </c>
      <c r="L15" t="str">
        <v>3.74</v>
      </c>
      <c r="M15" t="str">
        <v>3.97</v>
      </c>
      <c r="N15" t="str">
        <v>4.21</v>
      </c>
      <c r="O15" t="str">
        <v>4.79</v>
      </c>
      <c r="P15" t="str">
        <v>4.85</v>
      </c>
    </row>
    <row r="16" spans="2:16" x14ac:dyDescent="0.3">
      <c r="B16" t="str">
        <v>02/04/2026</v>
      </c>
      <c r="C16" t="str">
        <v>3.72</v>
      </c>
      <c r="D16" t="str">
        <v>3.72</v>
      </c>
      <c r="E16" t="str">
        <v>3.74</v>
      </c>
      <c r="F16" t="str">
        <v>3.69</v>
      </c>
      <c r="G16" t="str">
        <v>3.70</v>
      </c>
      <c r="H16" t="str">
        <v>3.62</v>
      </c>
      <c r="I16" t="str">
        <v>3.49</v>
      </c>
      <c r="J16" t="str">
        <v>3.57</v>
      </c>
      <c r="K16" t="str">
        <v>3.64</v>
      </c>
      <c r="L16" t="str">
        <v>3.83</v>
      </c>
      <c r="M16" t="str">
        <v>4.05</v>
      </c>
      <c r="N16" t="str">
        <v>4.29</v>
      </c>
      <c r="O16" t="str">
        <v>4.86</v>
      </c>
      <c r="P16" t="str">
        <v>4.91</v>
      </c>
    </row>
    <row r="17" spans="2:16" x14ac:dyDescent="0.3">
      <c r="B17" t="str">
        <v>02/03/2026</v>
      </c>
      <c r="C17" t="str">
        <v>3.72</v>
      </c>
      <c r="D17" t="str">
        <v>3.72</v>
      </c>
      <c r="E17" t="str">
        <v>3.74</v>
      </c>
      <c r="F17" t="str">
        <v>3.69</v>
      </c>
      <c r="G17" t="str">
        <v>3.70</v>
      </c>
      <c r="H17" t="str">
        <v>3.62</v>
      </c>
      <c r="I17" t="str">
        <v>3.49</v>
      </c>
      <c r="J17" t="str">
        <v>3.57</v>
      </c>
      <c r="K17" t="str">
        <v>3.64</v>
      </c>
      <c r="L17" t="str">
        <v>3.83</v>
      </c>
      <c r="M17" t="str">
        <v>4.04</v>
      </c>
      <c r="N17" t="str">
        <v>4.28</v>
      </c>
      <c r="O17" t="str">
        <v>4.85</v>
      </c>
      <c r="P17" t="str">
        <v>4.90</v>
      </c>
    </row>
    <row r="18" spans="2:16" x14ac:dyDescent="0.3">
      <c r="B18" t="str">
        <v>02/02/2026</v>
      </c>
      <c r="C18" t="str">
        <v>3.72</v>
      </c>
      <c r="D18" t="str">
        <v>3.72</v>
      </c>
      <c r="E18" t="str">
        <v>3.74</v>
      </c>
      <c r="F18" t="str">
        <v>3.69</v>
      </c>
      <c r="G18" t="str">
        <v>3.70</v>
      </c>
      <c r="H18" t="str">
        <v>3.62</v>
      </c>
      <c r="I18" t="str">
        <v>3.49</v>
      </c>
      <c r="J18" t="str">
        <v>3.57</v>
      </c>
      <c r="K18" t="str">
        <v>3.64</v>
      </c>
      <c r="L18" t="str">
        <v>3.83</v>
      </c>
      <c r="M18" t="str">
        <v>4.05</v>
      </c>
      <c r="N18" t="str">
        <v>4.29</v>
      </c>
      <c r="O18" t="str">
        <v>4.85</v>
      </c>
      <c r="P18" t="str">
        <v>4.90</v>
      </c>
    </row>
    <row r="19" spans="2:16" x14ac:dyDescent="0.3">
      <c r="B19" t="str">
        <v>01/30/2026</v>
      </c>
      <c r="C19" t="str">
        <v>3.72</v>
      </c>
      <c r="D19" t="str">
        <v>3.73</v>
      </c>
      <c r="E19" t="str">
        <v>3.75</v>
      </c>
      <c r="F19" t="str">
        <v>3.67</v>
      </c>
      <c r="G19" t="str">
        <v>3.69</v>
      </c>
      <c r="H19" t="str">
        <v>3.61</v>
      </c>
      <c r="I19" t="str">
        <v>3.48</v>
      </c>
      <c r="J19" t="str">
        <v>3.52</v>
      </c>
      <c r="K19" t="str">
        <v>3.60</v>
      </c>
      <c r="L19" t="str">
        <v>3.79</v>
      </c>
      <c r="M19" t="str">
        <v>4.01</v>
      </c>
      <c r="N19" t="str">
        <v>4.26</v>
      </c>
      <c r="O19" t="str">
        <v>4.82</v>
      </c>
      <c r="P19" t="str">
        <v>4.87</v>
      </c>
    </row>
    <row r="20" spans="2:16" x14ac:dyDescent="0.3">
      <c r="B20" t="str">
        <v>01/29/2026</v>
      </c>
      <c r="C20" t="str">
        <v>3.72</v>
      </c>
      <c r="D20" t="str">
        <v>3.73</v>
      </c>
      <c r="E20" t="str">
        <v>3.75</v>
      </c>
      <c r="F20" t="str">
        <v>3.67</v>
      </c>
      <c r="G20" t="str">
        <v>3.69</v>
      </c>
      <c r="H20" t="str">
        <v>3.62</v>
      </c>
      <c r="I20" t="str">
        <v>3.50</v>
      </c>
      <c r="J20" t="str">
        <v>3.53</v>
      </c>
      <c r="K20" t="str">
        <v>3.63</v>
      </c>
      <c r="L20" t="str">
        <v>3.80</v>
      </c>
      <c r="M20" t="str">
        <v>4.01</v>
      </c>
      <c r="N20" t="str">
        <v>4.24</v>
      </c>
      <c r="O20" t="str">
        <v>4.80</v>
      </c>
      <c r="P20" t="str">
        <v>4.85</v>
      </c>
    </row>
    <row r="21" spans="2:16" x14ac:dyDescent="0.3">
      <c r="B21" t="str">
        <v>01/28/2026</v>
      </c>
      <c r="C21" t="str">
        <v>3.76</v>
      </c>
      <c r="D21" t="str">
        <v>3.72</v>
      </c>
      <c r="E21" t="str">
        <v>3.71</v>
      </c>
      <c r="F21" t="str">
        <v>3.68</v>
      </c>
      <c r="G21" t="str">
        <v>3.70</v>
      </c>
      <c r="H21" t="str">
        <v>3.63</v>
      </c>
      <c r="I21" t="str">
        <v>3.52</v>
      </c>
      <c r="J21" t="str">
        <v>3.56</v>
      </c>
      <c r="K21" t="str">
        <v>3.66</v>
      </c>
      <c r="L21" t="str">
        <v>3.83</v>
      </c>
      <c r="M21" t="str">
        <v>4.05</v>
      </c>
      <c r="N21" t="str">
        <v>4.26</v>
      </c>
      <c r="O21" t="str">
        <v>4.81</v>
      </c>
      <c r="P21" t="str">
        <v>4.85</v>
      </c>
    </row>
    <row r="22" spans="2:16" x14ac:dyDescent="0.3">
      <c r="B22" t="str">
        <v>01/27/2026</v>
      </c>
      <c r="C22" t="str">
        <v>3.77</v>
      </c>
      <c r="D22" t="str">
        <v>3.72</v>
      </c>
      <c r="E22" t="str">
        <v>3.70</v>
      </c>
      <c r="F22" t="str">
        <v>3.67</v>
      </c>
      <c r="G22" t="str">
        <v>3.66</v>
      </c>
      <c r="H22" t="str">
        <v>3.61</v>
      </c>
      <c r="I22" t="str">
        <v>3.50</v>
      </c>
      <c r="J22" t="str">
        <v>3.53</v>
      </c>
      <c r="K22" t="str">
        <v>3.65</v>
      </c>
      <c r="L22" t="str">
        <v>3.81</v>
      </c>
      <c r="M22" t="str">
        <v>4.03</v>
      </c>
      <c r="N22" t="str">
        <v>4.24</v>
      </c>
      <c r="O22" t="str">
        <v>4.79</v>
      </c>
      <c r="P22" t="str">
        <v>4.83</v>
      </c>
    </row>
    <row r="23" spans="2:16" x14ac:dyDescent="0.3">
      <c r="B23" t="str">
        <v>01/26/2026</v>
      </c>
      <c r="C23" t="str">
        <v>3.77</v>
      </c>
      <c r="D23" t="str">
        <v>3.71</v>
      </c>
      <c r="E23" t="str">
        <v>3.70</v>
      </c>
      <c r="F23" t="str">
        <v>3.67</v>
      </c>
      <c r="G23" t="str">
        <v>3.67</v>
      </c>
      <c r="H23" t="str">
        <v>3.62</v>
      </c>
      <c r="I23" t="str">
        <v>3.52</v>
      </c>
      <c r="J23" t="str">
        <v>3.56</v>
      </c>
      <c r="K23" t="str">
        <v>3.66</v>
      </c>
      <c r="L23" t="str">
        <v>3.82</v>
      </c>
      <c r="M23" t="str">
        <v>4.02</v>
      </c>
      <c r="N23" t="str">
        <v>4.22</v>
      </c>
      <c r="O23" t="str">
        <v>4.75</v>
      </c>
      <c r="P23" t="str">
        <v>4.80</v>
      </c>
    </row>
    <row r="24" spans="2:16" x14ac:dyDescent="0.3">
      <c r="B24" t="str">
        <v>01/23/2026</v>
      </c>
      <c r="C24" t="str">
        <v>3.78</v>
      </c>
      <c r="D24" t="str">
        <v>3.71</v>
      </c>
      <c r="E24" t="str">
        <v>3.72</v>
      </c>
      <c r="F24" t="str">
        <v>3.70</v>
      </c>
      <c r="G24" t="str">
        <v>3.67</v>
      </c>
      <c r="H24" t="str">
        <v>3.61</v>
      </c>
      <c r="I24" t="str">
        <v>3.53</v>
      </c>
      <c r="J24" t="str">
        <v>3.60</v>
      </c>
      <c r="K24" t="str">
        <v>3.67</v>
      </c>
      <c r="L24" t="str">
        <v>3.84</v>
      </c>
      <c r="M24" t="str">
        <v>4.03</v>
      </c>
      <c r="N24" t="str">
        <v>4.24</v>
      </c>
      <c r="O24" t="str">
        <v>4.78</v>
      </c>
      <c r="P24" t="str">
        <v>4.82</v>
      </c>
    </row>
    <row r="25" spans="2:16" x14ac:dyDescent="0.3">
      <c r="B25" t="str">
        <v>01/22/2026</v>
      </c>
      <c r="C25" t="str">
        <v>3.79</v>
      </c>
      <c r="D25" t="str">
        <v>3.71</v>
      </c>
      <c r="E25" t="str">
        <v>3.72</v>
      </c>
      <c r="F25" t="str">
        <v>3.71</v>
      </c>
      <c r="G25" t="str">
        <v>3.67</v>
      </c>
      <c r="H25" t="str">
        <v>3.61</v>
      </c>
      <c r="I25" t="str">
        <v>3.53</v>
      </c>
      <c r="J25" t="str">
        <v>3.61</v>
      </c>
      <c r="K25" t="str">
        <v>3.68</v>
      </c>
      <c r="L25" t="str">
        <v>3.85</v>
      </c>
      <c r="M25" t="str">
        <v>4.05</v>
      </c>
      <c r="N25" t="str">
        <v>4.26</v>
      </c>
      <c r="O25" t="str">
        <v>4.79</v>
      </c>
      <c r="P25" t="str">
        <v>4.84</v>
      </c>
    </row>
    <row r="26" spans="2:16" x14ac:dyDescent="0.3">
      <c r="B26" t="str">
        <v>01/21/2026</v>
      </c>
      <c r="C26" t="str">
        <v>3.75</v>
      </c>
      <c r="D26" t="str">
        <v>3.71</v>
      </c>
      <c r="E26" t="str">
        <v>3.70</v>
      </c>
      <c r="F26" t="str">
        <v>3.70</v>
      </c>
      <c r="G26" t="str">
        <v>3.67</v>
      </c>
      <c r="H26" t="str">
        <v>3.62</v>
      </c>
      <c r="I26" t="str">
        <v>3.53</v>
      </c>
      <c r="J26" t="str">
        <v>3.60</v>
      </c>
      <c r="K26" t="str">
        <v>3.66</v>
      </c>
      <c r="L26" t="str">
        <v>3.83</v>
      </c>
      <c r="M26" t="str">
        <v>4.04</v>
      </c>
      <c r="N26" t="str">
        <v>4.26</v>
      </c>
      <c r="O26" t="str">
        <v>4.82</v>
      </c>
      <c r="P26" t="str">
        <v>4.87</v>
      </c>
    </row>
    <row r="27" spans="2:16" x14ac:dyDescent="0.3">
      <c r="B27" t="str">
        <v>01/20/2026</v>
      </c>
      <c r="C27" t="str">
        <v>3.75</v>
      </c>
      <c r="D27" t="str">
        <v>3.71</v>
      </c>
      <c r="E27" t="str">
        <v>3.69</v>
      </c>
      <c r="F27" t="str">
        <v>3.70</v>
      </c>
      <c r="G27" t="str">
        <v>3.65</v>
      </c>
      <c r="H27" t="str">
        <v>3.61</v>
      </c>
      <c r="I27" t="str">
        <v>3.53</v>
      </c>
      <c r="J27" t="str">
        <v>3.60</v>
      </c>
      <c r="K27" t="str">
        <v>3.68</v>
      </c>
      <c r="L27" t="str">
        <v>3.86</v>
      </c>
      <c r="M27" t="str">
        <v>4.08</v>
      </c>
      <c r="N27" t="str">
        <v>4.30</v>
      </c>
      <c r="O27" t="str">
        <v>4.87</v>
      </c>
      <c r="P27" t="str">
        <v>4.91</v>
      </c>
    </row>
    <row r="28" spans="2:16" x14ac:dyDescent="0.3">
      <c r="B28" t="str">
        <v>01/16/2026</v>
      </c>
      <c r="C28" t="str">
        <v>3.75</v>
      </c>
      <c r="D28" t="str">
        <v>3.72</v>
      </c>
      <c r="E28" t="str">
        <v>3.68</v>
      </c>
      <c r="F28" t="str">
        <v>3.67</v>
      </c>
      <c r="G28" t="str">
        <v>3.66</v>
      </c>
      <c r="H28" t="str">
        <v>3.60</v>
      </c>
      <c r="I28" t="str">
        <v>3.55</v>
      </c>
      <c r="J28" t="str">
        <v>3.59</v>
      </c>
      <c r="K28" t="str">
        <v>3.67</v>
      </c>
      <c r="L28" t="str">
        <v>3.82</v>
      </c>
      <c r="M28" t="str">
        <v>4.02</v>
      </c>
      <c r="N28" t="str">
        <v>4.24</v>
      </c>
      <c r="O28" t="str">
        <v>4.79</v>
      </c>
      <c r="P28" t="str">
        <v>4.83</v>
      </c>
    </row>
    <row r="29" spans="2:16" x14ac:dyDescent="0.3">
      <c r="B29" t="str">
        <v>01/15/2026</v>
      </c>
      <c r="C29" t="str">
        <v>3.75</v>
      </c>
      <c r="D29" t="str">
        <v>3.73</v>
      </c>
      <c r="E29" t="str">
        <v>3.69</v>
      </c>
      <c r="F29" t="str">
        <v>3.68</v>
      </c>
      <c r="G29" t="str">
        <v>3.66</v>
      </c>
      <c r="H29" t="str">
        <v>3.60</v>
      </c>
      <c r="I29" t="str">
        <v>3.54</v>
      </c>
      <c r="J29" t="str">
        <v>3.56</v>
      </c>
      <c r="K29" t="str">
        <v>3.62</v>
      </c>
      <c r="L29" t="str">
        <v>3.77</v>
      </c>
      <c r="M29" t="str">
        <v>3.96</v>
      </c>
      <c r="N29" t="str">
        <v>4.17</v>
      </c>
      <c r="O29" t="str">
        <v>4.74</v>
      </c>
      <c r="P29" t="str">
        <v>4.79</v>
      </c>
    </row>
    <row r="30" spans="2:16" x14ac:dyDescent="0.3">
      <c r="B30" t="str">
        <v>01/14/2026</v>
      </c>
      <c r="C30" t="str">
        <v>3.72</v>
      </c>
      <c r="D30" t="str">
        <v>3.71</v>
      </c>
      <c r="E30" t="str">
        <v>3.66</v>
      </c>
      <c r="F30" t="str">
        <v>3.67</v>
      </c>
      <c r="G30" t="str">
        <v>3.65</v>
      </c>
      <c r="H30" t="str">
        <v>3.58</v>
      </c>
      <c r="I30" t="str">
        <v>3.50</v>
      </c>
      <c r="J30" t="str">
        <v>3.51</v>
      </c>
      <c r="K30" t="str">
        <v>3.56</v>
      </c>
      <c r="L30" t="str">
        <v>3.72</v>
      </c>
      <c r="M30" t="str">
        <v>3.92</v>
      </c>
      <c r="N30" t="str">
        <v>4.15</v>
      </c>
      <c r="O30" t="str">
        <v>4.73</v>
      </c>
      <c r="P30" t="str">
        <v>4.79</v>
      </c>
    </row>
    <row r="31" spans="2:16" x14ac:dyDescent="0.3">
      <c r="B31" t="str">
        <v>01/13/2026</v>
      </c>
      <c r="C31" t="str">
        <v>3.72</v>
      </c>
      <c r="D31" t="str">
        <v>3.72</v>
      </c>
      <c r="E31" t="str">
        <v>3.66</v>
      </c>
      <c r="F31" t="str">
        <v>3.67</v>
      </c>
      <c r="G31" t="str">
        <v>3.63</v>
      </c>
      <c r="H31" t="str">
        <v>3.59</v>
      </c>
      <c r="I31" t="str">
        <v>3.51</v>
      </c>
      <c r="J31" t="str">
        <v>3.53</v>
      </c>
      <c r="K31" t="str">
        <v>3.57</v>
      </c>
      <c r="L31" t="str">
        <v>3.75</v>
      </c>
      <c r="M31" t="str">
        <v>3.95</v>
      </c>
      <c r="N31" t="str">
        <v>4.18</v>
      </c>
      <c r="O31" t="str">
        <v>4.77</v>
      </c>
      <c r="P31" t="str">
        <v>4.83</v>
      </c>
    </row>
    <row r="32" spans="2:16" x14ac:dyDescent="0.3">
      <c r="B32" t="str">
        <v>01/12/2026</v>
      </c>
      <c r="C32" t="str">
        <v>3.71</v>
      </c>
      <c r="D32" t="str">
        <v>3.68</v>
      </c>
      <c r="E32" t="str">
        <v>3.64</v>
      </c>
      <c r="F32" t="str">
        <v>3.67</v>
      </c>
      <c r="G32" t="str">
        <v>3.63</v>
      </c>
      <c r="H32" t="str">
        <v>3.58</v>
      </c>
      <c r="I32" t="str">
        <v>3.53</v>
      </c>
      <c r="J32" t="str">
        <v>3.54</v>
      </c>
      <c r="K32" t="str">
        <v>3.59</v>
      </c>
      <c r="L32" t="str">
        <v>3.77</v>
      </c>
      <c r="M32" t="str">
        <v>3.97</v>
      </c>
      <c r="N32" t="str">
        <v>4.19</v>
      </c>
      <c r="O32" t="str">
        <v>4.78</v>
      </c>
      <c r="P32" t="str">
        <v>4.83</v>
      </c>
    </row>
    <row r="33" spans="2:16" x14ac:dyDescent="0.3">
      <c r="B33" t="str">
        <v>01/09/2026</v>
      </c>
      <c r="C33" t="str">
        <v>3.70</v>
      </c>
      <c r="D33" t="str">
        <v>3.68</v>
      </c>
      <c r="E33" t="str">
        <v>3.63</v>
      </c>
      <c r="F33" t="str">
        <v>3.62</v>
      </c>
      <c r="G33" t="str">
        <v>3.62</v>
      </c>
      <c r="H33" t="str">
        <v>3.57</v>
      </c>
      <c r="I33" t="str">
        <v>3.52</v>
      </c>
      <c r="J33" t="str">
        <v>3.54</v>
      </c>
      <c r="K33" t="str">
        <v>3.59</v>
      </c>
      <c r="L33" t="str">
        <v>3.75</v>
      </c>
      <c r="M33" t="str">
        <v>3.95</v>
      </c>
      <c r="N33" t="str">
        <v>4.18</v>
      </c>
      <c r="O33" t="str">
        <v>4.76</v>
      </c>
      <c r="P33" t="str">
        <v>4.82</v>
      </c>
    </row>
    <row r="34" spans="2:16" x14ac:dyDescent="0.3">
      <c r="B34" t="str">
        <v>01/08/2026</v>
      </c>
      <c r="C34" t="str">
        <v>3.70</v>
      </c>
      <c r="D34" t="str">
        <v>3.69</v>
      </c>
      <c r="E34" t="str">
        <v>3.63</v>
      </c>
      <c r="F34" t="str">
        <v>3.62</v>
      </c>
      <c r="G34" t="str">
        <v>3.60</v>
      </c>
      <c r="H34" t="str">
        <v>3.56</v>
      </c>
      <c r="I34" t="str">
        <v>3.48</v>
      </c>
      <c r="J34" t="str">
        <v>3.49</v>
      </c>
      <c r="K34" t="str">
        <v>3.56</v>
      </c>
      <c r="L34" t="str">
        <v>3.74</v>
      </c>
      <c r="M34" t="str">
        <v>3.95</v>
      </c>
      <c r="N34" t="str">
        <v>4.19</v>
      </c>
      <c r="O34" t="str">
        <v>4.79</v>
      </c>
      <c r="P34" t="str">
        <v>4.85</v>
      </c>
    </row>
    <row r="35" spans="2:16" x14ac:dyDescent="0.3">
      <c r="B35" t="str">
        <v>01/07/2026</v>
      </c>
      <c r="C35" t="str">
        <v>3.70</v>
      </c>
      <c r="D35" t="str">
        <v>3.69</v>
      </c>
      <c r="E35" t="str">
        <v>3.60</v>
      </c>
      <c r="F35" t="str">
        <v>3.62</v>
      </c>
      <c r="G35" t="str">
        <v>3.60</v>
      </c>
      <c r="H35" t="str">
        <v>3.56</v>
      </c>
      <c r="I35" t="str">
        <v>3.48</v>
      </c>
      <c r="J35" t="str">
        <v>3.47</v>
      </c>
      <c r="K35" t="str">
        <v>3.53</v>
      </c>
      <c r="L35" t="str">
        <v>3.70</v>
      </c>
      <c r="M35" t="str">
        <v>3.91</v>
      </c>
      <c r="N35" t="str">
        <v>4.15</v>
      </c>
      <c r="O35" t="str">
        <v>4.76</v>
      </c>
      <c r="P35" t="str">
        <v>4.82</v>
      </c>
    </row>
    <row r="36" spans="2:16" x14ac:dyDescent="0.3">
      <c r="B36" t="str">
        <v>01/06/2026</v>
      </c>
      <c r="C36" t="str">
        <v>3.70</v>
      </c>
      <c r="D36" t="str">
        <v>3.70</v>
      </c>
      <c r="E36" t="str">
        <v>3.61</v>
      </c>
      <c r="F36" t="str">
        <v>3.63</v>
      </c>
      <c r="G36" t="str">
        <v>3.58</v>
      </c>
      <c r="H36" t="str">
        <v>3.56</v>
      </c>
      <c r="I36" t="str">
        <v>3.48</v>
      </c>
      <c r="J36" t="str">
        <v>3.47</v>
      </c>
      <c r="K36" t="str">
        <v>3.54</v>
      </c>
      <c r="L36" t="str">
        <v>3.72</v>
      </c>
      <c r="M36" t="str">
        <v>3.93</v>
      </c>
      <c r="N36" t="str">
        <v>4.18</v>
      </c>
      <c r="O36" t="str">
        <v>4.80</v>
      </c>
      <c r="P36" t="str">
        <v>4.86</v>
      </c>
    </row>
    <row r="37" spans="2:16" x14ac:dyDescent="0.3">
      <c r="B37" t="str">
        <v>01/05/2026</v>
      </c>
      <c r="C37" t="str">
        <v>3.71</v>
      </c>
      <c r="D37" t="str">
        <v>3.68</v>
      </c>
      <c r="E37" t="str">
        <v>3.64</v>
      </c>
      <c r="F37" t="str">
        <v>3.64</v>
      </c>
      <c r="G37" t="str">
        <v>3.61</v>
      </c>
      <c r="H37" t="str">
        <v>3.57</v>
      </c>
      <c r="I37" t="str">
        <v>3.47</v>
      </c>
      <c r="J37" t="str">
        <v>3.46</v>
      </c>
      <c r="K37" t="str">
        <v>3.53</v>
      </c>
      <c r="L37" t="str">
        <v>3.71</v>
      </c>
      <c r="M37" t="str">
        <v>3.92</v>
      </c>
      <c r="N37" t="str">
        <v>4.17</v>
      </c>
      <c r="O37" t="str">
        <v>4.79</v>
      </c>
      <c r="P37" t="str">
        <v>4.85</v>
      </c>
    </row>
    <row r="38" spans="2:16" x14ac:dyDescent="0.3">
      <c r="B38" t="str">
        <v>01/02/2026</v>
      </c>
      <c r="C38" t="str">
        <v>3.72</v>
      </c>
      <c r="D38" t="str">
        <v>3.71</v>
      </c>
      <c r="E38" t="str">
        <v>3.66</v>
      </c>
      <c r="F38" t="str">
        <v>3.65</v>
      </c>
      <c r="G38" t="str">
        <v>3.62</v>
      </c>
      <c r="H38" t="str">
        <v>3.58</v>
      </c>
      <c r="I38" t="str">
        <v>3.47</v>
      </c>
      <c r="J38" t="str">
        <v>3.47</v>
      </c>
      <c r="K38" t="str">
        <v>3.55</v>
      </c>
      <c r="L38" t="str">
        <v>3.74</v>
      </c>
      <c r="M38" t="str">
        <v>3.95</v>
      </c>
      <c r="N38" t="str">
        <v>4.19</v>
      </c>
      <c r="O38" t="str">
        <v>4.81</v>
      </c>
      <c r="P38" t="str">
        <v>4.86</v>
      </c>
    </row>
  </sheetData>
  <phoneticPr fontId="5" type="noConversion"/>
  <hyperlinks>
    <hyperlink ref="B2" r:id="rId1" xr:uid="{A540E354-8D5C-4BE3-BEEC-45C6D363E13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2F35-77D5-4361-8DFB-2603DE31162A}">
  <dimension ref="B2:F20"/>
  <sheetViews>
    <sheetView topLeftCell="A4" workbookViewId="0">
      <selection activeCell="D13" sqref="D13"/>
    </sheetView>
  </sheetViews>
  <sheetFormatPr defaultRowHeight="17.399999999999999" x14ac:dyDescent="0.3"/>
  <cols>
    <col min="2" max="2" width="16" customWidth="1"/>
    <col min="3" max="3" width="12.58203125" bestFit="1" customWidth="1"/>
    <col min="4" max="4" width="39.75" bestFit="1" customWidth="1"/>
    <col min="5" max="5" width="31" bestFit="1" customWidth="1"/>
    <col min="6" max="6" width="18" bestFit="1" customWidth="1"/>
  </cols>
  <sheetData>
    <row r="2" spans="2:6" x14ac:dyDescent="0.3">
      <c r="B2" t="s">
        <v>1</v>
      </c>
    </row>
    <row r="3" spans="2:6" x14ac:dyDescent="0.3">
      <c r="B3">
        <v>1</v>
      </c>
      <c r="C3">
        <v>5</v>
      </c>
    </row>
    <row r="4" spans="2:6" x14ac:dyDescent="0.3">
      <c r="B4">
        <v>2</v>
      </c>
      <c r="C4">
        <v>5</v>
      </c>
    </row>
    <row r="5" spans="2:6" x14ac:dyDescent="0.3">
      <c r="B5">
        <v>3</v>
      </c>
      <c r="C5">
        <v>105</v>
      </c>
    </row>
    <row r="7" spans="2:6" x14ac:dyDescent="0.3">
      <c r="C7">
        <f>_xll.\FI.INSTRUMENT(B3:B5, C3:C5)</f>
        <v>2257018644176</v>
      </c>
    </row>
    <row r="8" spans="2:6" x14ac:dyDescent="0.3">
      <c r="B8" t="s">
        <v>30</v>
      </c>
      <c r="C8" cm="1">
        <f t="array" ref="C8:E9">_xll.FI.INSTRUMENT(C7)</f>
        <v>1</v>
      </c>
      <c r="D8">
        <v>2</v>
      </c>
      <c r="E8">
        <v>3</v>
      </c>
    </row>
    <row r="9" spans="2:6" x14ac:dyDescent="0.3">
      <c r="C9">
        <v>5</v>
      </c>
      <c r="D9">
        <v>5</v>
      </c>
      <c r="E9">
        <v>105</v>
      </c>
    </row>
    <row r="12" spans="2:6" x14ac:dyDescent="0.3">
      <c r="B12" t="s">
        <v>31</v>
      </c>
      <c r="C12" t="s">
        <v>32</v>
      </c>
      <c r="D12" t="s">
        <v>33</v>
      </c>
      <c r="E12" t="s">
        <v>34</v>
      </c>
    </row>
    <row r="13" spans="2:6" x14ac:dyDescent="0.3">
      <c r="B13">
        <v>1</v>
      </c>
      <c r="C13">
        <v>1</v>
      </c>
      <c r="D13">
        <f>_xll.\FI.INSTRUMENT.ZERO_COUPON_BOND(B13,C13)</f>
        <v>2257016136000</v>
      </c>
      <c r="E13">
        <f>_xll.FI.INSTRUMENT(D13)</f>
        <v>1</v>
      </c>
    </row>
    <row r="14" spans="2:6" x14ac:dyDescent="0.3">
      <c r="B14">
        <v>2</v>
      </c>
      <c r="C14">
        <v>1</v>
      </c>
      <c r="D14">
        <f>_xll.\FI.INSTRUMENT.ZERO_COUPON_BOND(B14,C14)</f>
        <v>2257023988160</v>
      </c>
      <c r="E14">
        <f>_xll.FI.INSTRUMENT(D14)</f>
        <v>2</v>
      </c>
    </row>
    <row r="15" spans="2:6" x14ac:dyDescent="0.3">
      <c r="B15">
        <v>0.5</v>
      </c>
      <c r="C15">
        <v>100</v>
      </c>
      <c r="D15">
        <f>_xll.\FI.INSTRUMENT.ZERO_COUPON_BOND(B15,C15)</f>
        <v>2257023982832</v>
      </c>
      <c r="E15">
        <f>_xll.FI.INSTRUMENT(D15)</f>
        <v>0.5</v>
      </c>
    </row>
    <row r="16" spans="2:6" x14ac:dyDescent="0.3">
      <c r="B16" t="s">
        <v>31</v>
      </c>
      <c r="C16" t="s">
        <v>35</v>
      </c>
      <c r="D16" t="s">
        <v>36</v>
      </c>
      <c r="E16" t="s">
        <v>33</v>
      </c>
      <c r="F16" t="s">
        <v>34</v>
      </c>
    </row>
    <row r="17" spans="2:6" x14ac:dyDescent="0.3">
      <c r="B17">
        <v>2</v>
      </c>
      <c r="C17">
        <v>0.05</v>
      </c>
      <c r="D17">
        <v>2</v>
      </c>
      <c r="E17">
        <f>_xll.\FI.INSTRUMENT.BOND(B17,C17,D17)</f>
        <v>2258492791824</v>
      </c>
      <c r="F17">
        <f>_xll.FI.INSTRUMENT(E17)</f>
        <v>0.5</v>
      </c>
    </row>
    <row r="18" spans="2:6" x14ac:dyDescent="0.3">
      <c r="B18">
        <v>5</v>
      </c>
      <c r="C18">
        <v>0.04</v>
      </c>
      <c r="D18">
        <v>2</v>
      </c>
      <c r="E18">
        <f>_xll.\FI.INSTRUMENT.BOND(B18,C18,D18)</f>
        <v>2258492791504</v>
      </c>
      <c r="F18">
        <f>_xll.FI.INSTRUMENT(E18)</f>
        <v>0.5</v>
      </c>
    </row>
    <row r="19" spans="2:6" x14ac:dyDescent="0.3">
      <c r="B19">
        <v>10</v>
      </c>
      <c r="C19">
        <v>0.06</v>
      </c>
      <c r="D19">
        <v>4</v>
      </c>
      <c r="E19">
        <f>_xll.\FI.INSTRUMENT.BOND(B19,C19,D19)</f>
        <v>2258492791344</v>
      </c>
      <c r="F19">
        <f>_xll.FI.INSTRUMENT(E19)</f>
        <v>0.25</v>
      </c>
    </row>
    <row r="20" spans="2:6" x14ac:dyDescent="0.3">
      <c r="B20">
        <v>30</v>
      </c>
      <c r="C20">
        <v>4.7100000000000003E-2</v>
      </c>
      <c r="D20">
        <v>2</v>
      </c>
      <c r="E20">
        <f>_xll.\FI.INSTRUMENT.BOND(B20,C20,D20)</f>
        <v>2258492791184</v>
      </c>
      <c r="F20">
        <f>_xll.FI.INSTRUMENT(E20)</f>
        <v>0.5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A35E-C248-4AE4-A2E8-7948ED4AA090}">
  <dimension ref="B2:E10"/>
  <sheetViews>
    <sheetView workbookViewId="0">
      <selection activeCell="B10" sqref="B10"/>
    </sheetView>
  </sheetViews>
  <sheetFormatPr defaultRowHeight="17.399999999999999" x14ac:dyDescent="0.3"/>
  <cols>
    <col min="2" max="2" width="12.58203125" bestFit="1" customWidth="1"/>
  </cols>
  <sheetData>
    <row r="2" spans="2:5" x14ac:dyDescent="0.3">
      <c r="B2" t="s">
        <v>2</v>
      </c>
    </row>
    <row r="3" spans="2:5" x14ac:dyDescent="0.3">
      <c r="B3">
        <v>1</v>
      </c>
      <c r="C3">
        <v>3.5000000000000003E-2</v>
      </c>
    </row>
    <row r="4" spans="2:5" x14ac:dyDescent="0.3">
      <c r="B4">
        <v>2</v>
      </c>
      <c r="C4">
        <v>3.7499999999999999E-2</v>
      </c>
    </row>
    <row r="5" spans="2:5" x14ac:dyDescent="0.3">
      <c r="B5">
        <v>5</v>
      </c>
      <c r="C5">
        <v>0.04</v>
      </c>
    </row>
    <row r="6" spans="2:5" x14ac:dyDescent="0.3">
      <c r="B6">
        <v>10</v>
      </c>
      <c r="C6">
        <v>4.2000000000000003E-2</v>
      </c>
    </row>
    <row r="7" spans="2:5" x14ac:dyDescent="0.3">
      <c r="B7" cm="1">
        <f t="array" ref="B7">_xll.\FI.CURVE.PWFLAT(B3:B6,C3:C6)</f>
        <v>2259012291248</v>
      </c>
    </row>
    <row r="8" spans="2:5" x14ac:dyDescent="0.3">
      <c r="B8" cm="1">
        <f t="array" ref="B8:E9">_xll.FI.CURVE.PWFLAT(B7)</f>
        <v>1</v>
      </c>
      <c r="C8">
        <v>2</v>
      </c>
      <c r="D8">
        <v>5</v>
      </c>
      <c r="E8">
        <v>10</v>
      </c>
    </row>
    <row r="9" spans="2:5" x14ac:dyDescent="0.3">
      <c r="B9">
        <v>3.5000000000000003E-2</v>
      </c>
      <c r="C9">
        <v>3.7499999999999999E-2</v>
      </c>
      <c r="D9">
        <v>0.04</v>
      </c>
      <c r="E9">
        <v>4.2000000000000003E-2</v>
      </c>
    </row>
    <row r="10" spans="2:5" x14ac:dyDescent="0.3">
      <c r="B10">
        <f>_xll.FI.CURVE.PWFLAT(B7)</f>
        <v>1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5B4B-30B9-4C78-A319-DEE69FDAA7AA}">
  <dimension ref="B2:L74"/>
  <sheetViews>
    <sheetView tabSelected="1" workbookViewId="0">
      <selection activeCell="A4" sqref="A4"/>
    </sheetView>
  </sheetViews>
  <sheetFormatPr defaultRowHeight="17.399999999999999" x14ac:dyDescent="0.3"/>
  <cols>
    <col min="7" max="8" width="12.58203125" bestFit="1" customWidth="1"/>
  </cols>
  <sheetData>
    <row r="2" spans="2:12" x14ac:dyDescent="0.3">
      <c r="C2" s="6" t="s">
        <v>16</v>
      </c>
      <c r="D2" s="6" t="s">
        <v>17</v>
      </c>
      <c r="E2" s="6" t="s">
        <v>18</v>
      </c>
      <c r="F2" t="s">
        <v>19</v>
      </c>
      <c r="G2" s="2" t="s">
        <v>23</v>
      </c>
      <c r="H2" cm="1">
        <f t="array" ref="H2">_xll.\FI.CURVE.PWFLAT.BOOTSTRAP(G3:G16, E3:E16)</f>
        <v>2004912543088</v>
      </c>
    </row>
    <row r="3" spans="2:12" x14ac:dyDescent="0.3">
      <c r="B3" s="2" t="s">
        <v>3</v>
      </c>
      <c r="C3" s="3">
        <f>1/12</f>
        <v>8.3333333333333329E-2</v>
      </c>
      <c r="D3">
        <v>3.7100000000000001E-2</v>
      </c>
      <c r="E3">
        <f>1-D3*C3</f>
        <v>0.99690833333333329</v>
      </c>
      <c r="F3" s="5" t="s">
        <v>24</v>
      </c>
      <c r="G3" cm="1">
        <f t="array" ref="G3">_xll.\FI.INSTRUMENT.ZERO_COUPON_BOND(C3, 1)</f>
        <v>2004637718992</v>
      </c>
    </row>
    <row r="4" spans="2:12" x14ac:dyDescent="0.3">
      <c r="B4" s="2" t="s">
        <v>22</v>
      </c>
      <c r="C4">
        <f>1.5/12</f>
        <v>0.125</v>
      </c>
      <c r="D4">
        <v>3.7400000000000003E-2</v>
      </c>
      <c r="E4">
        <f t="shared" ref="E4:E9" si="0">1-D4*C4</f>
        <v>0.99532500000000002</v>
      </c>
      <c r="F4" t="s">
        <v>21</v>
      </c>
      <c r="G4" cm="1">
        <f t="array" ref="G4">_xll.\FI.INSTRUMENT.ZERO_COUPON_BOND(C4, 1)</f>
        <v>2005036506144</v>
      </c>
      <c r="I4" t="s">
        <v>29</v>
      </c>
    </row>
    <row r="5" spans="2:12" x14ac:dyDescent="0.3">
      <c r="B5" s="2" t="s">
        <v>4</v>
      </c>
      <c r="C5" s="3">
        <f>2/12</f>
        <v>0.16666666666666666</v>
      </c>
      <c r="D5">
        <v>3.73E-2</v>
      </c>
      <c r="E5">
        <f t="shared" si="0"/>
        <v>0.99378333333333335</v>
      </c>
      <c r="F5" t="s">
        <v>21</v>
      </c>
      <c r="G5" cm="1">
        <f t="array" ref="G5">_xll.\FI.INSTRUMENT.ZERO_COUPON_BOND(C5, 1)</f>
        <v>2005036508304</v>
      </c>
      <c r="I5" s="6" t="s">
        <v>25</v>
      </c>
      <c r="J5" s="6" t="s">
        <v>26</v>
      </c>
      <c r="K5" s="6" t="s">
        <v>27</v>
      </c>
    </row>
    <row r="6" spans="2:12" x14ac:dyDescent="0.3">
      <c r="B6" s="2" t="s">
        <v>5</v>
      </c>
      <c r="C6">
        <f>3/12</f>
        <v>0.25</v>
      </c>
      <c r="D6">
        <v>3.7000000000000005E-2</v>
      </c>
      <c r="E6">
        <f t="shared" si="0"/>
        <v>0.99075000000000002</v>
      </c>
      <c r="F6" t="s">
        <v>21</v>
      </c>
      <c r="G6" cm="1">
        <f t="array" ref="G6">_xll.\FI.INSTRUMENT.ZERO_COUPON_BOND(C6, 1)</f>
        <v>2004366409088</v>
      </c>
      <c r="H6">
        <v>0.1</v>
      </c>
      <c r="I6" cm="1">
        <f t="array" ref="I6:I74">_xlfn.VSTACK(_xlfn.SEQUENCE(1/H6,1,0,H6),_xlfn.SEQUENCE(1+29/H7,1,1,H7))</f>
        <v>0</v>
      </c>
      <c r="J6" cm="1">
        <f t="array" ref="J6">_xll.FI.CURVE.SPOT($H$2, I6)</f>
        <v>3.715831656820115E-2</v>
      </c>
      <c r="K6" cm="1">
        <f t="array" ref="K6">_xll.FI.CURVE.FORWARD($H$2, I6)</f>
        <v>3.715831656820115E-2</v>
      </c>
    </row>
    <row r="7" spans="2:12" x14ac:dyDescent="0.3">
      <c r="B7" s="2" t="s">
        <v>6</v>
      </c>
      <c r="C7" s="4">
        <f>4/12</f>
        <v>0.33333333333333331</v>
      </c>
      <c r="D7">
        <v>3.7000000000000005E-2</v>
      </c>
      <c r="E7">
        <f t="shared" si="0"/>
        <v>0.98766666666666669</v>
      </c>
      <c r="F7" t="s">
        <v>21</v>
      </c>
      <c r="G7" cm="1">
        <f t="array" ref="G7">_xll.\FI.INSTRUMENT.ZERO_COUPON_BOND(C7, 1)</f>
        <v>2005036503264</v>
      </c>
      <c r="H7">
        <v>0.5</v>
      </c>
      <c r="I7">
        <v>0.1</v>
      </c>
      <c r="J7" cm="1">
        <f t="array" ref="J7">_xll.FI.CURVE.SPOT($H$2, I7)</f>
        <v>3.7323037168694624E-2</v>
      </c>
      <c r="K7" cm="1">
        <f t="array" ref="K7">_xll.FI.CURVE.FORWARD($H$2, I7)</f>
        <v>3.814664017116199E-2</v>
      </c>
    </row>
    <row r="8" spans="2:12" x14ac:dyDescent="0.3">
      <c r="B8" s="2" t="s">
        <v>7</v>
      </c>
      <c r="C8">
        <f>6/12</f>
        <v>0.5</v>
      </c>
      <c r="D8">
        <v>3.6000000000000004E-2</v>
      </c>
      <c r="E8">
        <f t="shared" si="0"/>
        <v>0.98199999999999998</v>
      </c>
      <c r="F8" t="s">
        <v>21</v>
      </c>
      <c r="G8" cm="1">
        <f t="array" ref="G8">_xll.\FI.INSTRUMENT.ZERO_COUPON_BOND(C8, 1)</f>
        <v>2004366408080</v>
      </c>
      <c r="I8">
        <v>0.2</v>
      </c>
      <c r="J8" cm="1">
        <f t="array" ref="J8">_xll.FI.CURVE.SPOT($H$2, I8)</f>
        <v>3.7294240837115154E-2</v>
      </c>
      <c r="K8" cm="1">
        <f t="array" ref="K8">_xll.FI.CURVE.FORWARD($H$2, I8)</f>
        <v>3.6683596176462913E-2</v>
      </c>
    </row>
    <row r="9" spans="2:12" x14ac:dyDescent="0.3">
      <c r="B9" s="2" t="s">
        <v>8</v>
      </c>
      <c r="C9">
        <v>1</v>
      </c>
      <c r="D9">
        <v>3.49E-2</v>
      </c>
      <c r="E9">
        <f t="shared" si="0"/>
        <v>0.96509999999999996</v>
      </c>
      <c r="F9" t="s">
        <v>21</v>
      </c>
      <c r="G9" cm="1">
        <f t="array" ref="G9">_xll.\FI.INSTRUMENT.ZERO_COUPON_BOND(C9, 1)</f>
        <v>2004366410096</v>
      </c>
      <c r="I9">
        <v>0.30000000000000004</v>
      </c>
      <c r="J9" cm="1">
        <f t="array" ref="J9">_xll.FI.CURVE.SPOT($H$2, I9)</f>
        <v>3.721079054557859E-2</v>
      </c>
      <c r="K9" cm="1">
        <f t="array" ref="K9">_xll.FI.CURVE.FORWARD($H$2, I9)</f>
        <v>3.7404183748547974E-2</v>
      </c>
      <c r="L9" s="5" t="s">
        <v>28</v>
      </c>
    </row>
    <row r="10" spans="2:12" x14ac:dyDescent="0.3">
      <c r="B10" s="2" t="s">
        <v>9</v>
      </c>
      <c r="C10">
        <v>2</v>
      </c>
      <c r="D10">
        <v>3.4700000000000002E-2</v>
      </c>
      <c r="E10">
        <v>1</v>
      </c>
      <c r="F10" s="5" t="s">
        <v>20</v>
      </c>
      <c r="G10" cm="1">
        <f t="array" ref="G10">_xll.\FI.INSTRUMENT.BOND(C10, D10, 2)</f>
        <v>2004634307712</v>
      </c>
      <c r="I10">
        <v>0.4</v>
      </c>
      <c r="J10" cm="1">
        <f t="array" ref="J10">_xll.FI.CURVE.SPOT($H$2, I10)</f>
        <v>3.6778519999290514E-2</v>
      </c>
      <c r="K10" cm="1">
        <f t="array" ref="K10">_xll.FI.CURVE.FORWARD($H$2, I10)</f>
        <v>3.4520470666365488E-2</v>
      </c>
    </row>
    <row r="11" spans="2:12" x14ac:dyDescent="0.3">
      <c r="B11" s="2" t="s">
        <v>10</v>
      </c>
      <c r="C11">
        <v>3</v>
      </c>
      <c r="D11">
        <v>3.5000000000000003E-2</v>
      </c>
      <c r="E11">
        <v>1</v>
      </c>
      <c r="F11" t="s">
        <v>21</v>
      </c>
      <c r="G11" cm="1">
        <f t="array" ref="G11">_xll.\FI.INSTRUMENT.BOND(C11, D11, 2)</f>
        <v>2004634302432</v>
      </c>
      <c r="I11">
        <v>0.5</v>
      </c>
      <c r="J11" cm="1">
        <f t="array" ref="J11">_xll.FI.CURVE.SPOT($H$2, I11)</f>
        <v>3.632691013270551E-2</v>
      </c>
      <c r="K11" cm="1">
        <f t="array" ref="K11">_xll.FI.CURVE.FORWARD($H$2, I11)</f>
        <v>3.4520470666365488E-2</v>
      </c>
    </row>
    <row r="12" spans="2:12" x14ac:dyDescent="0.3">
      <c r="B12" s="2" t="s">
        <v>11</v>
      </c>
      <c r="C12">
        <v>5</v>
      </c>
      <c r="D12">
        <v>3.6600000000000001E-2</v>
      </c>
      <c r="E12">
        <v>1</v>
      </c>
      <c r="F12" t="s">
        <v>21</v>
      </c>
      <c r="G12" cm="1">
        <f t="array" ref="G12">_xll.\FI.INSTRUMENT.BOND(C12, D12, 2)</f>
        <v>2004634307072</v>
      </c>
      <c r="I12">
        <v>0.6</v>
      </c>
      <c r="J12" cm="1">
        <f t="array" ref="J12">_xll.FI.CURVE.SPOT($H$2, I12)</f>
        <v>3.6059207069266165E-2</v>
      </c>
      <c r="K12" cm="1">
        <f t="array" ref="K12">_xll.FI.CURVE.FORWARD($H$2, I12)</f>
        <v>3.4720691752069432E-2</v>
      </c>
    </row>
    <row r="13" spans="2:12" x14ac:dyDescent="0.3">
      <c r="B13" s="2" t="s">
        <v>12</v>
      </c>
      <c r="C13">
        <v>7</v>
      </c>
      <c r="D13">
        <v>3.8599999999999995E-2</v>
      </c>
      <c r="E13">
        <v>1</v>
      </c>
      <c r="F13" t="s">
        <v>21</v>
      </c>
      <c r="G13" cm="1">
        <f t="array" ref="G13">_xll.\FI.INSTRUMENT.BOND(C13, D13, 2)</f>
        <v>2004634306592</v>
      </c>
      <c r="I13">
        <v>0.7</v>
      </c>
      <c r="J13" cm="1">
        <f t="array" ref="J13">_xll.FI.CURVE.SPOT($H$2, I13)</f>
        <v>3.5867990595380914E-2</v>
      </c>
      <c r="K13" cm="1">
        <f t="array" ref="K13">_xll.FI.CURVE.FORWARD($H$2, I13)</f>
        <v>3.4720691752069432E-2</v>
      </c>
    </row>
    <row r="14" spans="2:12" x14ac:dyDescent="0.3">
      <c r="B14" s="2" t="s">
        <v>13</v>
      </c>
      <c r="C14">
        <v>10</v>
      </c>
      <c r="D14">
        <v>4.0899999999999999E-2</v>
      </c>
      <c r="E14">
        <v>1</v>
      </c>
      <c r="F14" t="s">
        <v>21</v>
      </c>
      <c r="G14" cm="1">
        <f t="array" ref="G14">_xll.\FI.INSTRUMENT.BOND(C14, D14, 2)</f>
        <v>2004634306112</v>
      </c>
      <c r="I14">
        <v>0.79999999999999993</v>
      </c>
      <c r="J14" cm="1">
        <f t="array" ref="J14">_xll.FI.CURVE.SPOT($H$2, I14)</f>
        <v>3.5724578239966977E-2</v>
      </c>
      <c r="K14" cm="1">
        <f t="array" ref="K14">_xll.FI.CURVE.FORWARD($H$2, I14)</f>
        <v>3.4720691752069432E-2</v>
      </c>
    </row>
    <row r="15" spans="2:12" x14ac:dyDescent="0.3">
      <c r="B15" s="2" t="s">
        <v>14</v>
      </c>
      <c r="C15">
        <v>20</v>
      </c>
      <c r="D15">
        <v>4.6500000000000007E-2</v>
      </c>
      <c r="E15">
        <v>1</v>
      </c>
      <c r="F15" t="s">
        <v>21</v>
      </c>
      <c r="G15" cm="1">
        <f t="array" ref="G15">_xll.\FI.INSTRUMENT.BOND(C15, D15, 2)</f>
        <v>2004634303072</v>
      </c>
      <c r="I15">
        <v>0.89999999999999991</v>
      </c>
      <c r="J15" cm="1">
        <f t="array" ref="J15">_xll.FI.CURVE.SPOT($H$2, I15)</f>
        <v>3.5613035296867254E-2</v>
      </c>
      <c r="K15" cm="1">
        <f t="array" ref="K15">_xll.FI.CURVE.FORWARD($H$2, I15)</f>
        <v>3.4720691752069432E-2</v>
      </c>
    </row>
    <row r="16" spans="2:12" x14ac:dyDescent="0.3">
      <c r="B16" s="2" t="s">
        <v>15</v>
      </c>
      <c r="C16">
        <v>30</v>
      </c>
      <c r="D16">
        <v>4.7100000000000003E-2</v>
      </c>
      <c r="E16">
        <v>1</v>
      </c>
      <c r="F16" t="s">
        <v>21</v>
      </c>
      <c r="G16" cm="1">
        <f t="array" ref="G16">_xll.\FI.INSTRUMENT.BOND(C16, D16, 2)</f>
        <v>2004634302912</v>
      </c>
      <c r="I16">
        <v>1</v>
      </c>
      <c r="J16" cm="1">
        <f t="array" ref="J16">_xll.FI.CURVE.SPOT($H$2, I16)</f>
        <v>3.5523800942387468E-2</v>
      </c>
      <c r="K16" cm="1">
        <f t="array" ref="K16">_xll.FI.CURVE.FORWARD($H$2, I16)</f>
        <v>3.4720691752069432E-2</v>
      </c>
    </row>
    <row r="17" spans="9:11" x14ac:dyDescent="0.3">
      <c r="I17">
        <v>1.5</v>
      </c>
      <c r="J17" cm="1">
        <f t="array" ref="J17">_xll.FI.CURVE.SPOT($H$2, I17)</f>
        <v>3.4760767774771613E-2</v>
      </c>
      <c r="K17" cm="1">
        <f t="array" ref="K17">_xll.FI.CURVE.FORWARD($H$2, I17)</f>
        <v>3.3234701439539896E-2</v>
      </c>
    </row>
    <row r="18" spans="9:11" x14ac:dyDescent="0.3">
      <c r="I18">
        <v>2</v>
      </c>
      <c r="J18" cm="1">
        <f t="array" ref="J18">_xll.FI.CURVE.SPOT($H$2, I18)</f>
        <v>3.4379251190963682E-2</v>
      </c>
      <c r="K18" cm="1">
        <f t="array" ref="K18">_xll.FI.CURVE.FORWARD($H$2, I18)</f>
        <v>3.3234701439539896E-2</v>
      </c>
    </row>
    <row r="19" spans="9:11" x14ac:dyDescent="0.3">
      <c r="I19">
        <v>2.5</v>
      </c>
      <c r="J19" cm="1">
        <f t="array" ref="J19">_xll.FI.CURVE.SPOT($H$2, I19)</f>
        <v>3.4567027196897734E-2</v>
      </c>
      <c r="K19" cm="1">
        <f t="array" ref="K19">_xll.FI.CURVE.FORWARD($H$2, I19)</f>
        <v>3.531813122063393E-2</v>
      </c>
    </row>
    <row r="20" spans="9:11" x14ac:dyDescent="0.3">
      <c r="I20">
        <v>3</v>
      </c>
      <c r="J20" cm="1">
        <f t="array" ref="J20">_xll.FI.CURVE.SPOT($H$2, I20)</f>
        <v>3.4692211200853765E-2</v>
      </c>
      <c r="K20" cm="1">
        <f t="array" ref="K20">_xll.FI.CURVE.FORWARD($H$2, I20)</f>
        <v>3.531813122063393E-2</v>
      </c>
    </row>
    <row r="21" spans="9:11" x14ac:dyDescent="0.3">
      <c r="I21">
        <v>3.5</v>
      </c>
      <c r="J21" cm="1">
        <f t="array" ref="J21">_xll.FI.CURVE.SPOT($H$2, I21)</f>
        <v>3.5286394901676073E-2</v>
      </c>
      <c r="K21" cm="1">
        <f t="array" ref="K21">_xll.FI.CURVE.FORWARD($H$2, I21)</f>
        <v>3.8851497106609914E-2</v>
      </c>
    </row>
    <row r="22" spans="9:11" x14ac:dyDescent="0.3">
      <c r="I22">
        <v>4</v>
      </c>
      <c r="J22" cm="1">
        <f t="array" ref="J22">_xll.FI.CURVE.SPOT($H$2, I22)</f>
        <v>3.5732032677292802E-2</v>
      </c>
      <c r="K22" cm="1">
        <f t="array" ref="K22">_xll.FI.CURVE.FORWARD($H$2, I22)</f>
        <v>3.8851497106609914E-2</v>
      </c>
    </row>
    <row r="23" spans="9:11" x14ac:dyDescent="0.3">
      <c r="I23">
        <v>4.5</v>
      </c>
      <c r="J23" cm="1">
        <f t="array" ref="J23">_xll.FI.CURVE.SPOT($H$2, I23)</f>
        <v>3.6078639836105812E-2</v>
      </c>
      <c r="K23" cm="1">
        <f t="array" ref="K23">_xll.FI.CURVE.FORWARD($H$2, I23)</f>
        <v>3.8851497106609914E-2</v>
      </c>
    </row>
    <row r="24" spans="9:11" x14ac:dyDescent="0.3">
      <c r="I24">
        <v>5</v>
      </c>
      <c r="J24" cm="1">
        <f t="array" ref="J24">_xll.FI.CURVE.SPOT($H$2, I24)</f>
        <v>3.635592556315622E-2</v>
      </c>
      <c r="K24" cm="1">
        <f t="array" ref="K24">_xll.FI.CURVE.FORWARD($H$2, I24)</f>
        <v>3.8851497106609914E-2</v>
      </c>
    </row>
    <row r="25" spans="9:11" x14ac:dyDescent="0.3">
      <c r="I25">
        <v>5.5</v>
      </c>
      <c r="J25" cm="1">
        <f t="array" ref="J25">_xll.FI.CURVE.SPOT($H$2, I25)</f>
        <v>3.703878714772197E-2</v>
      </c>
      <c r="K25" cm="1">
        <f t="array" ref="K25">_xll.FI.CURVE.FORWARD($H$2, I25)</f>
        <v>4.386740299337942E-2</v>
      </c>
    </row>
    <row r="26" spans="9:11" x14ac:dyDescent="0.3">
      <c r="I26">
        <v>6</v>
      </c>
      <c r="J26" cm="1">
        <f t="array" ref="J26">_xll.FI.CURVE.SPOT($H$2, I26)</f>
        <v>3.7607838468193426E-2</v>
      </c>
      <c r="K26" cm="1">
        <f t="array" ref="K26">_xll.FI.CURVE.FORWARD($H$2, I26)</f>
        <v>4.386740299337942E-2</v>
      </c>
    </row>
    <row r="27" spans="9:11" x14ac:dyDescent="0.3">
      <c r="I27">
        <v>6.5</v>
      </c>
      <c r="J27" cm="1">
        <f t="array" ref="J27">_xll.FI.CURVE.SPOT($H$2, I27)</f>
        <v>3.8089343431669268E-2</v>
      </c>
      <c r="K27" cm="1">
        <f t="array" ref="K27">_xll.FI.CURVE.FORWARD($H$2, I27)</f>
        <v>4.386740299337942E-2</v>
      </c>
    </row>
    <row r="28" spans="9:11" x14ac:dyDescent="0.3">
      <c r="I28">
        <v>7</v>
      </c>
      <c r="J28" cm="1">
        <f t="array" ref="J28">_xll.FI.CURVE.SPOT($H$2, I28)</f>
        <v>3.8502061971791415E-2</v>
      </c>
      <c r="K28" cm="1">
        <f t="array" ref="K28">_xll.FI.CURVE.FORWARD($H$2, I28)</f>
        <v>4.386740299337942E-2</v>
      </c>
    </row>
    <row r="29" spans="9:11" x14ac:dyDescent="0.3">
      <c r="I29">
        <v>7.5</v>
      </c>
      <c r="J29" cm="1">
        <f t="array" ref="J29">_xll.FI.CURVE.SPOT($H$2, I29)</f>
        <v>3.9069157753752602E-2</v>
      </c>
      <c r="K29" cm="1">
        <f t="array" ref="K29">_xll.FI.CURVE.FORWARD($H$2, I29)</f>
        <v>4.7008498701209114E-2</v>
      </c>
    </row>
    <row r="30" spans="9:11" x14ac:dyDescent="0.3">
      <c r="I30">
        <v>8</v>
      </c>
      <c r="J30" cm="1">
        <f t="array" ref="J30">_xll.FI.CURVE.SPOT($H$2, I30)</f>
        <v>3.9565366562968628E-2</v>
      </c>
      <c r="K30" cm="1">
        <f t="array" ref="K30">_xll.FI.CURVE.FORWARD($H$2, I30)</f>
        <v>4.7008498701209114E-2</v>
      </c>
    </row>
    <row r="31" spans="9:11" x14ac:dyDescent="0.3">
      <c r="I31">
        <v>8.5</v>
      </c>
      <c r="J31" cm="1">
        <f t="array" ref="J31">_xll.FI.CURVE.SPOT($H$2, I31)</f>
        <v>4.0003197865218068E-2</v>
      </c>
      <c r="K31" cm="1">
        <f t="array" ref="K31">_xll.FI.CURVE.FORWARD($H$2, I31)</f>
        <v>4.7008498701209114E-2</v>
      </c>
    </row>
    <row r="32" spans="9:11" x14ac:dyDescent="0.3">
      <c r="I32">
        <v>9</v>
      </c>
      <c r="J32" cm="1">
        <f t="array" ref="J32">_xll.FI.CURVE.SPOT($H$2, I32)</f>
        <v>4.0392381244995348E-2</v>
      </c>
      <c r="K32" cm="1">
        <f t="array" ref="K32">_xll.FI.CURVE.FORWARD($H$2, I32)</f>
        <v>4.7008498701209114E-2</v>
      </c>
    </row>
    <row r="33" spans="9:11" x14ac:dyDescent="0.3">
      <c r="I33">
        <v>9.5</v>
      </c>
      <c r="J33" cm="1">
        <f t="array" ref="J33">_xll.FI.CURVE.SPOT($H$2, I33)</f>
        <v>4.0740597953217127E-2</v>
      </c>
      <c r="K33" cm="1">
        <f t="array" ref="K33">_xll.FI.CURVE.FORWARD($H$2, I33)</f>
        <v>4.7008498701209114E-2</v>
      </c>
    </row>
    <row r="34" spans="9:11" x14ac:dyDescent="0.3">
      <c r="I34">
        <v>10</v>
      </c>
      <c r="J34" cm="1">
        <f t="array" ref="J34">_xll.FI.CURVE.SPOT($H$2, I34)</f>
        <v>4.1053992990616725E-2</v>
      </c>
      <c r="K34" cm="1">
        <f t="array" ref="K34">_xll.FI.CURVE.FORWARD($H$2, I34)</f>
        <v>4.7008498701209114E-2</v>
      </c>
    </row>
    <row r="35" spans="9:11" x14ac:dyDescent="0.3">
      <c r="I35">
        <v>10.5</v>
      </c>
      <c r="J35" cm="1">
        <f t="array" ref="J35">_xll.FI.CURVE.SPOT($H$2, I35)</f>
        <v>4.1713169260319559E-2</v>
      </c>
      <c r="K35" cm="1">
        <f t="array" ref="K35">_xll.FI.CURVE.FORWARD($H$2, I35)</f>
        <v>5.4896694654376146E-2</v>
      </c>
    </row>
    <row r="36" spans="9:11" x14ac:dyDescent="0.3">
      <c r="I36">
        <v>11</v>
      </c>
      <c r="J36" cm="1">
        <f t="array" ref="J36">_xll.FI.CURVE.SPOT($H$2, I36)</f>
        <v>4.2312420414594855E-2</v>
      </c>
      <c r="K36" cm="1">
        <f t="array" ref="K36">_xll.FI.CURVE.FORWARD($H$2, I36)</f>
        <v>5.4896694654376146E-2</v>
      </c>
    </row>
    <row r="37" spans="9:11" x14ac:dyDescent="0.3">
      <c r="I37">
        <v>11.5</v>
      </c>
      <c r="J37" cm="1">
        <f t="array" ref="J37">_xll.FI.CURVE.SPOT($H$2, I37)</f>
        <v>4.2859562772846214E-2</v>
      </c>
      <c r="K37" cm="1">
        <f t="array" ref="K37">_xll.FI.CURVE.FORWARD($H$2, I37)</f>
        <v>5.4896694654376146E-2</v>
      </c>
    </row>
    <row r="38" spans="9:11" x14ac:dyDescent="0.3">
      <c r="I38">
        <v>12</v>
      </c>
      <c r="J38" cm="1">
        <f t="array" ref="J38">_xll.FI.CURVE.SPOT($H$2, I38)</f>
        <v>4.3361109934576626E-2</v>
      </c>
      <c r="K38" cm="1">
        <f t="array" ref="K38">_xll.FI.CURVE.FORWARD($H$2, I38)</f>
        <v>5.4896694654376146E-2</v>
      </c>
    </row>
    <row r="39" spans="9:11" x14ac:dyDescent="0.3">
      <c r="I39">
        <v>12.5</v>
      </c>
      <c r="J39" cm="1">
        <f t="array" ref="J39">_xll.FI.CURVE.SPOT($H$2, I39)</f>
        <v>4.3822533323368607E-2</v>
      </c>
      <c r="K39" cm="1">
        <f t="array" ref="K39">_xll.FI.CURVE.FORWARD($H$2, I39)</f>
        <v>5.4896694654376146E-2</v>
      </c>
    </row>
    <row r="40" spans="9:11" x14ac:dyDescent="0.3">
      <c r="I40">
        <v>13</v>
      </c>
      <c r="J40" cm="1">
        <f t="array" ref="J40">_xll.FI.CURVE.SPOT($H$2, I40)</f>
        <v>4.4248462605330441E-2</v>
      </c>
      <c r="K40" cm="1">
        <f t="array" ref="K40">_xll.FI.CURVE.FORWARD($H$2, I40)</f>
        <v>5.4896694654376146E-2</v>
      </c>
    </row>
    <row r="41" spans="9:11" x14ac:dyDescent="0.3">
      <c r="I41">
        <v>13.5</v>
      </c>
      <c r="J41" cm="1">
        <f t="array" ref="J41">_xll.FI.CURVE.SPOT($H$2, I41)</f>
        <v>4.4642841570109906E-2</v>
      </c>
      <c r="K41" cm="1">
        <f t="array" ref="K41">_xll.FI.CURVE.FORWARD($H$2, I41)</f>
        <v>5.4896694654376146E-2</v>
      </c>
    </row>
    <row r="42" spans="9:11" x14ac:dyDescent="0.3">
      <c r="I42">
        <v>14</v>
      </c>
      <c r="J42" cm="1">
        <f t="array" ref="J42">_xll.FI.CURVE.SPOT($H$2, I42)</f>
        <v>4.5009050608833708E-2</v>
      </c>
      <c r="K42" cm="1">
        <f t="array" ref="K42">_xll.FI.CURVE.FORWARD($H$2, I42)</f>
        <v>5.4896694654376146E-2</v>
      </c>
    </row>
    <row r="43" spans="9:11" x14ac:dyDescent="0.3">
      <c r="I43">
        <v>14.5</v>
      </c>
      <c r="J43" cm="1">
        <f t="array" ref="J43">_xll.FI.CURVE.SPOT($H$2, I43)</f>
        <v>4.5350003851783442E-2</v>
      </c>
      <c r="K43" cm="1">
        <f t="array" ref="K43">_xll.FI.CURVE.FORWARD($H$2, I43)</f>
        <v>5.4896694654376146E-2</v>
      </c>
    </row>
    <row r="44" spans="9:11" x14ac:dyDescent="0.3">
      <c r="I44">
        <v>15</v>
      </c>
      <c r="J44" cm="1">
        <f t="array" ref="J44">_xll.FI.CURVE.SPOT($H$2, I44)</f>
        <v>4.5668226878536534E-2</v>
      </c>
      <c r="K44" cm="1">
        <f t="array" ref="K44">_xll.FI.CURVE.FORWARD($H$2, I44)</f>
        <v>5.4896694654376146E-2</v>
      </c>
    </row>
    <row r="45" spans="9:11" x14ac:dyDescent="0.3">
      <c r="I45">
        <v>15.5</v>
      </c>
      <c r="J45" cm="1">
        <f t="array" ref="J45">_xll.FI.CURVE.SPOT($H$2, I45)</f>
        <v>4.5965919387434585E-2</v>
      </c>
      <c r="K45" cm="1">
        <f t="array" ref="K45">_xll.FI.CURVE.FORWARD($H$2, I45)</f>
        <v>5.4896694654376146E-2</v>
      </c>
    </row>
    <row r="46" spans="9:11" x14ac:dyDescent="0.3">
      <c r="I46">
        <v>16</v>
      </c>
      <c r="J46" cm="1">
        <f t="array" ref="J46">_xll.FI.CURVE.SPOT($H$2, I46)</f>
        <v>4.6245006114526511E-2</v>
      </c>
      <c r="K46" cm="1">
        <f t="array" ref="K46">_xll.FI.CURVE.FORWARD($H$2, I46)</f>
        <v>5.4896694654376146E-2</v>
      </c>
    </row>
    <row r="47" spans="9:11" x14ac:dyDescent="0.3">
      <c r="I47">
        <v>16.5</v>
      </c>
      <c r="J47" cm="1">
        <f t="array" ref="J47">_xll.FI.CURVE.SPOT($H$2, I47)</f>
        <v>4.6507178494521954E-2</v>
      </c>
      <c r="K47" cm="1">
        <f t="array" ref="K47">_xll.FI.CURVE.FORWARD($H$2, I47)</f>
        <v>5.4896694654376146E-2</v>
      </c>
    </row>
    <row r="48" spans="9:11" x14ac:dyDescent="0.3">
      <c r="I48">
        <v>17</v>
      </c>
      <c r="J48" cm="1">
        <f t="array" ref="J48">_xll.FI.CURVE.SPOT($H$2, I48)</f>
        <v>4.6753928969811787E-2</v>
      </c>
      <c r="K48" cm="1">
        <f t="array" ref="K48">_xll.FI.CURVE.FORWARD($H$2, I48)</f>
        <v>5.4896694654376146E-2</v>
      </c>
    </row>
    <row r="49" spans="9:11" x14ac:dyDescent="0.3">
      <c r="I49">
        <v>17.5</v>
      </c>
      <c r="J49" cm="1">
        <f t="array" ref="J49">_xll.FI.CURVE.SPOT($H$2, I49)</f>
        <v>4.6986579417942195E-2</v>
      </c>
      <c r="K49" cm="1">
        <f t="array" ref="K49">_xll.FI.CURVE.FORWARD($H$2, I49)</f>
        <v>5.4896694654376146E-2</v>
      </c>
    </row>
    <row r="50" spans="9:11" x14ac:dyDescent="0.3">
      <c r="I50">
        <v>18</v>
      </c>
      <c r="J50" cm="1">
        <f t="array" ref="J50">_xll.FI.CURVE.SPOT($H$2, I50)</f>
        <v>4.7206304841176466E-2</v>
      </c>
      <c r="K50" cm="1">
        <f t="array" ref="K50">_xll.FI.CURVE.FORWARD($H$2, I50)</f>
        <v>5.4896694654376146E-2</v>
      </c>
    </row>
    <row r="51" spans="9:11" x14ac:dyDescent="0.3">
      <c r="I51">
        <v>18.5</v>
      </c>
      <c r="J51" cm="1">
        <f t="array" ref="J51">_xll.FI.CURVE.SPOT($H$2, I51)</f>
        <v>4.7414153214506191E-2</v>
      </c>
      <c r="K51" cm="1">
        <f t="array" ref="K51">_xll.FI.CURVE.FORWARD($H$2, I51)</f>
        <v>5.4896694654376146E-2</v>
      </c>
    </row>
    <row r="52" spans="9:11" x14ac:dyDescent="0.3">
      <c r="I52">
        <v>19</v>
      </c>
      <c r="J52" cm="1">
        <f t="array" ref="J52">_xll.FI.CURVE.SPOT($H$2, I52)</f>
        <v>4.7611062199765922E-2</v>
      </c>
      <c r="K52" cm="1">
        <f t="array" ref="K52">_xll.FI.CURVE.FORWARD($H$2, I52)</f>
        <v>5.4896694654376146E-2</v>
      </c>
    </row>
    <row r="53" spans="9:11" x14ac:dyDescent="0.3">
      <c r="I53">
        <v>19.5</v>
      </c>
      <c r="J53" cm="1">
        <f t="array" ref="J53">_xll.FI.CURVE.SPOT($H$2, I53)</f>
        <v>4.7797873288345678E-2</v>
      </c>
      <c r="K53" cm="1">
        <f t="array" ref="K53">_xll.FI.CURVE.FORWARD($H$2, I53)</f>
        <v>5.4896694654376146E-2</v>
      </c>
    </row>
    <row r="54" spans="9:11" x14ac:dyDescent="0.3">
      <c r="I54">
        <v>20</v>
      </c>
      <c r="J54" cm="1">
        <f t="array" ref="J54">_xll.FI.CURVE.SPOT($H$2, I54)</f>
        <v>4.7975343822496436E-2</v>
      </c>
      <c r="K54" cm="1">
        <f t="array" ref="K54">_xll.FI.CURVE.FORWARD($H$2, I54)</f>
        <v>5.4896694654376146E-2</v>
      </c>
    </row>
    <row r="55" spans="9:11" x14ac:dyDescent="0.3">
      <c r="I55">
        <v>20.5</v>
      </c>
      <c r="J55" cm="1">
        <f t="array" ref="J55">_xll.FI.CURVE.SPOT($H$2, I55)</f>
        <v>4.8004086588156983E-2</v>
      </c>
      <c r="K55" cm="1">
        <f t="array" ref="K55">_xll.FI.CURVE.FORWARD($H$2, I55)</f>
        <v>4.9153797214578902E-2</v>
      </c>
    </row>
    <row r="56" spans="9:11" x14ac:dyDescent="0.3">
      <c r="I56">
        <v>21</v>
      </c>
      <c r="J56" cm="1">
        <f t="array" ref="J56">_xll.FI.CURVE.SPOT($H$2, I56)</f>
        <v>4.803146065069084E-2</v>
      </c>
      <c r="K56" cm="1">
        <f t="array" ref="K56">_xll.FI.CURVE.FORWARD($H$2, I56)</f>
        <v>4.9153797214578902E-2</v>
      </c>
    </row>
    <row r="57" spans="9:11" x14ac:dyDescent="0.3">
      <c r="I57">
        <v>21.5</v>
      </c>
      <c r="J57" cm="1">
        <f t="array" ref="J57">_xll.FI.CURVE.SPOT($H$2, I57)</f>
        <v>4.8057561501013812E-2</v>
      </c>
      <c r="K57" cm="1">
        <f t="array" ref="K57">_xll.FI.CURVE.FORWARD($H$2, I57)</f>
        <v>4.9153797214578902E-2</v>
      </c>
    </row>
    <row r="58" spans="9:11" x14ac:dyDescent="0.3">
      <c r="I58">
        <v>22</v>
      </c>
      <c r="J58" cm="1">
        <f t="array" ref="J58">_xll.FI.CURVE.SPOT($H$2, I58)</f>
        <v>4.808247594904938E-2</v>
      </c>
      <c r="K58" cm="1">
        <f t="array" ref="K58">_xll.FI.CURVE.FORWARD($H$2, I58)</f>
        <v>4.9153797214578902E-2</v>
      </c>
    </row>
    <row r="59" spans="9:11" x14ac:dyDescent="0.3">
      <c r="I59">
        <v>22.5</v>
      </c>
      <c r="J59" cm="1">
        <f t="array" ref="J59">_xll.FI.CURVE.SPOT($H$2, I59)</f>
        <v>4.810628308828338E-2</v>
      </c>
      <c r="K59" cm="1">
        <f t="array" ref="K59">_xll.FI.CURVE.FORWARD($H$2, I59)</f>
        <v>4.9153797214578902E-2</v>
      </c>
    </row>
    <row r="60" spans="9:11" x14ac:dyDescent="0.3">
      <c r="I60">
        <v>23</v>
      </c>
      <c r="J60" cm="1">
        <f t="array" ref="J60">_xll.FI.CURVE.SPOT($H$2, I60)</f>
        <v>4.8129055134507194E-2</v>
      </c>
      <c r="K60" cm="1">
        <f t="array" ref="K60">_xll.FI.CURVE.FORWARD($H$2, I60)</f>
        <v>4.9153797214578902E-2</v>
      </c>
    </row>
    <row r="61" spans="9:11" x14ac:dyDescent="0.3">
      <c r="I61">
        <v>23.5</v>
      </c>
      <c r="J61" cm="1">
        <f t="array" ref="J61">_xll.FI.CURVE.SPOT($H$2, I61)</f>
        <v>4.8150858157487438E-2</v>
      </c>
      <c r="K61" cm="1">
        <f t="array" ref="K61">_xll.FI.CURVE.FORWARD($H$2, I61)</f>
        <v>4.9153797214578902E-2</v>
      </c>
    </row>
    <row r="62" spans="9:11" x14ac:dyDescent="0.3">
      <c r="I62">
        <v>24</v>
      </c>
      <c r="J62" cm="1">
        <f t="array" ref="J62">_xll.FI.CURVE.SPOT($H$2, I62)</f>
        <v>4.8171752721176846E-2</v>
      </c>
      <c r="K62" cm="1">
        <f t="array" ref="K62">_xll.FI.CURVE.FORWARD($H$2, I62)</f>
        <v>4.9153797214578902E-2</v>
      </c>
    </row>
    <row r="63" spans="9:11" x14ac:dyDescent="0.3">
      <c r="I63">
        <v>24.5</v>
      </c>
      <c r="J63" cm="1">
        <f t="array" ref="J63">_xll.FI.CURVE.SPOT($H$2, I63)</f>
        <v>4.8191794445531996E-2</v>
      </c>
      <c r="K63" cm="1">
        <f t="array" ref="K63">_xll.FI.CURVE.FORWARD($H$2, I63)</f>
        <v>4.9153797214578902E-2</v>
      </c>
    </row>
    <row r="64" spans="9:11" x14ac:dyDescent="0.3">
      <c r="I64">
        <v>25</v>
      </c>
      <c r="J64" cm="1">
        <f t="array" ref="J64">_xll.FI.CURVE.SPOT($H$2, I64)</f>
        <v>4.8211034500912929E-2</v>
      </c>
      <c r="K64" cm="1">
        <f t="array" ref="K64">_xll.FI.CURVE.FORWARD($H$2, I64)</f>
        <v>4.9153797214578902E-2</v>
      </c>
    </row>
    <row r="65" spans="9:11" x14ac:dyDescent="0.3">
      <c r="I65">
        <v>25.5</v>
      </c>
      <c r="J65" cm="1">
        <f t="array" ref="J65">_xll.FI.CURVE.SPOT($H$2, I65)</f>
        <v>4.8229520044318144E-2</v>
      </c>
      <c r="K65" cm="1">
        <f t="array" ref="K65">_xll.FI.CURVE.FORWARD($H$2, I65)</f>
        <v>4.9153797214578902E-2</v>
      </c>
    </row>
    <row r="66" spans="9:11" x14ac:dyDescent="0.3">
      <c r="I66">
        <v>26</v>
      </c>
      <c r="J66" cm="1">
        <f t="array" ref="J66">_xll.FI.CURVE.SPOT($H$2, I66)</f>
        <v>4.8247294605284693E-2</v>
      </c>
      <c r="K66" cm="1">
        <f t="array" ref="K66">_xll.FI.CURVE.FORWARD($H$2, I66)</f>
        <v>4.9153797214578902E-2</v>
      </c>
    </row>
    <row r="67" spans="9:11" x14ac:dyDescent="0.3">
      <c r="I67">
        <v>26.5</v>
      </c>
      <c r="J67" cm="1">
        <f t="array" ref="J67">_xll.FI.CURVE.SPOT($H$2, I67)</f>
        <v>4.8264398428101575E-2</v>
      </c>
      <c r="K67" cm="1">
        <f t="array" ref="K67">_xll.FI.CURVE.FORWARD($H$2, I67)</f>
        <v>4.9153797214578902E-2</v>
      </c>
    </row>
    <row r="68" spans="9:11" x14ac:dyDescent="0.3">
      <c r="I68">
        <v>27</v>
      </c>
      <c r="J68" cm="1">
        <f t="array" ref="J68">_xll.FI.CURVE.SPOT($H$2, I68)</f>
        <v>4.8280868775999297E-2</v>
      </c>
      <c r="K68" cm="1">
        <f t="array" ref="K68">_xll.FI.CURVE.FORWARD($H$2, I68)</f>
        <v>4.9153797214578902E-2</v>
      </c>
    </row>
    <row r="69" spans="9:11" x14ac:dyDescent="0.3">
      <c r="I69">
        <v>27.5</v>
      </c>
      <c r="J69" cm="1">
        <f t="array" ref="J69">_xll.FI.CURVE.SPOT($H$2, I69)</f>
        <v>4.829674020215529E-2</v>
      </c>
      <c r="K69" cm="1">
        <f t="array" ref="K69">_xll.FI.CURVE.FORWARD($H$2, I69)</f>
        <v>4.9153797214578902E-2</v>
      </c>
    </row>
    <row r="70" spans="9:11" x14ac:dyDescent="0.3">
      <c r="I70">
        <v>28</v>
      </c>
      <c r="J70" cm="1">
        <f t="array" ref="J70">_xll.FI.CURVE.SPOT($H$2, I70)</f>
        <v>4.8312044791662852E-2</v>
      </c>
      <c r="K70" cm="1">
        <f t="array" ref="K70">_xll.FI.CURVE.FORWARD($H$2, I70)</f>
        <v>4.9153797214578902E-2</v>
      </c>
    </row>
    <row r="71" spans="9:11" x14ac:dyDescent="0.3">
      <c r="I71">
        <v>28.5</v>
      </c>
      <c r="J71" cm="1">
        <f t="array" ref="J71">_xll.FI.CURVE.SPOT($H$2, I71)</f>
        <v>4.8326812378029799E-2</v>
      </c>
      <c r="K71" cm="1">
        <f t="array" ref="K71">_xll.FI.CURVE.FORWARD($H$2, I71)</f>
        <v>4.9153797214578902E-2</v>
      </c>
    </row>
    <row r="72" spans="9:11" x14ac:dyDescent="0.3">
      <c r="I72">
        <v>29</v>
      </c>
      <c r="J72" cm="1">
        <f t="array" ref="J72">_xll.FI.CURVE.SPOT($H$2, I72)</f>
        <v>4.8341070737280653E-2</v>
      </c>
      <c r="K72" cm="1">
        <f t="array" ref="K72">_xll.FI.CURVE.FORWARD($H$2, I72)</f>
        <v>4.9153797214578902E-2</v>
      </c>
    </row>
    <row r="73" spans="9:11" x14ac:dyDescent="0.3">
      <c r="I73">
        <v>29.5</v>
      </c>
      <c r="J73" cm="1">
        <f t="array" ref="J73">_xll.FI.CURVE.SPOT($H$2, I73)</f>
        <v>4.8354845762319604E-2</v>
      </c>
      <c r="K73" cm="1">
        <f t="array" ref="K73">_xll.FI.CURVE.FORWARD($H$2, I73)</f>
        <v>4.9153797214578902E-2</v>
      </c>
    </row>
    <row r="74" spans="9:11" x14ac:dyDescent="0.3">
      <c r="I74">
        <v>30</v>
      </c>
      <c r="J74" cm="1">
        <f t="array" ref="J74">_xll.FI.CURVE.SPOT($H$2, I74)</f>
        <v>4.8368161619857256E-2</v>
      </c>
      <c r="K74" cm="1">
        <f t="array" ref="K74">_xll.FI.CURVE.FORWARD($H$2, I74)</f>
        <v>4.9153797214578902E-2</v>
      </c>
    </row>
  </sheetData>
  <phoneticPr fontId="5" type="noConversion"/>
  <pageMargins left="0.7" right="0.7" top="0.75" bottom="0.75" header="0.3" footer="0.3"/>
  <ignoredErrors>
    <ignoredError sqref="C4" formula="1"/>
  </ignoredErrors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Treasury Rates</vt:lpstr>
      <vt:lpstr>Instrument</vt:lpstr>
      <vt:lpstr>Curve</vt:lpstr>
      <vt:lpstr>Bootstrap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Xiaoyang Zhang</cp:lastModifiedBy>
  <dcterms:created xsi:type="dcterms:W3CDTF">2026-02-18T22:45:22Z</dcterms:created>
  <dcterms:modified xsi:type="dcterms:W3CDTF">2026-02-23T02:18:10Z</dcterms:modified>
</cp:coreProperties>
</file>