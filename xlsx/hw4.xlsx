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7228\source\repos\xll_ml1\xlsx\"/>
    </mc:Choice>
  </mc:AlternateContent>
  <xr:revisionPtr revIDLastSave="0" documentId="13_ncr:1_{40DE575B-EF2D-4508-9852-DD57FC0831C4}" xr6:coauthVersionLast="47" xr6:coauthVersionMax="47" xr10:uidLastSave="{00000000-0000-0000-0000-000000000000}"/>
  <bookViews>
    <workbookView xWindow="-110" yWindow="-110" windowWidth="19420" windowHeight="10300" activeTab="3" xr2:uid="{EDEE3299-5466-402C-8B4F-6E69C4CA67FB}"/>
  </bookViews>
  <sheets>
    <sheet name="Treasury Rates" sheetId="1" r:id="rId1"/>
    <sheet name="Instrument" sheetId="2" r:id="rId2"/>
    <sheet name="Curve" sheetId="3" r:id="rId3"/>
    <sheet name="Bootstra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4" l="1" a="1"/>
  <c r="K49" i="4" a="1"/>
  <c r="K57" i="4" a="1"/>
  <c r="K14" i="4" a="1"/>
  <c r="K18" i="4" a="1"/>
  <c r="K22" i="4" a="1"/>
  <c r="K26" i="4" a="1"/>
  <c r="K30" i="4" a="1"/>
  <c r="K34" i="4" a="1"/>
  <c r="K38" i="4" a="1"/>
  <c r="K42" i="4" a="1"/>
  <c r="K46" i="4" a="1"/>
  <c r="K54" i="4" a="1"/>
  <c r="K58" i="4" a="1"/>
  <c r="K62" i="4" a="1"/>
  <c r="K70" i="4" a="1"/>
  <c r="K19" i="4" a="1"/>
  <c r="K27" i="4" a="1"/>
  <c r="K35" i="4" a="1"/>
  <c r="K55" i="4" a="1"/>
  <c r="K59" i="4" a="1"/>
  <c r="K15" i="4" a="1"/>
  <c r="K23" i="4" a="1"/>
  <c r="K31" i="4" a="1"/>
  <c r="K39" i="4" a="1"/>
  <c r="K43" i="4" a="1"/>
  <c r="K47" i="4" a="1"/>
  <c r="K51" i="4" a="1"/>
  <c r="K63" i="4" a="1"/>
  <c r="K67" i="4" a="1"/>
  <c r="K71" i="4" a="1"/>
  <c r="K56" i="4" a="1"/>
  <c r="K60" i="4" a="1"/>
  <c r="K68" i="4" a="1"/>
  <c r="K66" i="4" a="1"/>
  <c r="K74" i="4" a="1"/>
  <c r="K16" i="4" a="1"/>
  <c r="K20" i="4" a="1"/>
  <c r="K24" i="4" a="1"/>
  <c r="K28" i="4" a="1"/>
  <c r="K32" i="4" a="1"/>
  <c r="K36" i="4" a="1"/>
  <c r="K40" i="4" a="1"/>
  <c r="K44" i="4" a="1"/>
  <c r="K48" i="4" a="1"/>
  <c r="K52" i="4" a="1"/>
  <c r="K64" i="4" a="1"/>
  <c r="K72" i="4" a="1"/>
  <c r="K13" i="4" a="1"/>
  <c r="K17" i="4" a="1"/>
  <c r="K25" i="4" a="1"/>
  <c r="K29" i="4" a="1"/>
  <c r="K33" i="4" a="1"/>
  <c r="K37" i="4" a="1"/>
  <c r="K41" i="4" a="1"/>
  <c r="K45" i="4" a="1"/>
  <c r="K53" i="4" a="1"/>
  <c r="K61" i="4" a="1"/>
  <c r="K65" i="4" a="1"/>
  <c r="K69" i="4" a="1"/>
  <c r="K73" i="4" a="1"/>
  <c r="K50" i="4" a="1"/>
  <c r="J14" i="4" a="1"/>
  <c r="J18" i="4" a="1"/>
  <c r="J22" i="4" a="1"/>
  <c r="J26" i="4" a="1"/>
  <c r="J30" i="4" a="1"/>
  <c r="J34" i="4" a="1"/>
  <c r="J38" i="4" a="1"/>
  <c r="J42" i="4" a="1"/>
  <c r="J46" i="4" a="1"/>
  <c r="J50" i="4" a="1"/>
  <c r="J54" i="4" a="1"/>
  <c r="J58" i="4" a="1"/>
  <c r="J62" i="4" a="1"/>
  <c r="J66" i="4" a="1"/>
  <c r="J70" i="4" a="1"/>
  <c r="J74" i="4" a="1"/>
  <c r="J15" i="4" a="1"/>
  <c r="J19" i="4" a="1"/>
  <c r="J23" i="4" a="1"/>
  <c r="J27" i="4" a="1"/>
  <c r="J31" i="4" a="1"/>
  <c r="J35" i="4" a="1"/>
  <c r="J39" i="4" a="1"/>
  <c r="J51" i="4" a="1"/>
  <c r="J55" i="4" a="1"/>
  <c r="J67" i="4" a="1"/>
  <c r="J20" i="4" a="1"/>
  <c r="J48" i="4" a="1"/>
  <c r="J56" i="4" a="1"/>
  <c r="J64" i="4" a="1"/>
  <c r="J72" i="4" a="1"/>
  <c r="J17" i="4" a="1"/>
  <c r="J21" i="4" a="1"/>
  <c r="J29" i="4" a="1"/>
  <c r="J37" i="4" a="1"/>
  <c r="J45" i="4" a="1"/>
  <c r="J53" i="4" a="1"/>
  <c r="J61" i="4" a="1"/>
  <c r="J69" i="4" a="1"/>
  <c r="J73" i="4" a="1"/>
  <c r="J43" i="4" a="1"/>
  <c r="J63" i="4" a="1"/>
  <c r="J16" i="4" a="1"/>
  <c r="J24" i="4" a="1"/>
  <c r="J28" i="4" a="1"/>
  <c r="J32" i="4" a="1"/>
  <c r="J36" i="4" a="1"/>
  <c r="J40" i="4" a="1"/>
  <c r="J44" i="4" a="1"/>
  <c r="J52" i="4" a="1"/>
  <c r="J60" i="4" a="1"/>
  <c r="J68" i="4" a="1"/>
  <c r="J13" i="4" a="1"/>
  <c r="J25" i="4" a="1"/>
  <c r="J33" i="4" a="1"/>
  <c r="J41" i="4" a="1"/>
  <c r="J49" i="4" a="1"/>
  <c r="J57" i="4" a="1"/>
  <c r="J65" i="4" a="1"/>
  <c r="J47" i="4" a="1"/>
  <c r="J59" i="4" a="1"/>
  <c r="J71" i="4" a="1"/>
  <c r="H2" i="4" a="1"/>
  <c r="F16" i="4" a="1"/>
  <c r="F14" i="4" a="1"/>
  <c r="F12" i="4" a="1"/>
  <c r="F13" i="4" a="1"/>
  <c r="F11" i="4" a="1"/>
  <c r="F15" i="4" a="1"/>
  <c r="F10" i="4" a="1"/>
  <c r="J8" i="4" a="1"/>
  <c r="J11" i="4" a="1"/>
  <c r="J9" i="4" a="1"/>
  <c r="J12" i="4" a="1"/>
  <c r="J10" i="4" a="1"/>
  <c r="K50" i="4" l="1"/>
  <c r="K73" i="4"/>
  <c r="K69" i="4"/>
  <c r="K65" i="4"/>
  <c r="K61" i="4"/>
  <c r="K53" i="4"/>
  <c r="K45" i="4"/>
  <c r="K41" i="4"/>
  <c r="K37" i="4"/>
  <c r="K33" i="4"/>
  <c r="K29" i="4"/>
  <c r="K25" i="4"/>
  <c r="K17" i="4"/>
  <c r="K13" i="4"/>
  <c r="K72" i="4"/>
  <c r="K64" i="4"/>
  <c r="K52" i="4"/>
  <c r="K48" i="4"/>
  <c r="K44" i="4"/>
  <c r="K40" i="4"/>
  <c r="K36" i="4"/>
  <c r="K32" i="4"/>
  <c r="K28" i="4"/>
  <c r="K24" i="4"/>
  <c r="K20" i="4"/>
  <c r="K16" i="4"/>
  <c r="K74" i="4"/>
  <c r="K66" i="4"/>
  <c r="K68" i="4"/>
  <c r="K60" i="4"/>
  <c r="K56" i="4"/>
  <c r="K71" i="4"/>
  <c r="K67" i="4"/>
  <c r="K63" i="4"/>
  <c r="K51" i="4"/>
  <c r="K47" i="4"/>
  <c r="K43" i="4"/>
  <c r="K39" i="4"/>
  <c r="K31" i="4"/>
  <c r="K23" i="4"/>
  <c r="K15" i="4"/>
  <c r="K59" i="4"/>
  <c r="K55" i="4"/>
  <c r="K35" i="4"/>
  <c r="K27" i="4"/>
  <c r="K19" i="4"/>
  <c r="K70" i="4"/>
  <c r="K62" i="4"/>
  <c r="K58" i="4"/>
  <c r="K54" i="4"/>
  <c r="K46" i="4"/>
  <c r="K42" i="4"/>
  <c r="K38" i="4"/>
  <c r="K34" i="4"/>
  <c r="K30" i="4"/>
  <c r="K26" i="4"/>
  <c r="K22" i="4"/>
  <c r="K18" i="4"/>
  <c r="K14" i="4"/>
  <c r="K57" i="4"/>
  <c r="K49" i="4"/>
  <c r="K21" i="4"/>
  <c r="J71" i="4"/>
  <c r="J59" i="4"/>
  <c r="J47" i="4"/>
  <c r="J65" i="4"/>
  <c r="J57" i="4"/>
  <c r="J49" i="4"/>
  <c r="J41" i="4"/>
  <c r="J33" i="4"/>
  <c r="J25" i="4"/>
  <c r="J13" i="4"/>
  <c r="J68" i="4"/>
  <c r="J60" i="4"/>
  <c r="J52" i="4"/>
  <c r="J44" i="4"/>
  <c r="J40" i="4"/>
  <c r="J36" i="4"/>
  <c r="J32" i="4"/>
  <c r="J28" i="4"/>
  <c r="J24" i="4"/>
  <c r="J16" i="4"/>
  <c r="J63" i="4"/>
  <c r="J43" i="4"/>
  <c r="J73" i="4"/>
  <c r="J69" i="4"/>
  <c r="J61" i="4"/>
  <c r="J53" i="4"/>
  <c r="J45" i="4"/>
  <c r="J37" i="4"/>
  <c r="J29" i="4"/>
  <c r="J21" i="4"/>
  <c r="J17" i="4"/>
  <c r="J72" i="4"/>
  <c r="J64" i="4"/>
  <c r="J56" i="4"/>
  <c r="J48" i="4"/>
  <c r="J20" i="4"/>
  <c r="J67" i="4"/>
  <c r="J55" i="4"/>
  <c r="J51" i="4"/>
  <c r="J39" i="4"/>
  <c r="J35" i="4"/>
  <c r="J31" i="4"/>
  <c r="J27" i="4"/>
  <c r="J23" i="4"/>
  <c r="J19" i="4"/>
  <c r="J15" i="4"/>
  <c r="J74" i="4"/>
  <c r="J70" i="4"/>
  <c r="J66" i="4"/>
  <c r="J62" i="4"/>
  <c r="J58" i="4"/>
  <c r="J54" i="4"/>
  <c r="J50" i="4"/>
  <c r="J46" i="4"/>
  <c r="J42" i="4"/>
  <c r="J38" i="4"/>
  <c r="J34" i="4"/>
  <c r="J30" i="4"/>
  <c r="J26" i="4"/>
  <c r="J22" i="4"/>
  <c r="J18" i="4"/>
  <c r="J14" i="4"/>
  <c r="H2" i="4"/>
  <c r="F15" i="4"/>
  <c r="F11" i="4"/>
  <c r="F13" i="4"/>
  <c r="F12" i="4"/>
  <c r="F14" i="4"/>
  <c r="F16" i="4"/>
  <c r="F10" i="4"/>
  <c r="J10" i="4"/>
  <c r="J12" i="4"/>
  <c r="J9" i="4"/>
  <c r="J11" i="4"/>
  <c r="J8" i="4"/>
  <c r="C5" i="3"/>
  <c r="D5" i="3"/>
  <c r="B5" i="3"/>
  <c r="D4" i="2"/>
  <c r="E4" i="2"/>
  <c r="C4" i="2"/>
  <c r="G5" i="4" a="1"/>
  <c r="G9" i="4" a="1"/>
  <c r="G13" i="4" a="1"/>
  <c r="G15" i="4" a="1"/>
  <c r="G6" i="4" a="1"/>
  <c r="G10" i="4" a="1"/>
  <c r="G14" i="4" a="1"/>
  <c r="G11" i="4" a="1"/>
  <c r="G16" i="4" a="1"/>
  <c r="G12" i="4" a="1"/>
  <c r="G7" i="4" a="1"/>
  <c r="G8" i="4" a="1"/>
  <c r="G4" i="4" a="1"/>
  <c r="G3" i="4" a="1"/>
  <c r="F3" i="4" a="1"/>
  <c r="F5" i="4" a="1"/>
  <c r="F9" i="4" a="1"/>
  <c r="F7" i="4" a="1"/>
  <c r="F6" i="4" a="1"/>
  <c r="F8" i="4" a="1"/>
  <c r="F4" i="4" a="1"/>
  <c r="C5" i="2" a="1"/>
  <c r="B6" i="3" a="1"/>
  <c r="C11" i="2" a="1"/>
  <c r="C8" i="2" a="1"/>
  <c r="G8" i="4" l="1"/>
  <c r="G7" i="4"/>
  <c r="G12" i="4"/>
  <c r="G16" i="4"/>
  <c r="G11" i="4"/>
  <c r="G14" i="4"/>
  <c r="G10" i="4"/>
  <c r="G6" i="4"/>
  <c r="G15" i="4"/>
  <c r="G13" i="4"/>
  <c r="G9" i="4"/>
  <c r="G5" i="4"/>
  <c r="G4" i="4"/>
  <c r="G3" i="4"/>
  <c r="F3" i="4"/>
  <c r="F8" i="4"/>
  <c r="F6" i="4"/>
  <c r="F7" i="4"/>
  <c r="F9" i="4"/>
  <c r="F5" i="4"/>
  <c r="F4" i="4"/>
  <c r="C5" i="2"/>
  <c r="B6" i="3"/>
  <c r="C11" i="2"/>
  <c r="C8" i="2"/>
  <c r="I6" i="4" a="1"/>
  <c r="I6" i="4" s="1"/>
  <c r="C5" i="4"/>
  <c r="E5" i="4" s="1"/>
  <c r="E9" i="4"/>
  <c r="E8" i="4"/>
  <c r="E7" i="4"/>
  <c r="E6" i="4"/>
  <c r="E4" i="4"/>
  <c r="E3" i="4"/>
  <c r="C8" i="4"/>
  <c r="C7" i="4"/>
  <c r="C6" i="4"/>
  <c r="C4" i="4"/>
  <c r="C3" i="4"/>
  <c r="B4" i="1"/>
  <c r="B6" i="1" s="1" a="1"/>
  <c r="B6" i="1" s="1"/>
  <c r="J6" i="4" a="1"/>
  <c r="K8" i="4" a="1"/>
  <c r="K10" i="4" a="1"/>
  <c r="K12" i="4" a="1"/>
  <c r="K9" i="4" a="1"/>
  <c r="K11" i="4" a="1"/>
  <c r="K7" i="4" a="1"/>
  <c r="K6" i="4" a="1"/>
  <c r="J7" i="4" a="1"/>
  <c r="C12" i="2" a="1"/>
  <c r="C6" i="2" a="1"/>
  <c r="C9" i="2" a="1"/>
  <c r="B7" i="3" a="1"/>
  <c r="J7" i="4" l="1"/>
  <c r="K6" i="4"/>
  <c r="K7" i="4"/>
  <c r="K11" i="4"/>
  <c r="K9" i="4"/>
  <c r="K12" i="4"/>
  <c r="K10" i="4"/>
  <c r="K8" i="4"/>
  <c r="J6" i="4"/>
  <c r="C9" i="2"/>
  <c r="C12" i="2"/>
  <c r="B7" i="3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E3" authorId="0" shapeId="0" xr:uid="{2B41EF9A-7B2A-4C9F-8A02-560BED64463C}">
      <text>
        <r>
          <rPr>
            <b/>
            <sz val="11"/>
            <color indexed="81"/>
            <rFont val="Tahoma"/>
            <family val="2"/>
          </rPr>
          <t>Actual/360 convention
Check T-Bill quoting conventions.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<sst xmlns="http://schemas.openxmlformats.org/spreadsheetml/2006/main" count="32" uniqueCount="32">
  <si>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https://home.treasury.gov/resource-center/data-chart-center/interest-rates/daily-treasury-rates.csv/2026/all?field_tdr_date_value=2026&amp;type=daily_treasury_yield_curve&amp;page&amp;_format=csv</t>
  </si>
  <si>
    <t>Add examples for \FI.INSTURMENT, FI.INSTRUMENT, FI.INTRUMENT.ZERO_COUPON_BOND, and FI.INSTRUMENT.BOND</t>
  </si>
  <si>
    <t>Add examples for \FI.CURVE.PWFLAT and FI.CURVE.PWFLAT</t>
  </si>
  <si>
    <t>1 Mo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</si>
  <si>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</si>
  <si>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</si>
  <si>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</si>
  <si>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</si>
  <si>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</si>
  <si>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</si>
  <si>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</si>
  <si>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</si>
  <si>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</si>
  <si>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</si>
  <si>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</si>
  <si>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</si>
  <si>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time</t>
  </si>
  <si>
    <t>rate</t>
  </si>
  <si>
    <t>price</t>
  </si>
  <si>
    <t>bill/bond</t>
  </si>
  <si>
    <t>1.5 Mo</t>
  </si>
  <si>
    <t>bootstrap</t>
  </si>
  <si>
    <t>t</t>
  </si>
  <si>
    <t>spot</t>
  </si>
  <si>
    <t>forward</t>
  </si>
  <si>
    <t>insert graph</t>
  </si>
  <si>
    <t>plot curve here using pwflate.spot, forward</t>
  </si>
  <si>
    <t xml:space="preserve"> </t>
    <phoneticPr fontId="5" type="noConversion"/>
  </si>
  <si>
    <t>\instrment</t>
    <phoneticPr fontId="5" type="noConversion"/>
  </si>
  <si>
    <t>instrument</t>
    <phoneticPr fontId="5" type="noConversion"/>
  </si>
  <si>
    <t>zcb</t>
    <phoneticPr fontId="5" type="noConversion"/>
  </si>
  <si>
    <t>bond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</si>
</sst>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0x&quot;#"/>
    <numFmt numFmtId="177" formatCode="0.000"/>
  </numFmts>
  <fonts count="6">
    <font>
      <sz val="14"/>
      <color theme="1"/>
      <name val="等线"/>
      <family val="2"/>
      <scheme val="minor"/>
    </font>
    <font>
      <u/>
      <sz val="14"/>
      <color theme="10"/>
      <name val="等线"/>
      <family val="2"/>
      <scheme val="minor"/>
    </font>
    <font>
      <sz val="14"/>
      <color theme="1"/>
      <name val="等线"/>
      <family val="2"/>
      <scheme val="minor"/>
    </font>
    <font>
      <sz val="8"/>
      <color indexed="63"/>
      <name val="等线"/>
      <family val="2"/>
      <scheme val="minor"/>
    </font>
    <font>
      <b/>
      <sz val="11"/>
      <color indexed="81"/>
      <name val="Tahoma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Font="0" applyAlignment="0" applyProtection="0"/>
    <xf numFmtId="176" fontId="3" fillId="0" borderId="0">
      <alignment horizontal="center" vertical="center"/>
    </xf>
  </cellStyleXfs>
  <cellXfs count="8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77" fontId="0" fillId="0" borderId="0" xfId="0" applyNumberFormat="1"/>
    <xf numFmtId="2" fontId="0" fillId="0" borderId="0" xfId="0" applyNumberFormat="1"/>
    <xf numFmtId="0" fontId="0" fillId="2" borderId="1" xfId="2" applyFont="1"/>
    <xf numFmtId="0" fontId="0" fillId="0" borderId="0" xfId="0" applyAlignment="1">
      <alignment horizontal="center"/>
    </xf>
  </cellXfs>
  <cellStyles count="4">
    <cellStyle name="Handle" xfId="3" xr:uid="{FB5D0E3F-B7C2-471A-97B4-EF18ADDF021D}"/>
    <cellStyle name="Hyperlink" xfId="1" builtinId="8"/>
    <cellStyle name="Normal" xfId="0" builtinId="0"/>
    <cellStyle name="Note" xfId="2" builtin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ome.treasury.gov/resource-center/data-chart-center/interest-rates/daily-treasury-rates.csv/2026/all?field_tdr_date_value=2026&amp;type=daily_treasury_yield_curve&amp;page&amp;_format=cs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00C4-F6CC-4E64-A377-FDB90E30013C}">
  <dimension ref="B2:P38"/>
  <sheetViews>
    <sheetView workbookViewId="0">
      <selection activeCell="B6" sqref="B6"/>
    </sheetView>
  </sheetViews>
  <sheetFormatPr defaultRowHeight="17.5"/>
  <sheetData>
    <row r="2" spans="2:16">
      <c r="B2" s="1" t="s">
        <v>0</v>
      </c>
    </row>
    <row r="4" spans="2:16">
      <c r="B4" t="str">
        <f>_xlfn.WEBSERVICE(B2)</f>
        <v>Date,"1 Mo","1.5 Month","2 Mo","3 Mo","4 Mo","6 Mo","1 Yr","2 Yr","3 Yr","5 Yr","7 Yr","10 Yr","20 Yr","30 Yr"
02/18/2026,3.71,3.74,3.73,3.70,3.70,3.60,3.49,3.47,3.50,3.66,3.86,4.09,4.65,4.71
02/17/2026,3.72,3.75,3.73,3.69,3.70,3.59,3.48,3.43,3.47,3.63,3.82,4.05,4.63,4.68
02/13/2026,3.72,3.71,3.73,3.68,3.70,3.59,3.42,3.40,3.43,3.61,3.81,4.04,4.64,4.69
02/12/2026,3.72,3.71,3.74,3.70,3.70,3.58,3.45,3.47,3.49,3.67,3.87,4.09,4.68,4.72
02/11/2026,3.71,3.71,3.73,3.70,3.70,3.60,3.47,3.52,3.55,3.75,3.96,4.18,4.76,4.82
02/10/2026,3.72,3.72,3.74,3.69,3.69,3.58,3.40,3.45,3.50,3.70,3.92,4.16,4.73,4.78
02/09/2026,3.72,3.72,3.73,3.69,3.70,3.59,3.43,3.48,3.56,3.75,3.97,4.22,4.79,4.85
02/06/2026,3.72,3.72,3.74,3.68,3.70,3.59,3.45,3.50,3.57,3.76,3.98,4.22,4.80,4.85
02/05/2026,3.72,3.71,3.74,3.67,3.68,3.58,3.44,3.47,3.55,3.74,3.97,4.21,4.79,4.85
02/04/2026,3.72,3.72,3.74,3.69,3.70,3.62,3.49,3.57,3.64,3.83,4.05,4.29,4.86,4.91
02/03/2026,3.72,3.72,3.74,3.69,3.70,3.62,3.49,3.57,3.64,3.83,4.04,4.28,4.85,4.90
02/02/2026,3.72,3.72,3.74,3.69,3.70,3.62,3.49,3.57,3.64,3.83,4.05,4.29,4.85,4.90
01/30/2026,3.72,3.73,3.75,3.67,3.69,3.61,3.48,3.52,3.60,3.79,4.01,4.26,4.82,4.87
01/29/2026,3.72,3.73,3.75,3.67,3.69,3.62,3.50,3.53,3.63,3.80,4.01,4.24,4.80,4.85
01/28/2026,3.76,3.72,3.71,3.68,3.70,3.63,3.52,3.56,3.66,3.83,4.05,4.26,4.81,4.85
01/27/2026,3.77,3.72,3.70,3.67,3.66,3.61,3.50,3.53,3.65,3.81,4.03,4.24,4.79,4.83
01/26/2026,3.77,3.71,3.70,3.67,3.67,3.62,3.52,3.56,3.66,3.82,4.02,4.22,4.75,4.80
01/23/2026,3.78,3.71,3.72,3.70,3.67,3.61,3.53,3.60,3.67,3.84,4.03,4.24,4.78,4.82
01/22/2026,3.79,3.71,3.72,3.71,3.67,3.61,3.53,3.61,3.68,3.85,4.05,4.26,4.79,4.84
01/21/2026,3.75,3.71,3.70,3.70,3.67,3.62,3.53,3.60,3.66,3.83,4.04,4.26,4.82,4.87
01/20/2026,3.75,3.71,3.69,3.70,3.65,3.61,3.53,3.60,3.68,3.86,4.08,4.30,4.87,4.91
01/16/2026,3.75,3.72,3.68,3.67,3.66,3.60,3.55,3.59,3.67,3.82,4.02,4.24,4.79,4.83
01/15/2026,3.75,3.73,3.69,3.68,3.66,3.60,3.54,3.56,3.62,3.77,3.96,4.17,4.74,4.79
01/14/2026,3.72,3.71,3.66,3.67,3.65,3.58,3.50,3.51,3.56,3.72,3.92,4.15,4.73,4.79
01/13/2026,3.72,3.72,3.66,3.67,3.63,3.59,3.51,3.53,3.57,3.75,3.95,4.18,4.77,4.83
01/12/2026,3.71,3.68,3.64,3.67,3.63,3.58,3.53,3.54,3.59,3.77,3.97,4.19,4.78,4.83
01/09/2026,3.70,3.68,3.63,3.62,3.62,3.57,3.52,3.54,3.59,3.75,3.95,4.18,4.76,4.82
01/08/2026,3.70,3.69,3.63,3.62,3.60,3.56,3.48,3.49,3.56,3.74,3.95,4.19,4.79,4.85
01/07/2026,3.70,3.69,3.60,3.62,3.60,3.56,3.48,3.47,3.53,3.70,3.91,4.15,4.76,4.82
01/06/2026,3.70,3.70,3.61,3.63,3.58,3.56,3.48,3.47,3.54,3.72,3.93,4.18,4.80,4.86
01/05/2026,3.71,3.68,3.64,3.64,3.61,3.57,3.47,3.46,3.53,3.71,3.92,4.17,4.79,4.85
01/02/2026,3.72,3.71,3.66,3.65,3.62,3.58,3.47,3.47,3.55,3.74,3.95,4.19,4.81,4.86</v>
      </c>
    </row>
    <row r="6" spans="2:16">
      <c r="B6" t="str" cm="1">
        <f t="array" ref="B6:P38">_xlfn.TEXTSPLIT(B4,",",CHAR(10))</f>
        <v>Date</v>
      </c>
      <c r="C6" t="str">
        <v>"1 Mo"</v>
      </c>
      <c r="D6" t="str">
        <v>"1.5 Month"</v>
      </c>
      <c r="E6" t="str">
        <v>"2 Mo"</v>
      </c>
      <c r="F6" t="str">
        <v>"3 Mo"</v>
      </c>
      <c r="G6" t="str">
        <v>"4 Mo"</v>
      </c>
      <c r="H6" t="str">
        <v>"6 Mo"</v>
      </c>
      <c r="I6" t="str">
        <v>"1 Yr"</v>
      </c>
      <c r="J6" t="str">
        <v>"2 Yr"</v>
      </c>
      <c r="K6" t="str">
        <v>"3 Yr"</v>
      </c>
      <c r="L6" t="str">
        <v>"5 Yr"</v>
      </c>
      <c r="M6" t="str">
        <v>"7 Yr"</v>
      </c>
      <c r="N6" t="str">
        <v>"10 Yr"</v>
      </c>
      <c r="O6" t="str">
        <v>"20 Yr"</v>
      </c>
      <c r="P6" t="str">
        <v>"30 Yr"</v>
      </c>
    </row>
    <row r="7" spans="2:16">
      <c r="B7" t="str">
        <v>02/18/2026</v>
      </c>
      <c r="C7" t="str">
        <v>3.71</v>
      </c>
      <c r="D7" t="str">
        <v>3.74</v>
      </c>
      <c r="E7" t="str">
        <v>3.73</v>
      </c>
      <c r="F7" t="str">
        <v>3.70</v>
      </c>
      <c r="G7" t="str">
        <v>3.70</v>
      </c>
      <c r="H7" t="str">
        <v>3.60</v>
      </c>
      <c r="I7" t="str">
        <v>3.49</v>
      </c>
      <c r="J7" t="str">
        <v>3.47</v>
      </c>
      <c r="K7" t="str">
        <v>3.50</v>
      </c>
      <c r="L7" t="str">
        <v>3.66</v>
      </c>
      <c r="M7" t="str">
        <v>3.86</v>
      </c>
      <c r="N7" t="str">
        <v>4.09</v>
      </c>
      <c r="O7" t="str">
        <v>4.65</v>
      </c>
      <c r="P7" t="str">
        <v>4.71</v>
      </c>
    </row>
    <row r="8" spans="2:16">
      <c r="B8" t="str">
        <v>02/17/2026</v>
      </c>
      <c r="C8" t="str">
        <v>3.72</v>
      </c>
      <c r="D8" t="str">
        <v>3.75</v>
      </c>
      <c r="E8" t="str">
        <v>3.73</v>
      </c>
      <c r="F8" t="str">
        <v>3.69</v>
      </c>
      <c r="G8" t="str">
        <v>3.70</v>
      </c>
      <c r="H8" t="str">
        <v>3.59</v>
      </c>
      <c r="I8" t="str">
        <v>3.48</v>
      </c>
      <c r="J8" t="str">
        <v>3.43</v>
      </c>
      <c r="K8" t="str">
        <v>3.47</v>
      </c>
      <c r="L8" t="str">
        <v>3.63</v>
      </c>
      <c r="M8" t="str">
        <v>3.82</v>
      </c>
      <c r="N8" t="str">
        <v>4.05</v>
      </c>
      <c r="O8" t="str">
        <v>4.63</v>
      </c>
      <c r="P8" t="str">
        <v>4.68</v>
      </c>
    </row>
    <row r="9" spans="2:16">
      <c r="B9" t="str">
        <v>02/13/2026</v>
      </c>
      <c r="C9" t="str">
        <v>3.72</v>
      </c>
      <c r="D9" t="str">
        <v>3.71</v>
      </c>
      <c r="E9" t="str">
        <v>3.73</v>
      </c>
      <c r="F9" t="str">
        <v>3.68</v>
      </c>
      <c r="G9" t="str">
        <v>3.70</v>
      </c>
      <c r="H9" t="str">
        <v>3.59</v>
      </c>
      <c r="I9" t="str">
        <v>3.42</v>
      </c>
      <c r="J9" t="str">
        <v>3.40</v>
      </c>
      <c r="K9" t="str">
        <v>3.43</v>
      </c>
      <c r="L9" t="str">
        <v>3.61</v>
      </c>
      <c r="M9" t="str">
        <v>3.81</v>
      </c>
      <c r="N9" t="str">
        <v>4.04</v>
      </c>
      <c r="O9" t="str">
        <v>4.64</v>
      </c>
      <c r="P9" t="str">
        <v>4.69</v>
      </c>
    </row>
    <row r="10" spans="2:16">
      <c r="B10" t="str">
        <v>02/12/2026</v>
      </c>
      <c r="C10" t="str">
        <v>3.72</v>
      </c>
      <c r="D10" t="str">
        <v>3.71</v>
      </c>
      <c r="E10" t="str">
        <v>3.74</v>
      </c>
      <c r="F10" t="str">
        <v>3.70</v>
      </c>
      <c r="G10" t="str">
        <v>3.70</v>
      </c>
      <c r="H10" t="str">
        <v>3.58</v>
      </c>
      <c r="I10" t="str">
        <v>3.45</v>
      </c>
      <c r="J10" t="str">
        <v>3.47</v>
      </c>
      <c r="K10" t="str">
        <v>3.49</v>
      </c>
      <c r="L10" t="str">
        <v>3.67</v>
      </c>
      <c r="M10" t="str">
        <v>3.87</v>
      </c>
      <c r="N10" t="str">
        <v>4.09</v>
      </c>
      <c r="O10" t="str">
        <v>4.68</v>
      </c>
      <c r="P10" t="str">
        <v>4.72</v>
      </c>
    </row>
    <row r="11" spans="2:16">
      <c r="B11" t="str">
        <v>02/11/2026</v>
      </c>
      <c r="C11" t="str">
        <v>3.71</v>
      </c>
      <c r="D11" t="str">
        <v>3.71</v>
      </c>
      <c r="E11" t="str">
        <v>3.73</v>
      </c>
      <c r="F11" t="str">
        <v>3.70</v>
      </c>
      <c r="G11" t="str">
        <v>3.70</v>
      </c>
      <c r="H11" t="str">
        <v>3.60</v>
      </c>
      <c r="I11" t="str">
        <v>3.47</v>
      </c>
      <c r="J11" t="str">
        <v>3.52</v>
      </c>
      <c r="K11" t="str">
        <v>3.55</v>
      </c>
      <c r="L11" t="str">
        <v>3.75</v>
      </c>
      <c r="M11" t="str">
        <v>3.96</v>
      </c>
      <c r="N11" t="str">
        <v>4.18</v>
      </c>
      <c r="O11" t="str">
        <v>4.76</v>
      </c>
      <c r="P11" t="str">
        <v>4.82</v>
      </c>
    </row>
    <row r="12" spans="2:16">
      <c r="B12" t="str">
        <v>02/10/2026</v>
      </c>
      <c r="C12" t="str">
        <v>3.72</v>
      </c>
      <c r="D12" t="str">
        <v>3.72</v>
      </c>
      <c r="E12" t="str">
        <v>3.74</v>
      </c>
      <c r="F12" t="str">
        <v>3.69</v>
      </c>
      <c r="G12" t="str">
        <v>3.69</v>
      </c>
      <c r="H12" t="str">
        <v>3.58</v>
      </c>
      <c r="I12" t="str">
        <v>3.40</v>
      </c>
      <c r="J12" t="str">
        <v>3.45</v>
      </c>
      <c r="K12" t="str">
        <v>3.50</v>
      </c>
      <c r="L12" t="str">
        <v>3.70</v>
      </c>
      <c r="M12" t="str">
        <v>3.92</v>
      </c>
      <c r="N12" t="str">
        <v>4.16</v>
      </c>
      <c r="O12" t="str">
        <v>4.73</v>
      </c>
      <c r="P12" t="str">
        <v>4.78</v>
      </c>
    </row>
    <row r="13" spans="2:16">
      <c r="B13" t="str">
        <v>02/09/2026</v>
      </c>
      <c r="C13" t="str">
        <v>3.72</v>
      </c>
      <c r="D13" t="str">
        <v>3.72</v>
      </c>
      <c r="E13" t="str">
        <v>3.73</v>
      </c>
      <c r="F13" t="str">
        <v>3.69</v>
      </c>
      <c r="G13" t="str">
        <v>3.70</v>
      </c>
      <c r="H13" t="str">
        <v>3.59</v>
      </c>
      <c r="I13" t="str">
        <v>3.43</v>
      </c>
      <c r="J13" t="str">
        <v>3.48</v>
      </c>
      <c r="K13" t="str">
        <v>3.56</v>
      </c>
      <c r="L13" t="str">
        <v>3.75</v>
      </c>
      <c r="M13" t="str">
        <v>3.97</v>
      </c>
      <c r="N13" t="str">
        <v>4.22</v>
      </c>
      <c r="O13" t="str">
        <v>4.79</v>
      </c>
      <c r="P13" t="str">
        <v>4.85</v>
      </c>
    </row>
    <row r="14" spans="2:16">
      <c r="B14" t="str">
        <v>02/06/2026</v>
      </c>
      <c r="C14" t="str">
        <v>3.72</v>
      </c>
      <c r="D14" t="str">
        <v>3.72</v>
      </c>
      <c r="E14" t="str">
        <v>3.74</v>
      </c>
      <c r="F14" t="str">
        <v>3.68</v>
      </c>
      <c r="G14" t="str">
        <v>3.70</v>
      </c>
      <c r="H14" t="str">
        <v>3.59</v>
      </c>
      <c r="I14" t="str">
        <v>3.45</v>
      </c>
      <c r="J14" t="str">
        <v>3.50</v>
      </c>
      <c r="K14" t="str">
        <v>3.57</v>
      </c>
      <c r="L14" t="str">
        <v>3.76</v>
      </c>
      <c r="M14" t="str">
        <v>3.98</v>
      </c>
      <c r="N14" t="str">
        <v>4.22</v>
      </c>
      <c r="O14" t="str">
        <v>4.80</v>
      </c>
      <c r="P14" t="str">
        <v>4.85</v>
      </c>
    </row>
    <row r="15" spans="2:16">
      <c r="B15" t="str">
        <v>02/05/2026</v>
      </c>
      <c r="C15" t="str">
        <v>3.72</v>
      </c>
      <c r="D15" t="str">
        <v>3.71</v>
      </c>
      <c r="E15" t="str">
        <v>3.74</v>
      </c>
      <c r="F15" t="str">
        <v>3.67</v>
      </c>
      <c r="G15" t="str">
        <v>3.68</v>
      </c>
      <c r="H15" t="str">
        <v>3.58</v>
      </c>
      <c r="I15" t="str">
        <v>3.44</v>
      </c>
      <c r="J15" t="str">
        <v>3.47</v>
      </c>
      <c r="K15" t="str">
        <v>3.55</v>
      </c>
      <c r="L15" t="str">
        <v>3.74</v>
      </c>
      <c r="M15" t="str">
        <v>3.97</v>
      </c>
      <c r="N15" t="str">
        <v>4.21</v>
      </c>
      <c r="O15" t="str">
        <v>4.79</v>
      </c>
      <c r="P15" t="str">
        <v>4.85</v>
      </c>
    </row>
    <row r="16" spans="2:16">
      <c r="B16" t="str">
        <v>02/04/2026</v>
      </c>
      <c r="C16" t="str">
        <v>3.72</v>
      </c>
      <c r="D16" t="str">
        <v>3.72</v>
      </c>
      <c r="E16" t="str">
        <v>3.74</v>
      </c>
      <c r="F16" t="str">
        <v>3.69</v>
      </c>
      <c r="G16" t="str">
        <v>3.70</v>
      </c>
      <c r="H16" t="str">
        <v>3.62</v>
      </c>
      <c r="I16" t="str">
        <v>3.49</v>
      </c>
      <c r="J16" t="str">
        <v>3.57</v>
      </c>
      <c r="K16" t="str">
        <v>3.64</v>
      </c>
      <c r="L16" t="str">
        <v>3.83</v>
      </c>
      <c r="M16" t="str">
        <v>4.05</v>
      </c>
      <c r="N16" t="str">
        <v>4.29</v>
      </c>
      <c r="O16" t="str">
        <v>4.86</v>
      </c>
      <c r="P16" t="str">
        <v>4.91</v>
      </c>
    </row>
    <row r="17" spans="2:16">
      <c r="B17" t="str">
        <v>02/03/2026</v>
      </c>
      <c r="C17" t="str">
        <v>3.72</v>
      </c>
      <c r="D17" t="str">
        <v>3.72</v>
      </c>
      <c r="E17" t="str">
        <v>3.74</v>
      </c>
      <c r="F17" t="str">
        <v>3.69</v>
      </c>
      <c r="G17" t="str">
        <v>3.70</v>
      </c>
      <c r="H17" t="str">
        <v>3.62</v>
      </c>
      <c r="I17" t="str">
        <v>3.49</v>
      </c>
      <c r="J17" t="str">
        <v>3.57</v>
      </c>
      <c r="K17" t="str">
        <v>3.64</v>
      </c>
      <c r="L17" t="str">
        <v>3.83</v>
      </c>
      <c r="M17" t="str">
        <v>4.04</v>
      </c>
      <c r="N17" t="str">
        <v>4.28</v>
      </c>
      <c r="O17" t="str">
        <v>4.85</v>
      </c>
      <c r="P17" t="str">
        <v>4.90</v>
      </c>
    </row>
    <row r="18" spans="2:16">
      <c r="B18" t="str">
        <v>02/02/2026</v>
      </c>
      <c r="C18" t="str">
        <v>3.72</v>
      </c>
      <c r="D18" t="str">
        <v>3.72</v>
      </c>
      <c r="E18" t="str">
        <v>3.74</v>
      </c>
      <c r="F18" t="str">
        <v>3.69</v>
      </c>
      <c r="G18" t="str">
        <v>3.70</v>
      </c>
      <c r="H18" t="str">
        <v>3.62</v>
      </c>
      <c r="I18" t="str">
        <v>3.49</v>
      </c>
      <c r="J18" t="str">
        <v>3.57</v>
      </c>
      <c r="K18" t="str">
        <v>3.64</v>
      </c>
      <c r="L18" t="str">
        <v>3.83</v>
      </c>
      <c r="M18" t="str">
        <v>4.05</v>
      </c>
      <c r="N18" t="str">
        <v>4.29</v>
      </c>
      <c r="O18" t="str">
        <v>4.85</v>
      </c>
      <c r="P18" t="str">
        <v>4.90</v>
      </c>
    </row>
    <row r="19" spans="2:16">
      <c r="B19" t="str">
        <v>01/30/2026</v>
      </c>
      <c r="C19" t="str">
        <v>3.72</v>
      </c>
      <c r="D19" t="str">
        <v>3.73</v>
      </c>
      <c r="E19" t="str">
        <v>3.75</v>
      </c>
      <c r="F19" t="str">
        <v>3.67</v>
      </c>
      <c r="G19" t="str">
        <v>3.69</v>
      </c>
      <c r="H19" t="str">
        <v>3.61</v>
      </c>
      <c r="I19" t="str">
        <v>3.48</v>
      </c>
      <c r="J19" t="str">
        <v>3.52</v>
      </c>
      <c r="K19" t="str">
        <v>3.60</v>
      </c>
      <c r="L19" t="str">
        <v>3.79</v>
      </c>
      <c r="M19" t="str">
        <v>4.01</v>
      </c>
      <c r="N19" t="str">
        <v>4.26</v>
      </c>
      <c r="O19" t="str">
        <v>4.82</v>
      </c>
      <c r="P19" t="str">
        <v>4.87</v>
      </c>
    </row>
    <row r="20" spans="2:16">
      <c r="B20" t="str">
        <v>01/29/2026</v>
      </c>
      <c r="C20" t="str">
        <v>3.72</v>
      </c>
      <c r="D20" t="str">
        <v>3.73</v>
      </c>
      <c r="E20" t="str">
        <v>3.75</v>
      </c>
      <c r="F20" t="str">
        <v>3.67</v>
      </c>
      <c r="G20" t="str">
        <v>3.69</v>
      </c>
      <c r="H20" t="str">
        <v>3.62</v>
      </c>
      <c r="I20" t="str">
        <v>3.50</v>
      </c>
      <c r="J20" t="str">
        <v>3.53</v>
      </c>
      <c r="K20" t="str">
        <v>3.63</v>
      </c>
      <c r="L20" t="str">
        <v>3.80</v>
      </c>
      <c r="M20" t="str">
        <v>4.01</v>
      </c>
      <c r="N20" t="str">
        <v>4.24</v>
      </c>
      <c r="O20" t="str">
        <v>4.80</v>
      </c>
      <c r="P20" t="str">
        <v>4.85</v>
      </c>
    </row>
    <row r="21" spans="2:16">
      <c r="B21" t="str">
        <v>01/28/2026</v>
      </c>
      <c r="C21" t="str">
        <v>3.76</v>
      </c>
      <c r="D21" t="str">
        <v>3.72</v>
      </c>
      <c r="E21" t="str">
        <v>3.71</v>
      </c>
      <c r="F21" t="str">
        <v>3.68</v>
      </c>
      <c r="G21" t="str">
        <v>3.70</v>
      </c>
      <c r="H21" t="str">
        <v>3.63</v>
      </c>
      <c r="I21" t="str">
        <v>3.52</v>
      </c>
      <c r="J21" t="str">
        <v>3.56</v>
      </c>
      <c r="K21" t="str">
        <v>3.66</v>
      </c>
      <c r="L21" t="str">
        <v>3.83</v>
      </c>
      <c r="M21" t="str">
        <v>4.05</v>
      </c>
      <c r="N21" t="str">
        <v>4.26</v>
      </c>
      <c r="O21" t="str">
        <v>4.81</v>
      </c>
      <c r="P21" t="str">
        <v>4.85</v>
      </c>
    </row>
    <row r="22" spans="2:16">
      <c r="B22" t="str">
        <v>01/27/2026</v>
      </c>
      <c r="C22" t="str">
        <v>3.77</v>
      </c>
      <c r="D22" t="str">
        <v>3.72</v>
      </c>
      <c r="E22" t="str">
        <v>3.70</v>
      </c>
      <c r="F22" t="str">
        <v>3.67</v>
      </c>
      <c r="G22" t="str">
        <v>3.66</v>
      </c>
      <c r="H22" t="str">
        <v>3.61</v>
      </c>
      <c r="I22" t="str">
        <v>3.50</v>
      </c>
      <c r="J22" t="str">
        <v>3.53</v>
      </c>
      <c r="K22" t="str">
        <v>3.65</v>
      </c>
      <c r="L22" t="str">
        <v>3.81</v>
      </c>
      <c r="M22" t="str">
        <v>4.03</v>
      </c>
      <c r="N22" t="str">
        <v>4.24</v>
      </c>
      <c r="O22" t="str">
        <v>4.79</v>
      </c>
      <c r="P22" t="str">
        <v>4.83</v>
      </c>
    </row>
    <row r="23" spans="2:16">
      <c r="B23" t="str">
        <v>01/26/2026</v>
      </c>
      <c r="C23" t="str">
        <v>3.77</v>
      </c>
      <c r="D23" t="str">
        <v>3.71</v>
      </c>
      <c r="E23" t="str">
        <v>3.70</v>
      </c>
      <c r="F23" t="str">
        <v>3.67</v>
      </c>
      <c r="G23" t="str">
        <v>3.67</v>
      </c>
      <c r="H23" t="str">
        <v>3.62</v>
      </c>
      <c r="I23" t="str">
        <v>3.52</v>
      </c>
      <c r="J23" t="str">
        <v>3.56</v>
      </c>
      <c r="K23" t="str">
        <v>3.66</v>
      </c>
      <c r="L23" t="str">
        <v>3.82</v>
      </c>
      <c r="M23" t="str">
        <v>4.02</v>
      </c>
      <c r="N23" t="str">
        <v>4.22</v>
      </c>
      <c r="O23" t="str">
        <v>4.75</v>
      </c>
      <c r="P23" t="str">
        <v>4.80</v>
      </c>
    </row>
    <row r="24" spans="2:16">
      <c r="B24" t="str">
        <v>01/23/2026</v>
      </c>
      <c r="C24" t="str">
        <v>3.78</v>
      </c>
      <c r="D24" t="str">
        <v>3.71</v>
      </c>
      <c r="E24" t="str">
        <v>3.72</v>
      </c>
      <c r="F24" t="str">
        <v>3.70</v>
      </c>
      <c r="G24" t="str">
        <v>3.67</v>
      </c>
      <c r="H24" t="str">
        <v>3.61</v>
      </c>
      <c r="I24" t="str">
        <v>3.53</v>
      </c>
      <c r="J24" t="str">
        <v>3.60</v>
      </c>
      <c r="K24" t="str">
        <v>3.67</v>
      </c>
      <c r="L24" t="str">
        <v>3.84</v>
      </c>
      <c r="M24" t="str">
        <v>4.03</v>
      </c>
      <c r="N24" t="str">
        <v>4.24</v>
      </c>
      <c r="O24" t="str">
        <v>4.78</v>
      </c>
      <c r="P24" t="str">
        <v>4.82</v>
      </c>
    </row>
    <row r="25" spans="2:16">
      <c r="B25" t="str">
        <v>01/22/2026</v>
      </c>
      <c r="C25" t="str">
        <v>3.79</v>
      </c>
      <c r="D25" t="str">
        <v>3.71</v>
      </c>
      <c r="E25" t="str">
        <v>3.72</v>
      </c>
      <c r="F25" t="str">
        <v>3.71</v>
      </c>
      <c r="G25" t="str">
        <v>3.67</v>
      </c>
      <c r="H25" t="str">
        <v>3.61</v>
      </c>
      <c r="I25" t="str">
        <v>3.53</v>
      </c>
      <c r="J25" t="str">
        <v>3.61</v>
      </c>
      <c r="K25" t="str">
        <v>3.68</v>
      </c>
      <c r="L25" t="str">
        <v>3.85</v>
      </c>
      <c r="M25" t="str">
        <v>4.05</v>
      </c>
      <c r="N25" t="str">
        <v>4.26</v>
      </c>
      <c r="O25" t="str">
        <v>4.79</v>
      </c>
      <c r="P25" t="str">
        <v>4.84</v>
      </c>
    </row>
    <row r="26" spans="2:16">
      <c r="B26" t="str">
        <v>01/21/2026</v>
      </c>
      <c r="C26" t="str">
        <v>3.75</v>
      </c>
      <c r="D26" t="str">
        <v>3.71</v>
      </c>
      <c r="E26" t="str">
        <v>3.70</v>
      </c>
      <c r="F26" t="str">
        <v>3.70</v>
      </c>
      <c r="G26" t="str">
        <v>3.67</v>
      </c>
      <c r="H26" t="str">
        <v>3.62</v>
      </c>
      <c r="I26" t="str">
        <v>3.53</v>
      </c>
      <c r="J26" t="str">
        <v>3.60</v>
      </c>
      <c r="K26" t="str">
        <v>3.66</v>
      </c>
      <c r="L26" t="str">
        <v>3.83</v>
      </c>
      <c r="M26" t="str">
        <v>4.04</v>
      </c>
      <c r="N26" t="str">
        <v>4.26</v>
      </c>
      <c r="O26" t="str">
        <v>4.82</v>
      </c>
      <c r="P26" t="str">
        <v>4.87</v>
      </c>
    </row>
    <row r="27" spans="2:16">
      <c r="B27" t="str">
        <v>01/20/2026</v>
      </c>
      <c r="C27" t="str">
        <v>3.75</v>
      </c>
      <c r="D27" t="str">
        <v>3.71</v>
      </c>
      <c r="E27" t="str">
        <v>3.69</v>
      </c>
      <c r="F27" t="str">
        <v>3.70</v>
      </c>
      <c r="G27" t="str">
        <v>3.65</v>
      </c>
      <c r="H27" t="str">
        <v>3.61</v>
      </c>
      <c r="I27" t="str">
        <v>3.53</v>
      </c>
      <c r="J27" t="str">
        <v>3.60</v>
      </c>
      <c r="K27" t="str">
        <v>3.68</v>
      </c>
      <c r="L27" t="str">
        <v>3.86</v>
      </c>
      <c r="M27" t="str">
        <v>4.08</v>
      </c>
      <c r="N27" t="str">
        <v>4.30</v>
      </c>
      <c r="O27" t="str">
        <v>4.87</v>
      </c>
      <c r="P27" t="str">
        <v>4.91</v>
      </c>
    </row>
    <row r="28" spans="2:16">
      <c r="B28" t="str">
        <v>01/16/2026</v>
      </c>
      <c r="C28" t="str">
        <v>3.75</v>
      </c>
      <c r="D28" t="str">
        <v>3.72</v>
      </c>
      <c r="E28" t="str">
        <v>3.68</v>
      </c>
      <c r="F28" t="str">
        <v>3.67</v>
      </c>
      <c r="G28" t="str">
        <v>3.66</v>
      </c>
      <c r="H28" t="str">
        <v>3.60</v>
      </c>
      <c r="I28" t="str">
        <v>3.55</v>
      </c>
      <c r="J28" t="str">
        <v>3.59</v>
      </c>
      <c r="K28" t="str">
        <v>3.67</v>
      </c>
      <c r="L28" t="str">
        <v>3.82</v>
      </c>
      <c r="M28" t="str">
        <v>4.02</v>
      </c>
      <c r="N28" t="str">
        <v>4.24</v>
      </c>
      <c r="O28" t="str">
        <v>4.79</v>
      </c>
      <c r="P28" t="str">
        <v>4.83</v>
      </c>
    </row>
    <row r="29" spans="2:16">
      <c r="B29" t="str">
        <v>01/15/2026</v>
      </c>
      <c r="C29" t="str">
        <v>3.75</v>
      </c>
      <c r="D29" t="str">
        <v>3.73</v>
      </c>
      <c r="E29" t="str">
        <v>3.69</v>
      </c>
      <c r="F29" t="str">
        <v>3.68</v>
      </c>
      <c r="G29" t="str">
        <v>3.66</v>
      </c>
      <c r="H29" t="str">
        <v>3.60</v>
      </c>
      <c r="I29" t="str">
        <v>3.54</v>
      </c>
      <c r="J29" t="str">
        <v>3.56</v>
      </c>
      <c r="K29" t="str">
        <v>3.62</v>
      </c>
      <c r="L29" t="str">
        <v>3.77</v>
      </c>
      <c r="M29" t="str">
        <v>3.96</v>
      </c>
      <c r="N29" t="str">
        <v>4.17</v>
      </c>
      <c r="O29" t="str">
        <v>4.74</v>
      </c>
      <c r="P29" t="str">
        <v>4.79</v>
      </c>
    </row>
    <row r="30" spans="2:16">
      <c r="B30" t="str">
        <v>01/14/2026</v>
      </c>
      <c r="C30" t="str">
        <v>3.72</v>
      </c>
      <c r="D30" t="str">
        <v>3.71</v>
      </c>
      <c r="E30" t="str">
        <v>3.66</v>
      </c>
      <c r="F30" t="str">
        <v>3.67</v>
      </c>
      <c r="G30" t="str">
        <v>3.65</v>
      </c>
      <c r="H30" t="str">
        <v>3.58</v>
      </c>
      <c r="I30" t="str">
        <v>3.50</v>
      </c>
      <c r="J30" t="str">
        <v>3.51</v>
      </c>
      <c r="K30" t="str">
        <v>3.56</v>
      </c>
      <c r="L30" t="str">
        <v>3.72</v>
      </c>
      <c r="M30" t="str">
        <v>3.92</v>
      </c>
      <c r="N30" t="str">
        <v>4.15</v>
      </c>
      <c r="O30" t="str">
        <v>4.73</v>
      </c>
      <c r="P30" t="str">
        <v>4.79</v>
      </c>
    </row>
    <row r="31" spans="2:16">
      <c r="B31" t="str">
        <v>01/13/2026</v>
      </c>
      <c r="C31" t="str">
        <v>3.72</v>
      </c>
      <c r="D31" t="str">
        <v>3.72</v>
      </c>
      <c r="E31" t="str">
        <v>3.66</v>
      </c>
      <c r="F31" t="str">
        <v>3.67</v>
      </c>
      <c r="G31" t="str">
        <v>3.63</v>
      </c>
      <c r="H31" t="str">
        <v>3.59</v>
      </c>
      <c r="I31" t="str">
        <v>3.51</v>
      </c>
      <c r="J31" t="str">
        <v>3.53</v>
      </c>
      <c r="K31" t="str">
        <v>3.57</v>
      </c>
      <c r="L31" t="str">
        <v>3.75</v>
      </c>
      <c r="M31" t="str">
        <v>3.95</v>
      </c>
      <c r="N31" t="str">
        <v>4.18</v>
      </c>
      <c r="O31" t="str">
        <v>4.77</v>
      </c>
      <c r="P31" t="str">
        <v>4.83</v>
      </c>
    </row>
    <row r="32" spans="2:16">
      <c r="B32" t="str">
        <v>01/12/2026</v>
      </c>
      <c r="C32" t="str">
        <v>3.71</v>
      </c>
      <c r="D32" t="str">
        <v>3.68</v>
      </c>
      <c r="E32" t="str">
        <v>3.64</v>
      </c>
      <c r="F32" t="str">
        <v>3.67</v>
      </c>
      <c r="G32" t="str">
        <v>3.63</v>
      </c>
      <c r="H32" t="str">
        <v>3.58</v>
      </c>
      <c r="I32" t="str">
        <v>3.53</v>
      </c>
      <c r="J32" t="str">
        <v>3.54</v>
      </c>
      <c r="K32" t="str">
        <v>3.59</v>
      </c>
      <c r="L32" t="str">
        <v>3.77</v>
      </c>
      <c r="M32" t="str">
        <v>3.97</v>
      </c>
      <c r="N32" t="str">
        <v>4.19</v>
      </c>
      <c r="O32" t="str">
        <v>4.78</v>
      </c>
      <c r="P32" t="str">
        <v>4.83</v>
      </c>
    </row>
    <row r="33" spans="2:16">
      <c r="B33" t="str">
        <v>01/09/2026</v>
      </c>
      <c r="C33" t="str">
        <v>3.70</v>
      </c>
      <c r="D33" t="str">
        <v>3.68</v>
      </c>
      <c r="E33" t="str">
        <v>3.63</v>
      </c>
      <c r="F33" t="str">
        <v>3.62</v>
      </c>
      <c r="G33" t="str">
        <v>3.62</v>
      </c>
      <c r="H33" t="str">
        <v>3.57</v>
      </c>
      <c r="I33" t="str">
        <v>3.52</v>
      </c>
      <c r="J33" t="str">
        <v>3.54</v>
      </c>
      <c r="K33" t="str">
        <v>3.59</v>
      </c>
      <c r="L33" t="str">
        <v>3.75</v>
      </c>
      <c r="M33" t="str">
        <v>3.95</v>
      </c>
      <c r="N33" t="str">
        <v>4.18</v>
      </c>
      <c r="O33" t="str">
        <v>4.76</v>
      </c>
      <c r="P33" t="str">
        <v>4.82</v>
      </c>
    </row>
    <row r="34" spans="2:16">
      <c r="B34" t="str">
        <v>01/08/2026</v>
      </c>
      <c r="C34" t="str">
        <v>3.70</v>
      </c>
      <c r="D34" t="str">
        <v>3.69</v>
      </c>
      <c r="E34" t="str">
        <v>3.63</v>
      </c>
      <c r="F34" t="str">
        <v>3.62</v>
      </c>
      <c r="G34" t="str">
        <v>3.60</v>
      </c>
      <c r="H34" t="str">
        <v>3.56</v>
      </c>
      <c r="I34" t="str">
        <v>3.48</v>
      </c>
      <c r="J34" t="str">
        <v>3.49</v>
      </c>
      <c r="K34" t="str">
        <v>3.56</v>
      </c>
      <c r="L34" t="str">
        <v>3.74</v>
      </c>
      <c r="M34" t="str">
        <v>3.95</v>
      </c>
      <c r="N34" t="str">
        <v>4.19</v>
      </c>
      <c r="O34" t="str">
        <v>4.79</v>
      </c>
      <c r="P34" t="str">
        <v>4.85</v>
      </c>
    </row>
    <row r="35" spans="2:16">
      <c r="B35" t="str">
        <v>01/07/2026</v>
      </c>
      <c r="C35" t="str">
        <v>3.70</v>
      </c>
      <c r="D35" t="str">
        <v>3.69</v>
      </c>
      <c r="E35" t="str">
        <v>3.60</v>
      </c>
      <c r="F35" t="str">
        <v>3.62</v>
      </c>
      <c r="G35" t="str">
        <v>3.60</v>
      </c>
      <c r="H35" t="str">
        <v>3.56</v>
      </c>
      <c r="I35" t="str">
        <v>3.48</v>
      </c>
      <c r="J35" t="str">
        <v>3.47</v>
      </c>
      <c r="K35" t="str">
        <v>3.53</v>
      </c>
      <c r="L35" t="str">
        <v>3.70</v>
      </c>
      <c r="M35" t="str">
        <v>3.91</v>
      </c>
      <c r="N35" t="str">
        <v>4.15</v>
      </c>
      <c r="O35" t="str">
        <v>4.76</v>
      </c>
      <c r="P35" t="str">
        <v>4.82</v>
      </c>
    </row>
    <row r="36" spans="2:16">
      <c r="B36" t="str">
        <v>01/06/2026</v>
      </c>
      <c r="C36" t="str">
        <v>3.70</v>
      </c>
      <c r="D36" t="str">
        <v>3.70</v>
      </c>
      <c r="E36" t="str">
        <v>3.61</v>
      </c>
      <c r="F36" t="str">
        <v>3.63</v>
      </c>
      <c r="G36" t="str">
        <v>3.58</v>
      </c>
      <c r="H36" t="str">
        <v>3.56</v>
      </c>
      <c r="I36" t="str">
        <v>3.48</v>
      </c>
      <c r="J36" t="str">
        <v>3.47</v>
      </c>
      <c r="K36" t="str">
        <v>3.54</v>
      </c>
      <c r="L36" t="str">
        <v>3.72</v>
      </c>
      <c r="M36" t="str">
        <v>3.93</v>
      </c>
      <c r="N36" t="str">
        <v>4.18</v>
      </c>
      <c r="O36" t="str">
        <v>4.80</v>
      </c>
      <c r="P36" t="str">
        <v>4.86</v>
      </c>
    </row>
    <row r="37" spans="2:16">
      <c r="B37" t="str">
        <v>01/05/2026</v>
      </c>
      <c r="C37" t="str">
        <v>3.71</v>
      </c>
      <c r="D37" t="str">
        <v>3.68</v>
      </c>
      <c r="E37" t="str">
        <v>3.64</v>
      </c>
      <c r="F37" t="str">
        <v>3.64</v>
      </c>
      <c r="G37" t="str">
        <v>3.61</v>
      </c>
      <c r="H37" t="str">
        <v>3.57</v>
      </c>
      <c r="I37" t="str">
        <v>3.47</v>
      </c>
      <c r="J37" t="str">
        <v>3.46</v>
      </c>
      <c r="K37" t="str">
        <v>3.53</v>
      </c>
      <c r="L37" t="str">
        <v>3.71</v>
      </c>
      <c r="M37" t="str">
        <v>3.92</v>
      </c>
      <c r="N37" t="str">
        <v>4.17</v>
      </c>
      <c r="O37" t="str">
        <v>4.79</v>
      </c>
      <c r="P37" t="str">
        <v>4.85</v>
      </c>
    </row>
    <row r="38" spans="2:16">
      <c r="B38" t="str">
        <v>01/02/2026</v>
      </c>
      <c r="C38" t="str">
        <v>3.72</v>
      </c>
      <c r="D38" t="str">
        <v>3.71</v>
      </c>
      <c r="E38" t="str">
        <v>3.66</v>
      </c>
      <c r="F38" t="str">
        <v>3.65</v>
      </c>
      <c r="G38" t="str">
        <v>3.62</v>
      </c>
      <c r="H38" t="str">
        <v>3.58</v>
      </c>
      <c r="I38" t="str">
        <v>3.47</v>
      </c>
      <c r="J38" t="str">
        <v>3.47</v>
      </c>
      <c r="K38" t="str">
        <v>3.55</v>
      </c>
      <c r="L38" t="str">
        <v>3.74</v>
      </c>
      <c r="M38" t="str">
        <v>3.95</v>
      </c>
      <c r="N38" t="str">
        <v>4.19</v>
      </c>
      <c r="O38" t="str">
        <v>4.81</v>
      </c>
      <c r="P38" t="str">
        <v>4.86</v>
      </c>
    </row>
  </sheetData>
  <phoneticPr fontId="5" type="noConversion"/>
  <hyperlinks>
    <hyperlink ref="B2" r:id="rId1" xr:uid="{A540E354-8D5C-4BE3-BEEC-45C6D363E1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2F35-77D5-4361-8DFB-2603DE31162A}">
  <dimension ref="B2:V13"/>
  <sheetViews>
    <sheetView workbookViewId="0">
      <selection activeCell="C6" sqref="C6"/>
    </sheetView>
  </sheetViews>
  <sheetFormatPr defaultRowHeight="17.5"/>
  <cols>
    <col min="3" max="3" width="12.3984375" bestFit="1" customWidth="1"/>
  </cols>
  <sheetData>
    <row r="2" spans="2:22">
      <c r="B2" s="3" t="s">
        <v>1</v>
      </c>
    </row>
    <row r="3" spans="2:22">
      <c r="B3" t="s">
        <v>27</v>
      </c>
      <c r="C3">
        <v>1</v>
      </c>
      <c r="D3">
        <v>2</v>
      </c>
      <c r="E3">
        <v>3</v>
      </c>
    </row>
    <row r="4" spans="2:22">
      <c r="C4">
        <f ca="1">RAND()</f>
        <v>0.61540961863510824</v>
      </c>
      <c r="D4">
        <f t="shared" ref="D4:E4" ca="1" si="0">RAND()</f>
        <v>5.2350253719193773E-2</v>
      </c>
      <c r="E4">
        <f t="shared" ca="1" si="0"/>
        <v>0.47171444995438705</v>
      </c>
    </row>
    <row r="5" spans="2:22">
      <c r="B5" s="2" t="s">
        <v>28</v>
      </c>
      <c r="C5" cm="1">
        <f t="array" aca="1" ref="C5" ca="1">_xll.\FI.INSTRUMENT(C3:E3,C4:E4)</f>
        <v>2543314103808</v>
      </c>
    </row>
    <row r="6" spans="2:22">
      <c r="B6" t="s">
        <v>29</v>
      </c>
      <c r="C6" cm="1">
        <f t="array" aca="1" ref="C6:E7" ca="1">_xll.FI.INSTRUMENT(C5)</f>
        <v>1</v>
      </c>
      <c r="D6">
        <f ca="1"/>
        <v>2</v>
      </c>
      <c r="E6">
        <f ca="1"/>
        <v>3</v>
      </c>
    </row>
    <row r="7" spans="2:22">
      <c r="C7">
        <f ca="1"/>
        <v>0.61540961863510824</v>
      </c>
      <c r="D7">
        <f ca="1"/>
        <v>5.2350253719193773E-2</v>
      </c>
      <c r="E7">
        <f ca="1"/>
        <v>0.47171444995438705</v>
      </c>
    </row>
    <row r="8" spans="2:22">
      <c r="B8" t="s">
        <v>30</v>
      </c>
      <c r="C8" cm="1">
        <f t="array" ref="C8">_xll.\FI.INSTRUMENT.ZERO_COUPON_BOND(1.2)</f>
        <v>2543466978880</v>
      </c>
    </row>
    <row r="9" spans="2:22">
      <c r="C9" cm="1">
        <f t="array" ref="C9:C10">_xll.FI.INSTRUMENT(C8)</f>
        <v>1.2</v>
      </c>
    </row>
    <row r="10" spans="2:22">
      <c r="C10">
        <v>1</v>
      </c>
    </row>
    <row r="11" spans="2:22">
      <c r="B11" t="s">
        <v>31</v>
      </c>
      <c r="C11" cm="1">
        <f t="array" ref="C11">_xll.\FI.INSTRUMENT.BOND(10,0.2,2)</f>
        <v>2543309113776</v>
      </c>
    </row>
    <row r="12" spans="2:22">
      <c r="C12" cm="1">
        <f t="array" ref="C12:V13">_xll.FI.INSTRUMENT(C11)</f>
        <v>0.5</v>
      </c>
      <c r="D12">
        <v>1</v>
      </c>
      <c r="E12">
        <v>1.5</v>
      </c>
      <c r="F12">
        <v>2</v>
      </c>
      <c r="G12">
        <v>2.5</v>
      </c>
      <c r="H12">
        <v>3</v>
      </c>
      <c r="I12">
        <v>3.5</v>
      </c>
      <c r="J12">
        <v>4</v>
      </c>
      <c r="K12">
        <v>4.5</v>
      </c>
      <c r="L12">
        <v>5</v>
      </c>
      <c r="M12">
        <v>5.5</v>
      </c>
      <c r="N12">
        <v>6</v>
      </c>
      <c r="O12">
        <v>6.5</v>
      </c>
      <c r="P12">
        <v>7</v>
      </c>
      <c r="Q12">
        <v>7.5</v>
      </c>
      <c r="R12">
        <v>8</v>
      </c>
      <c r="S12">
        <v>8.5</v>
      </c>
      <c r="T12">
        <v>9</v>
      </c>
      <c r="U12">
        <v>9.5</v>
      </c>
      <c r="V12">
        <v>10</v>
      </c>
    </row>
    <row r="13" spans="2:22"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1.1000000000000001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A35E-C248-4AE4-A2E8-7948ED4AA090}">
  <dimension ref="B2:D8"/>
  <sheetViews>
    <sheetView workbookViewId="0">
      <selection activeCell="B9" sqref="B9"/>
    </sheetView>
  </sheetViews>
  <sheetFormatPr defaultRowHeight="17.5"/>
  <cols>
    <col min="2" max="2" width="12.3984375" bestFit="1" customWidth="1"/>
  </cols>
  <sheetData>
    <row r="2" spans="2:4">
      <c r="B2" t="s">
        <v>2</v>
      </c>
    </row>
    <row r="4" spans="2:4">
      <c r="B4">
        <v>1</v>
      </c>
      <c r="C4">
        <v>2</v>
      </c>
      <c r="D4">
        <v>3</v>
      </c>
    </row>
    <row r="5" spans="2:4">
      <c r="B5">
        <f ca="1">RAND()</f>
        <v>0.4416263045918124</v>
      </c>
      <c r="C5">
        <f t="shared" ref="C5:D5" ca="1" si="0">RAND()</f>
        <v>6.5360880545606848E-2</v>
      </c>
      <c r="D5">
        <f t="shared" ca="1" si="0"/>
        <v>0.83454267384664427</v>
      </c>
    </row>
    <row r="6" spans="2:4">
      <c r="B6" cm="1">
        <f t="array" aca="1" ref="B6" ca="1">_xll.\FI.CURVE.PWFLAT(B4:D4,B5:D5)</f>
        <v>2543314107984</v>
      </c>
    </row>
    <row r="7" spans="2:4">
      <c r="B7" cm="1">
        <f t="array" aca="1" ref="B7:D8" ca="1">_xll.FI.CURVE.PWFLAT(B6)</f>
        <v>1</v>
      </c>
      <c r="C7">
        <f ca="1"/>
        <v>2</v>
      </c>
      <c r="D7">
        <f ca="1"/>
        <v>3</v>
      </c>
    </row>
    <row r="8" spans="2:4">
      <c r="B8">
        <f ca="1"/>
        <v>0.4416263045918124</v>
      </c>
      <c r="C8">
        <f ca="1"/>
        <v>6.5360880545606848E-2</v>
      </c>
      <c r="D8">
        <f ca="1"/>
        <v>0.83454267384664427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5B4B-30B9-4C78-A319-DEE69FDAA7AA}">
  <dimension ref="B2:L74"/>
  <sheetViews>
    <sheetView tabSelected="1" topLeftCell="B1" workbookViewId="0">
      <selection activeCell="K12" sqref="K12:K74"/>
    </sheetView>
  </sheetViews>
  <sheetFormatPr defaultRowHeight="17.5"/>
  <cols>
    <col min="6" max="6" width="12.3984375" bestFit="1" customWidth="1"/>
    <col min="8" max="8" width="12.3984375" bestFit="1" customWidth="1"/>
    <col min="10" max="11" width="12.3984375" bestFit="1" customWidth="1"/>
  </cols>
  <sheetData>
    <row r="2" spans="2:12">
      <c r="C2" s="7" t="s">
        <v>16</v>
      </c>
      <c r="D2" s="7" t="s">
        <v>17</v>
      </c>
      <c r="E2" s="7" t="s">
        <v>18</v>
      </c>
      <c r="F2" t="s">
        <v>19</v>
      </c>
      <c r="G2" s="2" t="s">
        <v>21</v>
      </c>
      <c r="H2" t="e" cm="1">
        <f t="array" ref="H2">_xll.\FI.CURVE.PWFLAT.BOOTSTRAP(F3:F16,E3:E16)</f>
        <v>#NUM!</v>
      </c>
    </row>
    <row r="3" spans="2:12">
      <c r="B3" s="2" t="s">
        <v>3</v>
      </c>
      <c r="C3" s="4">
        <f>1/12</f>
        <v>8.3333333333333329E-2</v>
      </c>
      <c r="D3">
        <v>3.7100000000000001E-2</v>
      </c>
      <c r="E3">
        <f>1-D3*C3/360</f>
        <v>0.99999141203703701</v>
      </c>
      <c r="F3" s="6" cm="1">
        <f t="array" ref="F3">_xll.\FI.INSTRUMENT.ZERO_COUPON_BOND(C3,E3)</f>
        <v>2543466956272</v>
      </c>
      <c r="G3" cm="1">
        <f t="array" ref="G3">_xll.\FI.CURVE.PWFLAT.BOOTSTRAP(F3,E3)</f>
        <v>2543469572752</v>
      </c>
    </row>
    <row r="4" spans="2:12">
      <c r="B4" s="2" t="s">
        <v>20</v>
      </c>
      <c r="C4">
        <f>1.5/12</f>
        <v>0.125</v>
      </c>
      <c r="D4">
        <v>3.7400000000000003E-2</v>
      </c>
      <c r="E4">
        <f t="shared" ref="E4:E9" si="0">1-D4*C4/360</f>
        <v>0.99998701388888889</v>
      </c>
      <c r="F4" s="6" cm="1">
        <f t="array" ref="F4">_xll.\FI.INSTRUMENT.ZERO_COUPON_BOND(C4,E4)</f>
        <v>2543470075552</v>
      </c>
      <c r="G4" t="e" cm="1">
        <f t="array" ref="G4">_xll.\FI.CURVE.PWFLAT.BOOTSTRAP(F4,E4)</f>
        <v>#NUM!</v>
      </c>
      <c r="I4" t="s">
        <v>26</v>
      </c>
    </row>
    <row r="5" spans="2:12">
      <c r="B5" s="2" t="s">
        <v>4</v>
      </c>
      <c r="C5" s="4">
        <f>2/12</f>
        <v>0.16666666666666666</v>
      </c>
      <c r="D5">
        <v>3.73E-2</v>
      </c>
      <c r="E5">
        <f t="shared" si="0"/>
        <v>0.99998273148148153</v>
      </c>
      <c r="F5" s="6" cm="1">
        <f t="array" ref="F5">_xll.\FI.INSTRUMENT.ZERO_COUPON_BOND(C5,E5)</f>
        <v>2543470068208</v>
      </c>
      <c r="G5" cm="1">
        <f t="array" ref="G5">_xll.\FI.CURVE.PWFLAT.BOOTSTRAP(F5,E5)</f>
        <v>2543314101648</v>
      </c>
      <c r="I5" s="7" t="s">
        <v>22</v>
      </c>
      <c r="J5" s="7" t="s">
        <v>23</v>
      </c>
      <c r="K5" s="7" t="s">
        <v>24</v>
      </c>
    </row>
    <row r="6" spans="2:12">
      <c r="B6" s="2" t="s">
        <v>5</v>
      </c>
      <c r="C6">
        <f>3/12</f>
        <v>0.25</v>
      </c>
      <c r="D6">
        <v>3.7000000000000005E-2</v>
      </c>
      <c r="E6">
        <f t="shared" si="0"/>
        <v>0.99997430555555555</v>
      </c>
      <c r="F6" s="6" cm="1">
        <f t="array" ref="F6">_xll.\FI.INSTRUMENT.ZERO_COUPON_BOND(C6,E6)</f>
        <v>2543470069792</v>
      </c>
      <c r="G6" cm="1">
        <f t="array" ref="G6">_xll.\FI.CURVE.PWFLAT.BOOTSTRAP(F6,E6)</f>
        <v>2543314100208</v>
      </c>
      <c r="H6">
        <v>0.1</v>
      </c>
      <c r="I6" cm="1">
        <f t="array" ref="I6:I74">_xlfn.VSTACK(_xlfn.SEQUENCE(1/H6,1,0,H6),_xlfn.SEQUENCE(1+29/H7,1,1,H7))</f>
        <v>0</v>
      </c>
      <c r="J6" t="e" cm="1">
        <f t="array" ref="J6">_xll.FI.CURVE.SPOT($H$2, I6)</f>
        <v>#VALUE!</v>
      </c>
      <c r="K6" t="e" cm="1">
        <f t="array" ref="K6">_xll.FI.CURVE.FORWARD($H$2, I6)</f>
        <v>#VALUE!</v>
      </c>
    </row>
    <row r="7" spans="2:12">
      <c r="B7" s="2" t="s">
        <v>6</v>
      </c>
      <c r="C7" s="5">
        <f>4/12</f>
        <v>0.33333333333333331</v>
      </c>
      <c r="D7">
        <v>3.7000000000000005E-2</v>
      </c>
      <c r="E7">
        <f t="shared" si="0"/>
        <v>0.99996574074074074</v>
      </c>
      <c r="F7" s="6" cm="1">
        <f t="array" ref="F7">_xll.\FI.INSTRUMENT.ZERO_COUPON_BOND(C7,E7)</f>
        <v>2543470070080</v>
      </c>
      <c r="G7" cm="1">
        <f t="array" ref="G7">_xll.\FI.CURVE.PWFLAT.BOOTSTRAP(F7,E7)</f>
        <v>2543314098336</v>
      </c>
      <c r="H7">
        <v>0.5</v>
      </c>
      <c r="I7">
        <v>0.1</v>
      </c>
      <c r="J7" t="e" cm="1">
        <f t="array" ref="J7">_xll.FI.CURVE.SPOT(I7,H2)</f>
        <v>#VALUE!</v>
      </c>
      <c r="K7" t="e" cm="1">
        <f t="array" ref="K7">_xll.FI.CURVE.FORWARD($H$2, I7)</f>
        <v>#VALUE!</v>
      </c>
    </row>
    <row r="8" spans="2:12">
      <c r="B8" s="2" t="s">
        <v>7</v>
      </c>
      <c r="C8">
        <f>6/12</f>
        <v>0.5</v>
      </c>
      <c r="D8">
        <v>3.6000000000000004E-2</v>
      </c>
      <c r="E8">
        <f t="shared" si="0"/>
        <v>0.99995000000000001</v>
      </c>
      <c r="F8" s="6" cm="1">
        <f t="array" ref="F8">_xll.\FI.INSTRUMENT.ZERO_COUPON_BOND(C8,E8)</f>
        <v>2543470069936</v>
      </c>
      <c r="G8" cm="1">
        <f t="array" ref="G8">_xll.\FI.CURVE.PWFLAT.BOOTSTRAP(F8,E8)</f>
        <v>2543314094736</v>
      </c>
      <c r="I8">
        <v>0.2</v>
      </c>
      <c r="J8" t="e" cm="1">
        <f t="array" ref="J8">_xll.FI.CURVE.SPOT(I8,H3)</f>
        <v>#NUM!</v>
      </c>
      <c r="K8" t="e" cm="1">
        <f t="array" ref="K8">_xll.FI.CURVE.FORWARD($H$2, I8)</f>
        <v>#VALUE!</v>
      </c>
    </row>
    <row r="9" spans="2:12">
      <c r="B9" s="2" t="s">
        <v>8</v>
      </c>
      <c r="C9">
        <v>1</v>
      </c>
      <c r="D9">
        <v>3.49E-2</v>
      </c>
      <c r="E9">
        <f t="shared" si="0"/>
        <v>0.99990305555555559</v>
      </c>
      <c r="F9" s="6" cm="1">
        <f t="array" ref="F9">_xll.\FI.INSTRUMENT.ZERO_COUPON_BOND(C9,E9)</f>
        <v>2543470069504</v>
      </c>
      <c r="G9" cm="1">
        <f t="array" ref="G9">_xll.\FI.CURVE.PWFLAT.BOOTSTRAP(F9,E9)</f>
        <v>2543314098768</v>
      </c>
      <c r="I9">
        <v>0.30000000000000004</v>
      </c>
      <c r="J9" t="e" cm="1">
        <f t="array" ref="J9">_xll.FI.CURVE.SPOT(I9,H4)</f>
        <v>#NUM!</v>
      </c>
      <c r="K9" t="e" cm="1">
        <f t="array" ref="K9">_xll.FI.CURVE.FORWARD($H$2, I9)</f>
        <v>#VALUE!</v>
      </c>
      <c r="L9" s="6" t="s">
        <v>25</v>
      </c>
    </row>
    <row r="10" spans="2:12">
      <c r="B10" s="2" t="s">
        <v>9</v>
      </c>
      <c r="C10">
        <v>2</v>
      </c>
      <c r="D10">
        <v>3.4700000000000002E-2</v>
      </c>
      <c r="E10">
        <v>1</v>
      </c>
      <c r="F10" s="6" cm="1">
        <f t="array" ref="F10">_xll.\FI.INSTRUMENT.BOND(C10,D10,2)</f>
        <v>2543406887072</v>
      </c>
      <c r="G10" cm="1">
        <f t="array" ref="G10">_xll.\FI.CURVE.PWFLAT.BOOTSTRAP(F10,E10)</f>
        <v>2542692008960</v>
      </c>
      <c r="I10">
        <v>0.4</v>
      </c>
      <c r="J10" t="e" cm="1">
        <f t="array" ref="J10">_xll.FI.CURVE.SPOT(I10,H5)</f>
        <v>#NUM!</v>
      </c>
      <c r="K10" t="e" cm="1">
        <f t="array" ref="K10">_xll.FI.CURVE.FORWARD($H$2, I10)</f>
        <v>#VALUE!</v>
      </c>
    </row>
    <row r="11" spans="2:12">
      <c r="B11" s="2" t="s">
        <v>10</v>
      </c>
      <c r="C11">
        <v>3</v>
      </c>
      <c r="D11">
        <v>3.5000000000000003E-2</v>
      </c>
      <c r="E11">
        <v>1</v>
      </c>
      <c r="F11" s="6" cm="1">
        <f t="array" ref="F11">_xll.\FI.INSTRUMENT.BOND(C11,D11,2)</f>
        <v>2543406888512</v>
      </c>
      <c r="G11" cm="1">
        <f t="array" ref="G11">_xll.\FI.CURVE.PWFLAT.BOOTSTRAP(F11,E11)</f>
        <v>2542691977568</v>
      </c>
      <c r="I11">
        <v>0.5</v>
      </c>
      <c r="J11" t="e" cm="1">
        <f t="array" ref="J11">_xll.FI.CURVE.SPOT(I11,H6)</f>
        <v>#NUM!</v>
      </c>
      <c r="K11" t="e" cm="1">
        <f t="array" ref="K11">_xll.FI.CURVE.FORWARD($H$2, I11)</f>
        <v>#VALUE!</v>
      </c>
    </row>
    <row r="12" spans="2:12">
      <c r="B12" s="2" t="s">
        <v>11</v>
      </c>
      <c r="C12">
        <v>5</v>
      </c>
      <c r="D12">
        <v>3.6600000000000001E-2</v>
      </c>
      <c r="E12">
        <v>1</v>
      </c>
      <c r="F12" s="6" cm="1">
        <f t="array" ref="F12">_xll.\FI.INSTRUMENT.BOND(C12,D12,2)</f>
        <v>2543406887712</v>
      </c>
      <c r="G12" cm="1">
        <f t="array" ref="G12">_xll.\FI.CURVE.PWFLAT.BOOTSTRAP(F12,E12)</f>
        <v>2542691975984</v>
      </c>
      <c r="I12">
        <v>0.6</v>
      </c>
      <c r="J12" t="e" cm="1">
        <f t="array" ref="J12">_xll.FI.CURVE.SPOT(I12,H7)</f>
        <v>#NUM!</v>
      </c>
      <c r="K12" t="e" cm="1">
        <f t="array" ref="K12">_xll.FI.CURVE.FORWARD($H$2, I12)</f>
        <v>#VALUE!</v>
      </c>
    </row>
    <row r="13" spans="2:12">
      <c r="B13" s="2" t="s">
        <v>12</v>
      </c>
      <c r="C13">
        <v>7</v>
      </c>
      <c r="D13">
        <v>3.8599999999999995E-2</v>
      </c>
      <c r="E13">
        <v>1</v>
      </c>
      <c r="F13" s="6" cm="1">
        <f t="array" ref="F13">_xll.\FI.INSTRUMENT.BOND(C13,D13,2)</f>
        <v>2543406887392</v>
      </c>
      <c r="G13" cm="1">
        <f t="array" ref="G13">_xll.\FI.CURVE.PWFLAT.BOOTSTRAP(F13,E13)</f>
        <v>2542691972528</v>
      </c>
      <c r="I13">
        <v>0.7</v>
      </c>
      <c r="J13" t="e" cm="1">
        <f t="array" ref="J13">_xll.FI.CURVE.SPOT(I13,H8)</f>
        <v>#NUM!</v>
      </c>
      <c r="K13" t="e" cm="1">
        <f t="array" ref="K13">_xll.FI.CURVE.FORWARD($H$2, I13)</f>
        <v>#VALUE!</v>
      </c>
    </row>
    <row r="14" spans="2:12">
      <c r="B14" s="2" t="s">
        <v>13</v>
      </c>
      <c r="C14">
        <v>10</v>
      </c>
      <c r="D14">
        <v>4.0899999999999999E-2</v>
      </c>
      <c r="E14">
        <v>1</v>
      </c>
      <c r="F14" s="6" cm="1">
        <f t="array" ref="F14">_xll.\FI.INSTRUMENT.BOND(C14,D14,2)</f>
        <v>2543406894592</v>
      </c>
      <c r="G14" cm="1">
        <f t="array" ref="G14">_xll.\FI.CURVE.PWFLAT.BOOTSTRAP(F14,E14)</f>
        <v>2542691973968</v>
      </c>
      <c r="I14">
        <v>0.79999999999999993</v>
      </c>
      <c r="J14" t="e" cm="1">
        <f t="array" ref="J14">_xll.FI.CURVE.SPOT(I14,H9)</f>
        <v>#NUM!</v>
      </c>
      <c r="K14" t="e" cm="1">
        <f t="array" ref="K14">_xll.FI.CURVE.FORWARD($H$2, I14)</f>
        <v>#VALUE!</v>
      </c>
    </row>
    <row r="15" spans="2:12">
      <c r="B15" s="2" t="s">
        <v>14</v>
      </c>
      <c r="C15">
        <v>20</v>
      </c>
      <c r="D15">
        <v>4.6500000000000007E-2</v>
      </c>
      <c r="E15">
        <v>1</v>
      </c>
      <c r="F15" s="6" cm="1">
        <f t="array" ref="F15">_xll.\FI.INSTRUMENT.BOND(C15,D15,2)</f>
        <v>2543406894912</v>
      </c>
      <c r="G15" cm="1">
        <f t="array" ref="G15">_xll.\FI.CURVE.PWFLAT.BOOTSTRAP(F15,E15)</f>
        <v>2542691973680</v>
      </c>
      <c r="I15">
        <v>0.89999999999999991</v>
      </c>
      <c r="J15" t="e" cm="1">
        <f t="array" ref="J15">_xll.FI.CURVE.SPOT(I15,H10)</f>
        <v>#NUM!</v>
      </c>
      <c r="K15" t="e" cm="1">
        <f t="array" ref="K15">_xll.FI.CURVE.FORWARD($H$2, I15)</f>
        <v>#VALUE!</v>
      </c>
    </row>
    <row r="16" spans="2:12">
      <c r="B16" s="2" t="s">
        <v>15</v>
      </c>
      <c r="C16">
        <v>30</v>
      </c>
      <c r="D16">
        <v>4.7100000000000003E-2</v>
      </c>
      <c r="E16">
        <v>1</v>
      </c>
      <c r="F16" s="6" cm="1">
        <f t="array" ref="F16">_xll.\FI.INSTRUMENT.BOND(C16,D16,2)</f>
        <v>2543406890272</v>
      </c>
      <c r="G16" cm="1">
        <f t="array" ref="G16">_xll.\FI.CURVE.PWFLAT.BOOTSTRAP(F16,E16)</f>
        <v>2542691975120</v>
      </c>
      <c r="I16">
        <v>1</v>
      </c>
      <c r="J16" t="e" cm="1">
        <f t="array" ref="J16">_xll.FI.CURVE.SPOT(I16,H11)</f>
        <v>#NUM!</v>
      </c>
      <c r="K16" t="e" cm="1">
        <f t="array" ref="K16">_xll.FI.CURVE.FORWARD($H$2, I16)</f>
        <v>#VALUE!</v>
      </c>
    </row>
    <row r="17" spans="9:11">
      <c r="I17">
        <v>1.5</v>
      </c>
      <c r="J17" t="e" cm="1">
        <f t="array" ref="J17">_xll.FI.CURVE.SPOT(I17,H12)</f>
        <v>#NUM!</v>
      </c>
      <c r="K17" t="e" cm="1">
        <f t="array" ref="K17">_xll.FI.CURVE.FORWARD($H$2, I17)</f>
        <v>#VALUE!</v>
      </c>
    </row>
    <row r="18" spans="9:11">
      <c r="I18">
        <v>2</v>
      </c>
      <c r="J18" t="e" cm="1">
        <f t="array" ref="J18">_xll.FI.CURVE.SPOT(I18,H13)</f>
        <v>#NUM!</v>
      </c>
      <c r="K18" t="e" cm="1">
        <f t="array" ref="K18">_xll.FI.CURVE.FORWARD($H$2, I18)</f>
        <v>#VALUE!</v>
      </c>
    </row>
    <row r="19" spans="9:11">
      <c r="I19">
        <v>2.5</v>
      </c>
      <c r="J19" t="e" cm="1">
        <f t="array" ref="J19">_xll.FI.CURVE.SPOT(I19,H14)</f>
        <v>#NUM!</v>
      </c>
      <c r="K19" t="e" cm="1">
        <f t="array" ref="K19">_xll.FI.CURVE.FORWARD($H$2, I19)</f>
        <v>#VALUE!</v>
      </c>
    </row>
    <row r="20" spans="9:11">
      <c r="I20">
        <v>3</v>
      </c>
      <c r="J20" t="e" cm="1">
        <f t="array" ref="J20">_xll.FI.CURVE.SPOT(I20,H15)</f>
        <v>#NUM!</v>
      </c>
      <c r="K20" t="e" cm="1">
        <f t="array" ref="K20">_xll.FI.CURVE.FORWARD($H$2, I20)</f>
        <v>#VALUE!</v>
      </c>
    </row>
    <row r="21" spans="9:11">
      <c r="I21">
        <v>3.5</v>
      </c>
      <c r="J21" t="e" cm="1">
        <f t="array" ref="J21">_xll.FI.CURVE.SPOT(I21,H16)</f>
        <v>#NUM!</v>
      </c>
      <c r="K21" t="e" cm="1">
        <f t="array" ref="K21">_xll.FI.CURVE.FORWARD($H$2, I21)</f>
        <v>#VALUE!</v>
      </c>
    </row>
    <row r="22" spans="9:11">
      <c r="I22">
        <v>4</v>
      </c>
      <c r="J22" t="e" cm="1">
        <f t="array" ref="J22">_xll.FI.CURVE.SPOT(I22,H17)</f>
        <v>#NUM!</v>
      </c>
      <c r="K22" t="e" cm="1">
        <f t="array" ref="K22">_xll.FI.CURVE.FORWARD($H$2, I22)</f>
        <v>#VALUE!</v>
      </c>
    </row>
    <row r="23" spans="9:11">
      <c r="I23">
        <v>4.5</v>
      </c>
      <c r="J23" t="e" cm="1">
        <f t="array" ref="J23">_xll.FI.CURVE.SPOT(I23,H18)</f>
        <v>#NUM!</v>
      </c>
      <c r="K23" t="e" cm="1">
        <f t="array" ref="K23">_xll.FI.CURVE.FORWARD($H$2, I23)</f>
        <v>#VALUE!</v>
      </c>
    </row>
    <row r="24" spans="9:11">
      <c r="I24">
        <v>5</v>
      </c>
      <c r="J24" t="e" cm="1">
        <f t="array" ref="J24">_xll.FI.CURVE.SPOT(I24,H19)</f>
        <v>#NUM!</v>
      </c>
      <c r="K24" t="e" cm="1">
        <f t="array" ref="K24">_xll.FI.CURVE.FORWARD($H$2, I24)</f>
        <v>#VALUE!</v>
      </c>
    </row>
    <row r="25" spans="9:11">
      <c r="I25">
        <v>5.5</v>
      </c>
      <c r="J25" t="e" cm="1">
        <f t="array" ref="J25">_xll.FI.CURVE.SPOT(I25,H20)</f>
        <v>#NUM!</v>
      </c>
      <c r="K25" t="e" cm="1">
        <f t="array" ref="K25">_xll.FI.CURVE.FORWARD($H$2, I25)</f>
        <v>#VALUE!</v>
      </c>
    </row>
    <row r="26" spans="9:11">
      <c r="I26">
        <v>6</v>
      </c>
      <c r="J26" t="e" cm="1">
        <f t="array" ref="J26">_xll.FI.CURVE.SPOT(I26,H21)</f>
        <v>#NUM!</v>
      </c>
      <c r="K26" t="e" cm="1">
        <f t="array" ref="K26">_xll.FI.CURVE.FORWARD($H$2, I26)</f>
        <v>#VALUE!</v>
      </c>
    </row>
    <row r="27" spans="9:11">
      <c r="I27">
        <v>6.5</v>
      </c>
      <c r="J27" t="e" cm="1">
        <f t="array" ref="J27">_xll.FI.CURVE.SPOT(I27,H22)</f>
        <v>#NUM!</v>
      </c>
      <c r="K27" t="e" cm="1">
        <f t="array" ref="K27">_xll.FI.CURVE.FORWARD($H$2, I27)</f>
        <v>#VALUE!</v>
      </c>
    </row>
    <row r="28" spans="9:11">
      <c r="I28">
        <v>7</v>
      </c>
      <c r="J28" t="e" cm="1">
        <f t="array" ref="J28">_xll.FI.CURVE.SPOT(I28,H23)</f>
        <v>#NUM!</v>
      </c>
      <c r="K28" t="e" cm="1">
        <f t="array" ref="K28">_xll.FI.CURVE.FORWARD($H$2, I28)</f>
        <v>#VALUE!</v>
      </c>
    </row>
    <row r="29" spans="9:11">
      <c r="I29">
        <v>7.5</v>
      </c>
      <c r="J29" t="e" cm="1">
        <f t="array" ref="J29">_xll.FI.CURVE.SPOT(I29,H24)</f>
        <v>#NUM!</v>
      </c>
      <c r="K29" t="e" cm="1">
        <f t="array" ref="K29">_xll.FI.CURVE.FORWARD($H$2, I29)</f>
        <v>#VALUE!</v>
      </c>
    </row>
    <row r="30" spans="9:11">
      <c r="I30">
        <v>8</v>
      </c>
      <c r="J30" t="e" cm="1">
        <f t="array" ref="J30">_xll.FI.CURVE.SPOT(I30,H25)</f>
        <v>#NUM!</v>
      </c>
      <c r="K30" t="e" cm="1">
        <f t="array" ref="K30">_xll.FI.CURVE.FORWARD($H$2, I30)</f>
        <v>#VALUE!</v>
      </c>
    </row>
    <row r="31" spans="9:11">
      <c r="I31">
        <v>8.5</v>
      </c>
      <c r="J31" t="e" cm="1">
        <f t="array" ref="J31">_xll.FI.CURVE.SPOT(I31,H26)</f>
        <v>#NUM!</v>
      </c>
      <c r="K31" t="e" cm="1">
        <f t="array" ref="K31">_xll.FI.CURVE.FORWARD($H$2, I31)</f>
        <v>#VALUE!</v>
      </c>
    </row>
    <row r="32" spans="9:11">
      <c r="I32">
        <v>9</v>
      </c>
      <c r="J32" t="e" cm="1">
        <f t="array" ref="J32">_xll.FI.CURVE.SPOT(I32,H27)</f>
        <v>#NUM!</v>
      </c>
      <c r="K32" t="e" cm="1">
        <f t="array" ref="K32">_xll.FI.CURVE.FORWARD($H$2, I32)</f>
        <v>#VALUE!</v>
      </c>
    </row>
    <row r="33" spans="9:11">
      <c r="I33">
        <v>9.5</v>
      </c>
      <c r="J33" t="e" cm="1">
        <f t="array" ref="J33">_xll.FI.CURVE.SPOT(I33,H28)</f>
        <v>#NUM!</v>
      </c>
      <c r="K33" t="e" cm="1">
        <f t="array" ref="K33">_xll.FI.CURVE.FORWARD($H$2, I33)</f>
        <v>#VALUE!</v>
      </c>
    </row>
    <row r="34" spans="9:11">
      <c r="I34">
        <v>10</v>
      </c>
      <c r="J34" t="e" cm="1">
        <f t="array" ref="J34">_xll.FI.CURVE.SPOT(I34,H29)</f>
        <v>#NUM!</v>
      </c>
      <c r="K34" t="e" cm="1">
        <f t="array" ref="K34">_xll.FI.CURVE.FORWARD($H$2, I34)</f>
        <v>#VALUE!</v>
      </c>
    </row>
    <row r="35" spans="9:11">
      <c r="I35">
        <v>10.5</v>
      </c>
      <c r="J35" t="e" cm="1">
        <f t="array" ref="J35">_xll.FI.CURVE.SPOT(I35,H30)</f>
        <v>#NUM!</v>
      </c>
      <c r="K35" t="e" cm="1">
        <f t="array" ref="K35">_xll.FI.CURVE.FORWARD($H$2, I35)</f>
        <v>#VALUE!</v>
      </c>
    </row>
    <row r="36" spans="9:11">
      <c r="I36">
        <v>11</v>
      </c>
      <c r="J36" t="e" cm="1">
        <f t="array" ref="J36">_xll.FI.CURVE.SPOT(I36,H31)</f>
        <v>#NUM!</v>
      </c>
      <c r="K36" t="e" cm="1">
        <f t="array" ref="K36">_xll.FI.CURVE.FORWARD($H$2, I36)</f>
        <v>#VALUE!</v>
      </c>
    </row>
    <row r="37" spans="9:11">
      <c r="I37">
        <v>11.5</v>
      </c>
      <c r="J37" t="e" cm="1">
        <f t="array" ref="J37">_xll.FI.CURVE.SPOT(I37,H32)</f>
        <v>#NUM!</v>
      </c>
      <c r="K37" t="e" cm="1">
        <f t="array" ref="K37">_xll.FI.CURVE.FORWARD($H$2, I37)</f>
        <v>#VALUE!</v>
      </c>
    </row>
    <row r="38" spans="9:11">
      <c r="I38">
        <v>12</v>
      </c>
      <c r="J38" t="e" cm="1">
        <f t="array" ref="J38">_xll.FI.CURVE.SPOT(I38,H33)</f>
        <v>#NUM!</v>
      </c>
      <c r="K38" t="e" cm="1">
        <f t="array" ref="K38">_xll.FI.CURVE.FORWARD($H$2, I38)</f>
        <v>#VALUE!</v>
      </c>
    </row>
    <row r="39" spans="9:11">
      <c r="I39">
        <v>12.5</v>
      </c>
      <c r="J39" t="e" cm="1">
        <f t="array" ref="J39">_xll.FI.CURVE.SPOT(I39,H34)</f>
        <v>#NUM!</v>
      </c>
      <c r="K39" t="e" cm="1">
        <f t="array" ref="K39">_xll.FI.CURVE.FORWARD($H$2, I39)</f>
        <v>#VALUE!</v>
      </c>
    </row>
    <row r="40" spans="9:11">
      <c r="I40">
        <v>13</v>
      </c>
      <c r="J40" t="e" cm="1">
        <f t="array" ref="J40">_xll.FI.CURVE.SPOT(I40,H35)</f>
        <v>#NUM!</v>
      </c>
      <c r="K40" t="e" cm="1">
        <f t="array" ref="K40">_xll.FI.CURVE.FORWARD($H$2, I40)</f>
        <v>#VALUE!</v>
      </c>
    </row>
    <row r="41" spans="9:11">
      <c r="I41">
        <v>13.5</v>
      </c>
      <c r="J41" t="e" cm="1">
        <f t="array" ref="J41">_xll.FI.CURVE.SPOT(I41,H36)</f>
        <v>#NUM!</v>
      </c>
      <c r="K41" t="e" cm="1">
        <f t="array" ref="K41">_xll.FI.CURVE.FORWARD($H$2, I41)</f>
        <v>#VALUE!</v>
      </c>
    </row>
    <row r="42" spans="9:11">
      <c r="I42">
        <v>14</v>
      </c>
      <c r="J42" t="e" cm="1">
        <f t="array" ref="J42">_xll.FI.CURVE.SPOT(I42,H37)</f>
        <v>#NUM!</v>
      </c>
      <c r="K42" t="e" cm="1">
        <f t="array" ref="K42">_xll.FI.CURVE.FORWARD($H$2, I42)</f>
        <v>#VALUE!</v>
      </c>
    </row>
    <row r="43" spans="9:11">
      <c r="I43">
        <v>14.5</v>
      </c>
      <c r="J43" t="e" cm="1">
        <f t="array" ref="J43">_xll.FI.CURVE.SPOT(I43,H38)</f>
        <v>#NUM!</v>
      </c>
      <c r="K43" t="e" cm="1">
        <f t="array" ref="K43">_xll.FI.CURVE.FORWARD($H$2, I43)</f>
        <v>#VALUE!</v>
      </c>
    </row>
    <row r="44" spans="9:11">
      <c r="I44">
        <v>15</v>
      </c>
      <c r="J44" t="e" cm="1">
        <f t="array" ref="J44">_xll.FI.CURVE.SPOT(I44,H39)</f>
        <v>#NUM!</v>
      </c>
      <c r="K44" t="e" cm="1">
        <f t="array" ref="K44">_xll.FI.CURVE.FORWARD($H$2, I44)</f>
        <v>#VALUE!</v>
      </c>
    </row>
    <row r="45" spans="9:11">
      <c r="I45">
        <v>15.5</v>
      </c>
      <c r="J45" t="e" cm="1">
        <f t="array" ref="J45">_xll.FI.CURVE.SPOT(I45,H40)</f>
        <v>#NUM!</v>
      </c>
      <c r="K45" t="e" cm="1">
        <f t="array" ref="K45">_xll.FI.CURVE.FORWARD($H$2, I45)</f>
        <v>#VALUE!</v>
      </c>
    </row>
    <row r="46" spans="9:11">
      <c r="I46">
        <v>16</v>
      </c>
      <c r="J46" t="e" cm="1">
        <f t="array" ref="J46">_xll.FI.CURVE.SPOT(I46,H41)</f>
        <v>#NUM!</v>
      </c>
      <c r="K46" t="e" cm="1">
        <f t="array" ref="K46">_xll.FI.CURVE.FORWARD($H$2, I46)</f>
        <v>#VALUE!</v>
      </c>
    </row>
    <row r="47" spans="9:11">
      <c r="I47">
        <v>16.5</v>
      </c>
      <c r="J47" t="e" cm="1">
        <f t="array" ref="J47">_xll.FI.CURVE.SPOT(I47,H42)</f>
        <v>#NUM!</v>
      </c>
      <c r="K47" t="e" cm="1">
        <f t="array" ref="K47">_xll.FI.CURVE.FORWARD($H$2, I47)</f>
        <v>#VALUE!</v>
      </c>
    </row>
    <row r="48" spans="9:11">
      <c r="I48">
        <v>17</v>
      </c>
      <c r="J48" t="e" cm="1">
        <f t="array" ref="J48">_xll.FI.CURVE.SPOT(I48,H43)</f>
        <v>#NUM!</v>
      </c>
      <c r="K48" t="e" cm="1">
        <f t="array" ref="K48">_xll.FI.CURVE.FORWARD($H$2, I48)</f>
        <v>#VALUE!</v>
      </c>
    </row>
    <row r="49" spans="9:11">
      <c r="I49">
        <v>17.5</v>
      </c>
      <c r="J49" t="e" cm="1">
        <f t="array" ref="J49">_xll.FI.CURVE.SPOT(I49,H44)</f>
        <v>#NUM!</v>
      </c>
      <c r="K49" t="e" cm="1">
        <f t="array" ref="K49">_xll.FI.CURVE.FORWARD($H$2, I49)</f>
        <v>#VALUE!</v>
      </c>
    </row>
    <row r="50" spans="9:11">
      <c r="I50">
        <v>18</v>
      </c>
      <c r="J50" t="e" cm="1">
        <f t="array" ref="J50">_xll.FI.CURVE.SPOT(I50,H45)</f>
        <v>#NUM!</v>
      </c>
      <c r="K50" t="e" cm="1">
        <f t="array" ref="K50">_xll.FI.CURVE.FORWARD($H$2, I50)</f>
        <v>#VALUE!</v>
      </c>
    </row>
    <row r="51" spans="9:11">
      <c r="I51">
        <v>18.5</v>
      </c>
      <c r="J51" t="e" cm="1">
        <f t="array" ref="J51">_xll.FI.CURVE.SPOT(I51,H46)</f>
        <v>#NUM!</v>
      </c>
      <c r="K51" t="e" cm="1">
        <f t="array" ref="K51">_xll.FI.CURVE.FORWARD($H$2, I51)</f>
        <v>#VALUE!</v>
      </c>
    </row>
    <row r="52" spans="9:11">
      <c r="I52">
        <v>19</v>
      </c>
      <c r="J52" t="e" cm="1">
        <f t="array" ref="J52">_xll.FI.CURVE.SPOT(I52,H47)</f>
        <v>#NUM!</v>
      </c>
      <c r="K52" t="e" cm="1">
        <f t="array" ref="K52">_xll.FI.CURVE.FORWARD($H$2, I52)</f>
        <v>#VALUE!</v>
      </c>
    </row>
    <row r="53" spans="9:11">
      <c r="I53">
        <v>19.5</v>
      </c>
      <c r="J53" t="e" cm="1">
        <f t="array" ref="J53">_xll.FI.CURVE.SPOT(I53,H48)</f>
        <v>#NUM!</v>
      </c>
      <c r="K53" t="e" cm="1">
        <f t="array" ref="K53">_xll.FI.CURVE.FORWARD($H$2, I53)</f>
        <v>#VALUE!</v>
      </c>
    </row>
    <row r="54" spans="9:11">
      <c r="I54">
        <v>20</v>
      </c>
      <c r="J54" t="e" cm="1">
        <f t="array" ref="J54">_xll.FI.CURVE.SPOT(I54,H49)</f>
        <v>#NUM!</v>
      </c>
      <c r="K54" t="e" cm="1">
        <f t="array" ref="K54">_xll.FI.CURVE.FORWARD($H$2, I54)</f>
        <v>#VALUE!</v>
      </c>
    </row>
    <row r="55" spans="9:11">
      <c r="I55">
        <v>20.5</v>
      </c>
      <c r="J55" t="e" cm="1">
        <f t="array" ref="J55">_xll.FI.CURVE.SPOT(I55,H50)</f>
        <v>#NUM!</v>
      </c>
      <c r="K55" t="e" cm="1">
        <f t="array" ref="K55">_xll.FI.CURVE.FORWARD($H$2, I55)</f>
        <v>#VALUE!</v>
      </c>
    </row>
    <row r="56" spans="9:11">
      <c r="I56">
        <v>21</v>
      </c>
      <c r="J56" t="e" cm="1">
        <f t="array" ref="J56">_xll.FI.CURVE.SPOT(I56,H51)</f>
        <v>#NUM!</v>
      </c>
      <c r="K56" t="e" cm="1">
        <f t="array" ref="K56">_xll.FI.CURVE.FORWARD($H$2, I56)</f>
        <v>#VALUE!</v>
      </c>
    </row>
    <row r="57" spans="9:11">
      <c r="I57">
        <v>21.5</v>
      </c>
      <c r="J57" t="e" cm="1">
        <f t="array" ref="J57">_xll.FI.CURVE.SPOT(I57,H52)</f>
        <v>#NUM!</v>
      </c>
      <c r="K57" t="e" cm="1">
        <f t="array" ref="K57">_xll.FI.CURVE.FORWARD($H$2, I57)</f>
        <v>#VALUE!</v>
      </c>
    </row>
    <row r="58" spans="9:11">
      <c r="I58">
        <v>22</v>
      </c>
      <c r="J58" t="e" cm="1">
        <f t="array" ref="J58">_xll.FI.CURVE.SPOT(I58,H53)</f>
        <v>#NUM!</v>
      </c>
      <c r="K58" t="e" cm="1">
        <f t="array" ref="K58">_xll.FI.CURVE.FORWARD($H$2, I58)</f>
        <v>#VALUE!</v>
      </c>
    </row>
    <row r="59" spans="9:11">
      <c r="I59">
        <v>22.5</v>
      </c>
      <c r="J59" t="e" cm="1">
        <f t="array" ref="J59">_xll.FI.CURVE.SPOT(I59,H54)</f>
        <v>#NUM!</v>
      </c>
      <c r="K59" t="e" cm="1">
        <f t="array" ref="K59">_xll.FI.CURVE.FORWARD($H$2, I59)</f>
        <v>#VALUE!</v>
      </c>
    </row>
    <row r="60" spans="9:11">
      <c r="I60">
        <v>23</v>
      </c>
      <c r="J60" t="e" cm="1">
        <f t="array" ref="J60">_xll.FI.CURVE.SPOT(I60,H55)</f>
        <v>#NUM!</v>
      </c>
      <c r="K60" t="e" cm="1">
        <f t="array" ref="K60">_xll.FI.CURVE.FORWARD($H$2, I60)</f>
        <v>#VALUE!</v>
      </c>
    </row>
    <row r="61" spans="9:11">
      <c r="I61">
        <v>23.5</v>
      </c>
      <c r="J61" t="e" cm="1">
        <f t="array" ref="J61">_xll.FI.CURVE.SPOT(I61,H56)</f>
        <v>#NUM!</v>
      </c>
      <c r="K61" t="e" cm="1">
        <f t="array" ref="K61">_xll.FI.CURVE.FORWARD($H$2, I61)</f>
        <v>#VALUE!</v>
      </c>
    </row>
    <row r="62" spans="9:11">
      <c r="I62">
        <v>24</v>
      </c>
      <c r="J62" t="e" cm="1">
        <f t="array" ref="J62">_xll.FI.CURVE.SPOT(I62,H57)</f>
        <v>#NUM!</v>
      </c>
      <c r="K62" t="e" cm="1">
        <f t="array" ref="K62">_xll.FI.CURVE.FORWARD($H$2, I62)</f>
        <v>#VALUE!</v>
      </c>
    </row>
    <row r="63" spans="9:11">
      <c r="I63">
        <v>24.5</v>
      </c>
      <c r="J63" t="e" cm="1">
        <f t="array" ref="J63">_xll.FI.CURVE.SPOT(I63,H58)</f>
        <v>#NUM!</v>
      </c>
      <c r="K63" t="e" cm="1">
        <f t="array" ref="K63">_xll.FI.CURVE.FORWARD($H$2, I63)</f>
        <v>#VALUE!</v>
      </c>
    </row>
    <row r="64" spans="9:11">
      <c r="I64">
        <v>25</v>
      </c>
      <c r="J64" t="e" cm="1">
        <f t="array" ref="J64">_xll.FI.CURVE.SPOT(I64,H59)</f>
        <v>#NUM!</v>
      </c>
      <c r="K64" t="e" cm="1">
        <f t="array" ref="K64">_xll.FI.CURVE.FORWARD($H$2, I64)</f>
        <v>#VALUE!</v>
      </c>
    </row>
    <row r="65" spans="9:11">
      <c r="I65">
        <v>25.5</v>
      </c>
      <c r="J65" t="e" cm="1">
        <f t="array" ref="J65">_xll.FI.CURVE.SPOT(I65,H60)</f>
        <v>#NUM!</v>
      </c>
      <c r="K65" t="e" cm="1">
        <f t="array" ref="K65">_xll.FI.CURVE.FORWARD($H$2, I65)</f>
        <v>#VALUE!</v>
      </c>
    </row>
    <row r="66" spans="9:11">
      <c r="I66">
        <v>26</v>
      </c>
      <c r="J66" t="e" cm="1">
        <f t="array" ref="J66">_xll.FI.CURVE.SPOT(I66,H61)</f>
        <v>#NUM!</v>
      </c>
      <c r="K66" t="e" cm="1">
        <f t="array" ref="K66">_xll.FI.CURVE.FORWARD($H$2, I66)</f>
        <v>#VALUE!</v>
      </c>
    </row>
    <row r="67" spans="9:11">
      <c r="I67">
        <v>26.5</v>
      </c>
      <c r="J67" t="e" cm="1">
        <f t="array" ref="J67">_xll.FI.CURVE.SPOT(I67,H62)</f>
        <v>#NUM!</v>
      </c>
      <c r="K67" t="e" cm="1">
        <f t="array" ref="K67">_xll.FI.CURVE.FORWARD($H$2, I67)</f>
        <v>#VALUE!</v>
      </c>
    </row>
    <row r="68" spans="9:11">
      <c r="I68">
        <v>27</v>
      </c>
      <c r="J68" t="e" cm="1">
        <f t="array" ref="J68">_xll.FI.CURVE.SPOT(I68,H63)</f>
        <v>#NUM!</v>
      </c>
      <c r="K68" t="e" cm="1">
        <f t="array" ref="K68">_xll.FI.CURVE.FORWARD($H$2, I68)</f>
        <v>#VALUE!</v>
      </c>
    </row>
    <row r="69" spans="9:11">
      <c r="I69">
        <v>27.5</v>
      </c>
      <c r="J69" t="e" cm="1">
        <f t="array" ref="J69">_xll.FI.CURVE.SPOT(I69,H64)</f>
        <v>#NUM!</v>
      </c>
      <c r="K69" t="e" cm="1">
        <f t="array" ref="K69">_xll.FI.CURVE.FORWARD($H$2, I69)</f>
        <v>#VALUE!</v>
      </c>
    </row>
    <row r="70" spans="9:11">
      <c r="I70">
        <v>28</v>
      </c>
      <c r="J70" t="e" cm="1">
        <f t="array" ref="J70">_xll.FI.CURVE.SPOT(I70,H65)</f>
        <v>#NUM!</v>
      </c>
      <c r="K70" t="e" cm="1">
        <f t="array" ref="K70">_xll.FI.CURVE.FORWARD($H$2, I70)</f>
        <v>#VALUE!</v>
      </c>
    </row>
    <row r="71" spans="9:11">
      <c r="I71">
        <v>28.5</v>
      </c>
      <c r="J71" t="e" cm="1">
        <f t="array" ref="J71">_xll.FI.CURVE.SPOT(I71,H66)</f>
        <v>#NUM!</v>
      </c>
      <c r="K71" t="e" cm="1">
        <f t="array" ref="K71">_xll.FI.CURVE.FORWARD($H$2, I71)</f>
        <v>#VALUE!</v>
      </c>
    </row>
    <row r="72" spans="9:11">
      <c r="I72">
        <v>29</v>
      </c>
      <c r="J72" t="e" cm="1">
        <f t="array" ref="J72">_xll.FI.CURVE.SPOT(I72,H67)</f>
        <v>#NUM!</v>
      </c>
      <c r="K72" t="e" cm="1">
        <f t="array" ref="K72">_xll.FI.CURVE.FORWARD($H$2, I72)</f>
        <v>#VALUE!</v>
      </c>
    </row>
    <row r="73" spans="9:11">
      <c r="I73">
        <v>29.5</v>
      </c>
      <c r="J73" t="e" cm="1">
        <f t="array" ref="J73">_xll.FI.CURVE.SPOT(I73,H68)</f>
        <v>#NUM!</v>
      </c>
      <c r="K73" t="e" cm="1">
        <f t="array" ref="K73">_xll.FI.CURVE.FORWARD($H$2, I73)</f>
        <v>#VALUE!</v>
      </c>
    </row>
    <row r="74" spans="9:11">
      <c r="I74">
        <v>30</v>
      </c>
      <c r="J74" t="e" cm="1">
        <f t="array" ref="J74">_xll.FI.CURVE.SPOT(I74,H69)</f>
        <v>#NUM!</v>
      </c>
      <c r="K74" t="e" cm="1">
        <f t="array" ref="K74">_xll.FI.CURVE.FORWARD($H$2, I74)</f>
        <v>#VALUE!</v>
      </c>
    </row>
  </sheetData>
  <phoneticPr fontId="5" type="noConversion"/>
  <pageMargins left="0.7" right="0.7" top="0.75" bottom="0.75" header="0.3" footer="0.3"/>
  <ignoredErrors>
    <ignoredError sqref="C4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Treasury Rates</vt:lpstr>
      <vt:lpstr>Instrument</vt:lpstr>
      <vt:lpstr>Curve</vt:lpstr>
      <vt:lpstr>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zm h</cp:lastModifiedBy>
  <dcterms:created xsi:type="dcterms:W3CDTF">2026-02-18T22:45:22Z</dcterms:created>
  <dcterms:modified xsi:type="dcterms:W3CDTF">2026-02-24T17:53:58Z</dcterms:modified>
</cp:coreProperties>
</file>