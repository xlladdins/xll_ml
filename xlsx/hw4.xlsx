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easury Rates" sheetId="1" r:id="rId5"/>
    <sheet state="visible" name="Instrument" sheetId="2" r:id="rId6"/>
    <sheet state="visible" name="Curve" sheetId="3" r:id="rId7"/>
    <sheet state="visible" name="Bootstrap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Actual/360 convention
Check T-Bill quoting conventions.</t>
      </text>
    </comment>
  </commentList>
</comments>
</file>

<file path=xl/sharedStrings.xml><?xml version="1.0" encoding="utf-8"?>
<sst xmlns="http://schemas.openxmlformats.org/spreadsheetml/2006/main" count="34" uniqueCount="33">
  <si>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</si>
  <si>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</si>
  <si>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\FI.INSTRUMENT</t>
  </si>
  <si>
    <t>FI.INSTRUMENT</t>
  </si>
  <si>
    <t>ZERO_COUPON_BOND</t>
  </si>
  <si>
    <t>BOND</t>
  </si>
  <si>
    <t>Add examples for \FI.CURVE.PWFLAT and FI.CURVE.PWFLAT</t>
  </si>
  <si>
    <t>PWFLAT</t>
  </si>
  <si>
    <t>time</t>
  </si>
  <si>
    <t>rate</t>
  </si>
  <si>
    <t>price</t>
  </si>
  <si>
    <t>bill/bond</t>
  </si>
  <si>
    <t>bootstrap</t>
  </si>
  <si>
    <t>use \fi.ucurve.bootstrap</t>
  </si>
  <si>
    <t>1 Mo</t>
  </si>
  <si>
    <t>1.5 Mo</t>
  </si>
  <si>
    <t>plot curve here using pwflate.spot, forward</t>
  </si>
  <si>
    <t>2 Mo</t>
  </si>
  <si>
    <t>t</t>
  </si>
  <si>
    <t>spot</t>
  </si>
  <si>
    <t>forward</t>
  </si>
  <si>
    <t>3 Mo</t>
  </si>
  <si>
    <t>4 Mo</t>
  </si>
  <si>
    <t>6 Mo</t>
  </si>
  <si>
    <t>1 Yr</t>
  </si>
  <si>
    <t>insert graph</t>
  </si>
  <si>
    <t>2 Yr</t>
  </si>
  <si>
    <t>3 Yr</t>
  </si>
  <si>
    <t>5 Yr</t>
  </si>
  <si>
    <t>7 Yr</t>
  </si>
  <si>
    <t>10 Yr</t>
  </si>
  <si>
    <t>20 Yr</t>
  </si>
  <si>
    <t>30 Yr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</si>
</sst>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4">
    <font>
      <sz val="14.0"/>
      <color theme="1"/>
      <name val="Aptos Narrow"/>
      <scheme val="minor"/>
    </font>
    <font>
      <u/>
      <sz val="14.0"/>
      <color theme="10"/>
      <name val="Aptos Narrow"/>
    </font>
    <font>
      <color theme="1"/>
      <name val="Aptos Narrow"/>
      <scheme val="minor"/>
    </font>
    <font>
      <sz val="14.0"/>
      <color theme="1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</fills>
  <borders count="2"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right"/>
    </xf>
    <xf borderId="0" fillId="0" fontId="3" numFmtId="0" xfId="0" applyAlignment="1" applyFont="1">
      <alignment horizontal="center"/>
    </xf>
    <xf borderId="1" fillId="2" fontId="3" numFmtId="0" xfId="0" applyBorder="1" applyFill="1" applyFont="1"/>
    <xf borderId="0" fillId="0" fontId="3" numFmtId="2" xfId="0" applyFont="1" applyNumberFormat="1"/>
    <xf borderId="0" fillId="0" fontId="3" numFmtId="164" xfId="0" applyFont="1" applyNumberFormat="1"/>
    <xf borderId="1" fillId="2" fontId="3" numFmtId="2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9740231340472862"/>
          <c:y val="0.026883508720288465"/>
          <c:w val="0.8838912948381452"/>
          <c:h val="0.7127854330708662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97923681"/>
        <c:axId val="366096497"/>
      </c:scatterChart>
      <c:valAx>
        <c:axId val="197923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 rot="0"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66096497"/>
      </c:valAx>
      <c:valAx>
        <c:axId val="36609649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9792368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</xdr:colOff>
      <xdr:row>11</xdr:row>
      <xdr:rowOff>123825</xdr:rowOff>
    </xdr:from>
    <xdr:ext cx="4181475" cy="30575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26" width="8.5"/>
  </cols>
  <sheetData>
    <row r="1" ht="18.0" customHeight="1"/>
    <row r="2" ht="18.0" customHeight="1">
      <c r="B2" s="1" t="s">
        <v>0</v>
      </c>
    </row>
    <row r="3" ht="18.0" customHeight="1"/>
    <row r="4" ht="18.0" customHeight="1">
      <c r="B4" s="2" t="str">
        <f>WEBSERVICE(B2)</f>
        <v>#NAME?</v>
      </c>
    </row>
    <row r="5" ht="18.0" customHeight="1"/>
    <row r="6" ht="18.0" customHeight="1">
      <c r="B6" s="2" t="str">
        <f t="array" ref="B6">TEXTSPLIT(B4,",",CHAR(10))</f>
        <v>#NAME?</v>
      </c>
    </row>
    <row r="7" ht="18.0" customHeight="1"/>
    <row r="8" ht="18.0" customHeight="1"/>
    <row r="9" ht="18.0" customHeight="1"/>
    <row r="10" ht="18.0" customHeight="1"/>
    <row r="11" ht="18.0" customHeight="1"/>
    <row r="12" ht="18.0" customHeight="1"/>
    <row r="13" ht="18.0" customHeight="1"/>
    <row r="14" ht="18.0" customHeight="1"/>
    <row r="15" ht="18.0" customHeight="1"/>
    <row r="16" ht="18.0" customHeight="1"/>
    <row r="17" ht="18.0" customHeight="1"/>
    <row r="18" ht="18.0" customHeight="1"/>
    <row r="19" ht="18.0" customHeight="1"/>
    <row r="20" ht="18.0" customHeight="1"/>
    <row r="21" ht="18.0" customHeight="1"/>
    <row r="22" ht="18.0" customHeight="1"/>
    <row r="23" ht="18.0" customHeight="1"/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hyperlinks>
    <hyperlink r:id="rId1" ref="B2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2" width="8.5"/>
    <col customWidth="1" min="3" max="3" width="12.0"/>
    <col customWidth="1" min="4" max="26" width="8.5"/>
  </cols>
  <sheetData>
    <row r="1" ht="18.0" customHeight="1"/>
    <row r="2" ht="18.0" customHeight="1">
      <c r="B2" s="3" t="s">
        <v>1</v>
      </c>
    </row>
    <row r="3" ht="18.0" customHeight="1">
      <c r="B3" s="2">
        <v>1.0</v>
      </c>
      <c r="C3" s="2">
        <v>2.0</v>
      </c>
      <c r="D3" s="2">
        <v>3.0</v>
      </c>
      <c r="E3" s="2">
        <v>4.0</v>
      </c>
    </row>
    <row r="4" ht="18.0" customHeight="1">
      <c r="B4" s="4">
        <f t="shared" ref="B4:E4" si="1">RAND()</f>
        <v>0.06705134515</v>
      </c>
      <c r="C4" s="4">
        <f t="shared" si="1"/>
        <v>0.7992196999</v>
      </c>
      <c r="D4" s="4">
        <f t="shared" si="1"/>
        <v>0.7458123155</v>
      </c>
      <c r="E4" s="4">
        <f t="shared" si="1"/>
        <v>0.319111701</v>
      </c>
    </row>
    <row r="5" ht="18.0" customHeight="1"/>
    <row r="6" ht="18.0" customHeight="1"/>
    <row r="7" ht="18.0" customHeight="1">
      <c r="B7" s="2" t="s">
        <v>2</v>
      </c>
      <c r="C7" s="2" t="str">
        <f>ARRAY_CONSTRAIN(ARRAYFORMULA(_xll.\FI.INSTRUMENT(B3:E3,B4:E4)), 1, 1)</f>
        <v>#ERROR!</v>
      </c>
    </row>
    <row r="8" ht="18.0" customHeight="1"/>
    <row r="9" ht="18.0" customHeight="1">
      <c r="B9" s="2" t="s">
        <v>3</v>
      </c>
      <c r="C9" s="2" t="str">
        <f t="array" ref="C9">_xll.FI.INSTRUMENT(C7)</f>
        <v>#NAME?</v>
      </c>
    </row>
    <row r="10" ht="18.0" customHeight="1"/>
    <row r="11" ht="18.0" customHeight="1"/>
    <row r="12" ht="18.0" customHeight="1">
      <c r="B12" s="2" t="s">
        <v>4</v>
      </c>
      <c r="C12" s="2" t="str">
        <f>ARRAY_CONSTRAIN(ARRAYFORMULA(_xll.\FI.INSTRUMENT.ZERO_COUPON_BOND(1.5,1)), 1, 1)</f>
        <v>#ERROR!</v>
      </c>
    </row>
    <row r="13" ht="18.0" customHeight="1">
      <c r="B13" s="2" t="s">
        <v>5</v>
      </c>
      <c r="C13" s="2" t="str">
        <f>ARRAY_CONSTRAIN(ARRAYFORMULA(_xll.\FI.INSTRUMENT.BOND(5,0.1,4)), 1, 1)</f>
        <v>#ERROR!</v>
      </c>
    </row>
    <row r="14" ht="18.0" customHeight="1"/>
    <row r="15" ht="18.0" customHeight="1"/>
    <row r="16" ht="18.0" customHeight="1"/>
    <row r="17" ht="18.0" customHeight="1"/>
    <row r="18" ht="18.0" customHeight="1"/>
    <row r="19" ht="18.0" customHeight="1"/>
    <row r="20" ht="18.0" customHeight="1"/>
    <row r="21" ht="18.0" customHeight="1"/>
    <row r="22" ht="18.0" customHeight="1"/>
    <row r="23" ht="18.0" customHeight="1"/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8.5"/>
    <col customWidth="1" min="2" max="2" width="12.0"/>
    <col customWidth="1" min="3" max="26" width="8.5"/>
  </cols>
  <sheetData>
    <row r="1" ht="18.0" customHeight="1"/>
    <row r="2" ht="18.0" customHeight="1">
      <c r="B2" s="2" t="s">
        <v>6</v>
      </c>
    </row>
    <row r="3" ht="18.0" customHeight="1">
      <c r="B3" s="2">
        <v>1.0</v>
      </c>
      <c r="C3" s="2">
        <v>2.0</v>
      </c>
      <c r="D3" s="2">
        <v>3.0</v>
      </c>
      <c r="E3" s="2">
        <v>4.0</v>
      </c>
    </row>
    <row r="4" ht="18.0" customHeight="1">
      <c r="B4" s="2">
        <f t="shared" ref="B4:E4" si="1">RAND()</f>
        <v>0.1488727208</v>
      </c>
      <c r="C4" s="2">
        <f t="shared" si="1"/>
        <v>0.7174375623</v>
      </c>
      <c r="D4" s="2">
        <f t="shared" si="1"/>
        <v>0.08889621347</v>
      </c>
      <c r="E4" s="2">
        <f t="shared" si="1"/>
        <v>0.2439521596</v>
      </c>
    </row>
    <row r="5" ht="18.0" customHeight="1">
      <c r="A5" s="2" t="s">
        <v>7</v>
      </c>
      <c r="B5" s="2" t="str">
        <f>ARRAY_CONSTRAIN(ARRAYFORMULA(_xll.\FI.CURVE.PWFLAT(B3:E3,B4:E4)), 1, 1)</f>
        <v>#ERROR!</v>
      </c>
    </row>
    <row r="6" ht="18.0" customHeight="1"/>
    <row r="7" ht="18.0" customHeight="1"/>
    <row r="8" ht="18.0" customHeight="1"/>
    <row r="9" ht="18.0" customHeight="1"/>
    <row r="10" ht="18.0" customHeight="1"/>
    <row r="11" ht="18.0" customHeight="1"/>
    <row r="12" ht="18.0" customHeight="1">
      <c r="A12" s="2" t="s">
        <v>7</v>
      </c>
      <c r="B12" s="2" t="str">
        <f t="array" ref="B12">_xll.FI.CURVE.PWFLAT(B5)</f>
        <v>#NAME?</v>
      </c>
    </row>
    <row r="13" ht="18.0" customHeight="1"/>
    <row r="14" ht="18.0" customHeight="1"/>
    <row r="15" ht="18.0" customHeight="1"/>
    <row r="16" ht="18.0" customHeight="1"/>
    <row r="17" ht="18.0" customHeight="1"/>
    <row r="18" ht="18.0" customHeight="1"/>
    <row r="19" ht="18.0" customHeight="1"/>
    <row r="20" ht="18.0" customHeight="1"/>
    <row r="21" ht="18.0" customHeight="1"/>
    <row r="22" ht="18.0" customHeight="1"/>
    <row r="23" ht="18.0" customHeight="1"/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5" width="8.5"/>
    <col customWidth="1" min="6" max="6" width="20.2"/>
    <col customWidth="1" min="7" max="9" width="8.5"/>
    <col customWidth="1" min="10" max="10" width="16.4"/>
    <col customWidth="1" min="11" max="26" width="8.5"/>
  </cols>
  <sheetData>
    <row r="1" ht="18.0" customHeight="1"/>
    <row r="2" ht="18.0" customHeight="1">
      <c r="C2" s="5" t="s">
        <v>8</v>
      </c>
      <c r="D2" s="5" t="s">
        <v>9</v>
      </c>
      <c r="E2" s="5" t="s">
        <v>10</v>
      </c>
      <c r="F2" s="2" t="s">
        <v>11</v>
      </c>
      <c r="G2" s="4" t="s">
        <v>12</v>
      </c>
      <c r="H2" s="6" t="s">
        <v>13</v>
      </c>
      <c r="J2" s="7" t="str">
        <f>ARRAY_CONSTRAIN(ARRAYFORMULA(_xll.\FI.CURVE.PWFLAT.BOOTSTRAP(F3:F16,E3:E16)), 1, 1)</f>
        <v>#ERROR!</v>
      </c>
    </row>
    <row r="3" ht="18.0" customHeight="1">
      <c r="B3" s="4" t="s">
        <v>14</v>
      </c>
      <c r="C3" s="8">
        <f>1/12</f>
        <v>0.08333333333</v>
      </c>
      <c r="D3" s="2">
        <v>0.0371</v>
      </c>
      <c r="E3" s="2">
        <f t="shared" ref="E3:E9" si="1">1-D3*C3/360</f>
        <v>0.999991412</v>
      </c>
      <c r="F3" s="9" t="str">
        <f>ARRAY_CONSTRAIN(ARRAYFORMULA(_xll.\FI.INSTRUMENT.ZERO_COUPON_BOND(C3)), 1, 1)</f>
        <v>#ERROR!</v>
      </c>
    </row>
    <row r="4" ht="18.0" customHeight="1">
      <c r="B4" s="4" t="s">
        <v>15</v>
      </c>
      <c r="C4" s="2">
        <f>1.5/12</f>
        <v>0.125</v>
      </c>
      <c r="D4" s="2">
        <v>0.0374</v>
      </c>
      <c r="E4" s="2">
        <f t="shared" si="1"/>
        <v>0.9999870139</v>
      </c>
      <c r="F4" s="9" t="str">
        <f>ARRAY_CONSTRAIN(ARRAYFORMULA(_xll.\FI.INSTRUMENT.ZERO_COUPON_BOND(C4,1)), 1, 1)</f>
        <v>#ERROR!</v>
      </c>
      <c r="I4" s="2" t="s">
        <v>16</v>
      </c>
    </row>
    <row r="5" ht="18.0" customHeight="1">
      <c r="B5" s="4" t="s">
        <v>17</v>
      </c>
      <c r="C5" s="8">
        <f>2/12</f>
        <v>0.1666666667</v>
      </c>
      <c r="D5" s="2">
        <v>0.0373</v>
      </c>
      <c r="E5" s="2">
        <f t="shared" si="1"/>
        <v>0.9999827315</v>
      </c>
      <c r="F5" s="9" t="str">
        <f>ARRAY_CONSTRAIN(ARRAYFORMULA(_xll.\FI.INSTRUMENT.ZERO_COUPON_BOND(C5,1)), 1, 1)</f>
        <v>#ERROR!</v>
      </c>
      <c r="I5" s="5" t="s">
        <v>18</v>
      </c>
      <c r="J5" s="5" t="s">
        <v>19</v>
      </c>
      <c r="K5" s="5" t="s">
        <v>20</v>
      </c>
    </row>
    <row r="6" ht="18.0" customHeight="1">
      <c r="B6" s="4" t="s">
        <v>21</v>
      </c>
      <c r="C6" s="2">
        <f>3/12</f>
        <v>0.25</v>
      </c>
      <c r="D6" s="2">
        <v>0.037000000000000005</v>
      </c>
      <c r="E6" s="2">
        <f t="shared" si="1"/>
        <v>0.9999743056</v>
      </c>
      <c r="F6" s="9" t="str">
        <f>ARRAY_CONSTRAIN(ARRAYFORMULA(_xll.\FI.INSTRUMENT.ZERO_COUPON_BOND(C6)), 1, 1)</f>
        <v>#ERROR!</v>
      </c>
      <c r="H6" s="2">
        <v>0.1</v>
      </c>
      <c r="I6" s="7">
        <f t="array" ref="I6:I74">VSTACK(SEQUENCE(1/H6,1,0,H6),SEQUENCE(1+29/H7,1,1,H7))</f>
        <v>0</v>
      </c>
      <c r="J6" s="2" t="str">
        <f t="array" ref="J6">_xll.FI.CURVE.SPOT($J$2,I6)</f>
        <v>#NAME?</v>
      </c>
      <c r="K6" s="2" t="str">
        <f t="array" ref="K6">_xll.FI.CURVE.FORWARD($J$2,I6)</f>
        <v>#NAME?</v>
      </c>
    </row>
    <row r="7" ht="18.0" customHeight="1">
      <c r="B7" s="4" t="s">
        <v>22</v>
      </c>
      <c r="C7" s="7">
        <f>4/12</f>
        <v>0.3333333333</v>
      </c>
      <c r="D7" s="2">
        <v>0.037000000000000005</v>
      </c>
      <c r="E7" s="2">
        <f t="shared" si="1"/>
        <v>0.9999657407</v>
      </c>
      <c r="F7" s="9" t="str">
        <f>ARRAY_CONSTRAIN(ARRAYFORMULA(_xll.\FI.INSTRUMENT.ZERO_COUPON_BOND(C7)), 1, 1)</f>
        <v>#ERROR!</v>
      </c>
      <c r="H7" s="2">
        <v>0.5</v>
      </c>
      <c r="I7" s="7">
        <v>0.1</v>
      </c>
      <c r="J7" s="2" t="str">
        <f t="array" ref="J7">_xll.FI.CURVE.SPOT($J$2,I7)</f>
        <v>#NAME?</v>
      </c>
      <c r="K7" s="2" t="str">
        <f t="array" ref="K7">_xll.FI.CURVE.FORWARD($J$2,I7)</f>
        <v>#NAME?</v>
      </c>
    </row>
    <row r="8" ht="18.0" customHeight="1">
      <c r="B8" s="4" t="s">
        <v>23</v>
      </c>
      <c r="C8" s="2">
        <f>6/12</f>
        <v>0.5</v>
      </c>
      <c r="D8" s="2">
        <v>0.036000000000000004</v>
      </c>
      <c r="E8" s="2">
        <f t="shared" si="1"/>
        <v>0.99995</v>
      </c>
      <c r="F8" s="9" t="str">
        <f>ARRAY_CONSTRAIN(ARRAYFORMULA(_xll.\FI.INSTRUMENT.ZERO_COUPON_BOND(C8)), 1, 1)</f>
        <v>#ERROR!</v>
      </c>
      <c r="I8" s="7">
        <v>0.2</v>
      </c>
      <c r="J8" s="2" t="str">
        <f t="array" ref="J8">_xll.FI.CURVE.SPOT($J$2,I8)</f>
        <v>#NAME?</v>
      </c>
      <c r="K8" s="2" t="str">
        <f t="array" ref="K8">_xll.FI.CURVE.FORWARD($J$2,I8)</f>
        <v>#NAME?</v>
      </c>
    </row>
    <row r="9" ht="18.0" customHeight="1">
      <c r="B9" s="4" t="s">
        <v>24</v>
      </c>
      <c r="C9" s="2">
        <v>1.0</v>
      </c>
      <c r="D9" s="2">
        <v>0.0349</v>
      </c>
      <c r="E9" s="2">
        <f t="shared" si="1"/>
        <v>0.9999030556</v>
      </c>
      <c r="F9" s="9" t="str">
        <f>ARRAY_CONSTRAIN(ARRAYFORMULA(_xll.\FI.INSTRUMENT.ZERO_COUPON_BOND(C9)), 1, 1)</f>
        <v>#ERROR!</v>
      </c>
      <c r="I9" s="7">
        <v>0.30000000000000004</v>
      </c>
      <c r="J9" s="2" t="str">
        <f t="array" ref="J9">_xll.FI.CURVE.SPOT($J$2,I9)</f>
        <v>#NAME?</v>
      </c>
      <c r="K9" s="2" t="str">
        <f t="array" ref="K9">_xll.FI.CURVE.FORWARD($J$2,I9)</f>
        <v>#NAME?</v>
      </c>
      <c r="L9" s="6" t="s">
        <v>25</v>
      </c>
    </row>
    <row r="10" ht="18.0" customHeight="1">
      <c r="B10" s="4" t="s">
        <v>26</v>
      </c>
      <c r="C10" s="2">
        <v>2.0</v>
      </c>
      <c r="D10" s="2">
        <v>0.0347</v>
      </c>
      <c r="E10" s="2">
        <v>1.0</v>
      </c>
      <c r="F10" s="9" t="str">
        <f>ARRAY_CONSTRAIN(ARRAYFORMULA(_xll.\FI.INSTRUMENT.BOND(C10,D10,2)), 1, 1)</f>
        <v>#ERROR!</v>
      </c>
      <c r="I10" s="7">
        <v>0.4</v>
      </c>
      <c r="J10" s="2" t="str">
        <f t="array" ref="J10">_xll.FI.CURVE.SPOT($J$2,I10)</f>
        <v>#NAME?</v>
      </c>
      <c r="K10" s="2" t="str">
        <f t="array" ref="K10">_xll.FI.CURVE.FORWARD($J$2,I10)</f>
        <v>#NAME?</v>
      </c>
    </row>
    <row r="11" ht="18.0" customHeight="1">
      <c r="B11" s="4" t="s">
        <v>27</v>
      </c>
      <c r="C11" s="2">
        <v>3.0</v>
      </c>
      <c r="D11" s="2">
        <v>0.035</v>
      </c>
      <c r="E11" s="2">
        <v>1.0</v>
      </c>
      <c r="F11" s="9" t="str">
        <f>ARRAY_CONSTRAIN(ARRAYFORMULA(_xll.\FI.INSTRUMENT.BOND(C11,D11,2)), 1, 1)</f>
        <v>#ERROR!</v>
      </c>
      <c r="I11" s="7">
        <v>0.5</v>
      </c>
      <c r="J11" s="2" t="str">
        <f t="array" ref="J11">_xll.FI.CURVE.SPOT($J$2,I11)</f>
        <v>#NAME?</v>
      </c>
      <c r="K11" s="2" t="str">
        <f t="array" ref="K11">_xll.FI.CURVE.FORWARD($J$2,I11)</f>
        <v>#NAME?</v>
      </c>
    </row>
    <row r="12" ht="18.0" customHeight="1">
      <c r="B12" s="4" t="s">
        <v>28</v>
      </c>
      <c r="C12" s="2">
        <v>5.0</v>
      </c>
      <c r="D12" s="2">
        <v>0.0366</v>
      </c>
      <c r="E12" s="2">
        <v>1.0</v>
      </c>
      <c r="F12" s="9" t="str">
        <f>ARRAY_CONSTRAIN(ARRAYFORMULA(_xll.\FI.INSTRUMENT.BOND(C12,D12,2)), 1, 1)</f>
        <v>#ERROR!</v>
      </c>
      <c r="I12" s="7">
        <v>0.6</v>
      </c>
      <c r="J12" s="2" t="str">
        <f t="array" ref="J12">_xll.FI.CURVE.SPOT($J$2,I12)</f>
        <v>#NAME?</v>
      </c>
      <c r="K12" s="2" t="str">
        <f t="array" ref="K12">_xll.FI.CURVE.FORWARD($J$2,I12)</f>
        <v>#NAME?</v>
      </c>
    </row>
    <row r="13" ht="18.0" customHeight="1">
      <c r="B13" s="4" t="s">
        <v>29</v>
      </c>
      <c r="C13" s="2">
        <v>7.0</v>
      </c>
      <c r="D13" s="2">
        <v>0.038599999999999995</v>
      </c>
      <c r="E13" s="2">
        <v>1.0</v>
      </c>
      <c r="F13" s="9" t="str">
        <f>ARRAY_CONSTRAIN(ARRAYFORMULA(_xll.\FI.INSTRUMENT.BOND(C13,D13,2)), 1, 1)</f>
        <v>#ERROR!</v>
      </c>
      <c r="I13" s="7">
        <v>0.7</v>
      </c>
      <c r="J13" s="2" t="str">
        <f t="array" ref="J13">_xll.FI.CURVE.SPOT($J$2,I13)</f>
        <v>#NAME?</v>
      </c>
      <c r="K13" s="2" t="str">
        <f t="array" ref="K13">_xll.FI.CURVE.FORWARD($J$2,I13)</f>
        <v>#NAME?</v>
      </c>
    </row>
    <row r="14" ht="18.0" customHeight="1">
      <c r="B14" s="4" t="s">
        <v>30</v>
      </c>
      <c r="C14" s="2">
        <v>10.0</v>
      </c>
      <c r="D14" s="2">
        <v>0.0409</v>
      </c>
      <c r="E14" s="2">
        <v>1.0</v>
      </c>
      <c r="F14" s="9" t="str">
        <f>ARRAY_CONSTRAIN(ARRAYFORMULA(_xll.\FI.INSTRUMENT.BOND(C14,D14,2)), 1, 1)</f>
        <v>#ERROR!</v>
      </c>
      <c r="I14" s="7">
        <v>0.7999999999999999</v>
      </c>
      <c r="J14" s="2" t="str">
        <f t="array" ref="J14">_xll.FI.CURVE.SPOT($J$2,I14)</f>
        <v>#NAME?</v>
      </c>
      <c r="K14" s="2" t="str">
        <f t="array" ref="K14">_xll.FI.CURVE.FORWARD($J$2,I14)</f>
        <v>#NAME?</v>
      </c>
    </row>
    <row r="15" ht="18.0" customHeight="1">
      <c r="B15" s="4" t="s">
        <v>31</v>
      </c>
      <c r="C15" s="2">
        <v>20.0</v>
      </c>
      <c r="D15" s="2">
        <v>0.04650000000000001</v>
      </c>
      <c r="E15" s="2">
        <v>1.0</v>
      </c>
      <c r="F15" s="9" t="str">
        <f>ARRAY_CONSTRAIN(ARRAYFORMULA(_xll.\FI.INSTRUMENT.BOND(C15,D15,2)), 1, 1)</f>
        <v>#ERROR!</v>
      </c>
      <c r="I15" s="7">
        <v>0.8999999999999999</v>
      </c>
      <c r="J15" s="2" t="str">
        <f t="array" ref="J15">_xll.FI.CURVE.SPOT($J$2,I15)</f>
        <v>#NAME?</v>
      </c>
      <c r="K15" s="2" t="str">
        <f t="array" ref="K15">_xll.FI.CURVE.FORWARD($J$2,I15)</f>
        <v>#NAME?</v>
      </c>
    </row>
    <row r="16" ht="18.0" customHeight="1">
      <c r="B16" s="4" t="s">
        <v>32</v>
      </c>
      <c r="C16" s="2">
        <v>30.0</v>
      </c>
      <c r="D16" s="2">
        <v>0.0471</v>
      </c>
      <c r="E16" s="2">
        <v>1.0</v>
      </c>
      <c r="F16" s="9" t="str">
        <f>ARRAY_CONSTRAIN(ARRAYFORMULA(_xll.\FI.INSTRUMENT.BOND(C16,D16,2)), 1, 1)</f>
        <v>#ERROR!</v>
      </c>
      <c r="I16" s="7">
        <v>1.0</v>
      </c>
      <c r="J16" s="2" t="str">
        <f t="array" ref="J16">_xll.FI.CURVE.SPOT($J$2,I16)</f>
        <v>#NAME?</v>
      </c>
      <c r="K16" s="2" t="str">
        <f t="array" ref="K16">_xll.FI.CURVE.FORWARD($J$2,I16)</f>
        <v>#NAME?</v>
      </c>
    </row>
    <row r="17" ht="18.0" customHeight="1">
      <c r="I17" s="7">
        <v>1.5</v>
      </c>
      <c r="J17" s="2" t="str">
        <f t="array" ref="J17">_xll.FI.CURVE.SPOT($J$2,I17)</f>
        <v>#NAME?</v>
      </c>
      <c r="K17" s="2" t="str">
        <f t="array" ref="K17">_xll.FI.CURVE.FORWARD($J$2,I17)</f>
        <v>#NAME?</v>
      </c>
    </row>
    <row r="18" ht="18.0" customHeight="1">
      <c r="I18" s="7">
        <v>2.0</v>
      </c>
      <c r="J18" s="2" t="str">
        <f t="array" ref="J18">_xll.FI.CURVE.SPOT($J$2,I18)</f>
        <v>#NAME?</v>
      </c>
      <c r="K18" s="2" t="str">
        <f t="array" ref="K18">_xll.FI.CURVE.FORWARD($J$2,I18)</f>
        <v>#NAME?</v>
      </c>
    </row>
    <row r="19" ht="18.0" customHeight="1">
      <c r="I19" s="7">
        <v>2.5</v>
      </c>
      <c r="J19" s="2" t="str">
        <f t="array" ref="J19">_xll.FI.CURVE.SPOT($J$2,I19)</f>
        <v>#NAME?</v>
      </c>
      <c r="K19" s="2" t="str">
        <f t="array" ref="K19">_xll.FI.CURVE.FORWARD($J$2,I19)</f>
        <v>#NAME?</v>
      </c>
    </row>
    <row r="20" ht="18.0" customHeight="1">
      <c r="I20" s="7">
        <v>3.0</v>
      </c>
      <c r="J20" s="2" t="str">
        <f t="array" ref="J20">_xll.FI.CURVE.SPOT($J$2,I20)</f>
        <v>#NAME?</v>
      </c>
      <c r="K20" s="2" t="str">
        <f t="array" ref="K20">_xll.FI.CURVE.FORWARD($J$2,I20)</f>
        <v>#NAME?</v>
      </c>
    </row>
    <row r="21" ht="18.0" customHeight="1">
      <c r="I21" s="7">
        <v>3.5</v>
      </c>
      <c r="J21" s="2" t="str">
        <f t="array" ref="J21">_xll.FI.CURVE.SPOT($J$2,I21)</f>
        <v>#NAME?</v>
      </c>
      <c r="K21" s="2" t="str">
        <f t="array" ref="K21">_xll.FI.CURVE.FORWARD($J$2,I21)</f>
        <v>#NAME?</v>
      </c>
    </row>
    <row r="22" ht="18.0" customHeight="1">
      <c r="I22" s="7">
        <v>4.0</v>
      </c>
      <c r="J22" s="2" t="str">
        <f t="array" ref="J22">_xll.FI.CURVE.SPOT($J$2,I22)</f>
        <v>#NAME?</v>
      </c>
      <c r="K22" s="2" t="str">
        <f t="array" ref="K22">_xll.FI.CURVE.FORWARD($J$2,I22)</f>
        <v>#NAME?</v>
      </c>
    </row>
    <row r="23" ht="18.0" customHeight="1">
      <c r="I23" s="7">
        <v>4.5</v>
      </c>
      <c r="J23" s="2" t="str">
        <f t="array" ref="J23">_xll.FI.CURVE.SPOT($J$2,I23)</f>
        <v>#NAME?</v>
      </c>
      <c r="K23" s="2" t="str">
        <f t="array" ref="K23">_xll.FI.CURVE.FORWARD($J$2,I23)</f>
        <v>#NAME?</v>
      </c>
    </row>
    <row r="24" ht="18.0" customHeight="1">
      <c r="I24" s="7">
        <v>5.0</v>
      </c>
      <c r="J24" s="2" t="str">
        <f t="array" ref="J24">_xll.FI.CURVE.SPOT($J$2,I24)</f>
        <v>#NAME?</v>
      </c>
      <c r="K24" s="2" t="str">
        <f t="array" ref="K24">_xll.FI.CURVE.FORWARD($J$2,I24)</f>
        <v>#NAME?</v>
      </c>
    </row>
    <row r="25" ht="18.0" customHeight="1">
      <c r="I25" s="7">
        <v>5.5</v>
      </c>
      <c r="J25" s="2" t="str">
        <f t="array" ref="J25">_xll.FI.CURVE.SPOT($J$2,I25)</f>
        <v>#NAME?</v>
      </c>
      <c r="K25" s="2" t="str">
        <f t="array" ref="K25">_xll.FI.CURVE.FORWARD($J$2,I25)</f>
        <v>#NAME?</v>
      </c>
    </row>
    <row r="26" ht="18.0" customHeight="1">
      <c r="I26" s="7">
        <v>6.0</v>
      </c>
      <c r="J26" s="2" t="str">
        <f t="array" ref="J26">_xll.FI.CURVE.SPOT($J$2,I26)</f>
        <v>#NAME?</v>
      </c>
      <c r="K26" s="2" t="str">
        <f t="array" ref="K26">_xll.FI.CURVE.FORWARD($J$2,I26)</f>
        <v>#NAME?</v>
      </c>
    </row>
    <row r="27" ht="18.0" customHeight="1">
      <c r="I27" s="7">
        <v>6.5</v>
      </c>
      <c r="J27" s="2" t="str">
        <f t="array" ref="J27">_xll.FI.CURVE.SPOT($J$2,I27)</f>
        <v>#NAME?</v>
      </c>
      <c r="K27" s="2" t="str">
        <f t="array" ref="K27">_xll.FI.CURVE.FORWARD($J$2,I27)</f>
        <v>#NAME?</v>
      </c>
    </row>
    <row r="28" ht="18.0" customHeight="1">
      <c r="I28" s="7">
        <v>7.0</v>
      </c>
      <c r="J28" s="2" t="str">
        <f t="array" ref="J28">_xll.FI.CURVE.SPOT($J$2,I28)</f>
        <v>#NAME?</v>
      </c>
      <c r="K28" s="2" t="str">
        <f t="array" ref="K28">_xll.FI.CURVE.FORWARD($J$2,I28)</f>
        <v>#NAME?</v>
      </c>
    </row>
    <row r="29" ht="18.0" customHeight="1">
      <c r="I29" s="7">
        <v>7.5</v>
      </c>
      <c r="J29" s="2" t="str">
        <f t="array" ref="J29">_xll.FI.CURVE.SPOT($J$2,I29)</f>
        <v>#NAME?</v>
      </c>
      <c r="K29" s="2" t="str">
        <f t="array" ref="K29">_xll.FI.CURVE.FORWARD($J$2,I29)</f>
        <v>#NAME?</v>
      </c>
    </row>
    <row r="30" ht="18.0" customHeight="1">
      <c r="I30" s="7">
        <v>8.0</v>
      </c>
      <c r="J30" s="2" t="str">
        <f t="array" ref="J30">_xll.FI.CURVE.SPOT($J$2,I30)</f>
        <v>#NAME?</v>
      </c>
      <c r="K30" s="2" t="str">
        <f t="array" ref="K30">_xll.FI.CURVE.FORWARD($J$2,I30)</f>
        <v>#NAME?</v>
      </c>
    </row>
    <row r="31" ht="18.0" customHeight="1">
      <c r="I31" s="7">
        <v>8.5</v>
      </c>
      <c r="J31" s="2" t="str">
        <f t="array" ref="J31">_xll.FI.CURVE.SPOT($J$2,I31)</f>
        <v>#NAME?</v>
      </c>
      <c r="K31" s="2" t="str">
        <f t="array" ref="K31">_xll.FI.CURVE.FORWARD($J$2,I31)</f>
        <v>#NAME?</v>
      </c>
    </row>
    <row r="32" ht="18.0" customHeight="1">
      <c r="I32" s="7">
        <v>9.0</v>
      </c>
      <c r="J32" s="2" t="str">
        <f t="array" ref="J32">_xll.FI.CURVE.SPOT($J$2,I32)</f>
        <v>#NAME?</v>
      </c>
      <c r="K32" s="2" t="str">
        <f t="array" ref="K32">_xll.FI.CURVE.FORWARD($J$2,I32)</f>
        <v>#NAME?</v>
      </c>
    </row>
    <row r="33" ht="18.0" customHeight="1">
      <c r="I33" s="7">
        <v>9.5</v>
      </c>
      <c r="J33" s="2" t="str">
        <f t="array" ref="J33">_xll.FI.CURVE.SPOT($J$2,I33)</f>
        <v>#NAME?</v>
      </c>
      <c r="K33" s="2" t="str">
        <f t="array" ref="K33">_xll.FI.CURVE.FORWARD($J$2,I33)</f>
        <v>#NAME?</v>
      </c>
    </row>
    <row r="34" ht="18.0" customHeight="1">
      <c r="I34" s="7">
        <v>10.0</v>
      </c>
      <c r="J34" s="2" t="str">
        <f t="array" ref="J34">_xll.FI.CURVE.SPOT($J$2,I34)</f>
        <v>#NAME?</v>
      </c>
      <c r="K34" s="2" t="str">
        <f t="array" ref="K34">_xll.FI.CURVE.FORWARD($J$2,I34)</f>
        <v>#NAME?</v>
      </c>
    </row>
    <row r="35" ht="18.0" customHeight="1">
      <c r="I35" s="7">
        <v>10.5</v>
      </c>
      <c r="J35" s="2" t="str">
        <f t="array" ref="J35">_xll.FI.CURVE.SPOT($J$2,I35)</f>
        <v>#NAME?</v>
      </c>
      <c r="K35" s="2" t="str">
        <f t="array" ref="K35">_xll.FI.CURVE.FORWARD($J$2,I35)</f>
        <v>#NAME?</v>
      </c>
    </row>
    <row r="36" ht="18.0" customHeight="1">
      <c r="I36" s="7">
        <v>11.0</v>
      </c>
      <c r="J36" s="2" t="str">
        <f t="array" ref="J36">_xll.FI.CURVE.SPOT($J$2,I36)</f>
        <v>#NAME?</v>
      </c>
      <c r="K36" s="2" t="str">
        <f t="array" ref="K36">_xll.FI.CURVE.FORWARD($J$2,I36)</f>
        <v>#NAME?</v>
      </c>
    </row>
    <row r="37" ht="18.0" customHeight="1">
      <c r="I37" s="7">
        <v>11.5</v>
      </c>
      <c r="J37" s="2" t="str">
        <f t="array" ref="J37">_xll.FI.CURVE.SPOT($J$2,I37)</f>
        <v>#NAME?</v>
      </c>
      <c r="K37" s="2" t="str">
        <f t="array" ref="K37">_xll.FI.CURVE.FORWARD($J$2,I37)</f>
        <v>#NAME?</v>
      </c>
    </row>
    <row r="38" ht="18.0" customHeight="1">
      <c r="I38" s="7">
        <v>12.0</v>
      </c>
      <c r="J38" s="2" t="str">
        <f t="array" ref="J38">_xll.FI.CURVE.SPOT($J$2,I38)</f>
        <v>#NAME?</v>
      </c>
      <c r="K38" s="2" t="str">
        <f t="array" ref="K38">_xll.FI.CURVE.FORWARD($J$2,I38)</f>
        <v>#NAME?</v>
      </c>
    </row>
    <row r="39" ht="18.0" customHeight="1">
      <c r="I39" s="7">
        <v>12.5</v>
      </c>
      <c r="J39" s="2" t="str">
        <f t="array" ref="J39">_xll.FI.CURVE.SPOT($J$2,I39)</f>
        <v>#NAME?</v>
      </c>
      <c r="K39" s="2" t="str">
        <f t="array" ref="K39">_xll.FI.CURVE.FORWARD($J$2,I39)</f>
        <v>#NAME?</v>
      </c>
    </row>
    <row r="40" ht="18.0" customHeight="1">
      <c r="I40" s="7">
        <v>13.0</v>
      </c>
      <c r="J40" s="2" t="str">
        <f t="array" ref="J40">_xll.FI.CURVE.SPOT($J$2,I40)</f>
        <v>#NAME?</v>
      </c>
      <c r="K40" s="2" t="str">
        <f t="array" ref="K40">_xll.FI.CURVE.FORWARD($J$2,I40)</f>
        <v>#NAME?</v>
      </c>
    </row>
    <row r="41" ht="18.0" customHeight="1">
      <c r="I41" s="7">
        <v>13.5</v>
      </c>
      <c r="J41" s="2" t="str">
        <f t="array" ref="J41">_xll.FI.CURVE.SPOT($J$2,I41)</f>
        <v>#NAME?</v>
      </c>
      <c r="K41" s="2" t="str">
        <f t="array" ref="K41">_xll.FI.CURVE.FORWARD($J$2,I41)</f>
        <v>#NAME?</v>
      </c>
    </row>
    <row r="42" ht="18.0" customHeight="1">
      <c r="I42" s="7">
        <v>14.0</v>
      </c>
      <c r="J42" s="2" t="str">
        <f t="array" ref="J42">_xll.FI.CURVE.SPOT($J$2,I42)</f>
        <v>#NAME?</v>
      </c>
      <c r="K42" s="2" t="str">
        <f t="array" ref="K42">_xll.FI.CURVE.FORWARD($J$2,I42)</f>
        <v>#NAME?</v>
      </c>
    </row>
    <row r="43" ht="18.0" customHeight="1">
      <c r="I43" s="7">
        <v>14.5</v>
      </c>
      <c r="J43" s="2" t="str">
        <f t="array" ref="J43">_xll.FI.CURVE.SPOT($J$2,I43)</f>
        <v>#NAME?</v>
      </c>
      <c r="K43" s="2" t="str">
        <f t="array" ref="K43">_xll.FI.CURVE.FORWARD($J$2,I43)</f>
        <v>#NAME?</v>
      </c>
    </row>
    <row r="44" ht="18.0" customHeight="1">
      <c r="I44" s="7">
        <v>15.0</v>
      </c>
      <c r="J44" s="2" t="str">
        <f t="array" ref="J44">_xll.FI.CURVE.SPOT($J$2,I44)</f>
        <v>#NAME?</v>
      </c>
      <c r="K44" s="2" t="str">
        <f t="array" ref="K44">_xll.FI.CURVE.FORWARD($J$2,I44)</f>
        <v>#NAME?</v>
      </c>
    </row>
    <row r="45" ht="18.0" customHeight="1">
      <c r="I45" s="7">
        <v>15.5</v>
      </c>
      <c r="J45" s="2" t="str">
        <f t="array" ref="J45">_xll.FI.CURVE.SPOT($J$2,I45)</f>
        <v>#NAME?</v>
      </c>
      <c r="K45" s="2" t="str">
        <f t="array" ref="K45">_xll.FI.CURVE.FORWARD($J$2,I45)</f>
        <v>#NAME?</v>
      </c>
    </row>
    <row r="46" ht="18.0" customHeight="1">
      <c r="I46" s="7">
        <v>16.0</v>
      </c>
      <c r="J46" s="2" t="str">
        <f t="array" ref="J46">_xll.FI.CURVE.SPOT($J$2,I46)</f>
        <v>#NAME?</v>
      </c>
      <c r="K46" s="2" t="str">
        <f t="array" ref="K46">_xll.FI.CURVE.FORWARD($J$2,I46)</f>
        <v>#NAME?</v>
      </c>
    </row>
    <row r="47" ht="18.0" customHeight="1">
      <c r="I47" s="7">
        <v>16.5</v>
      </c>
      <c r="J47" s="2" t="str">
        <f t="array" ref="J47">_xll.FI.CURVE.SPOT($J$2,I47)</f>
        <v>#NAME?</v>
      </c>
      <c r="K47" s="2" t="str">
        <f t="array" ref="K47">_xll.FI.CURVE.FORWARD($J$2,I47)</f>
        <v>#NAME?</v>
      </c>
    </row>
    <row r="48" ht="18.0" customHeight="1">
      <c r="I48" s="7">
        <v>17.0</v>
      </c>
      <c r="J48" s="2" t="str">
        <f t="array" ref="J48">_xll.FI.CURVE.SPOT($J$2,I48)</f>
        <v>#NAME?</v>
      </c>
      <c r="K48" s="2" t="str">
        <f t="array" ref="K48">_xll.FI.CURVE.FORWARD($J$2,I48)</f>
        <v>#NAME?</v>
      </c>
    </row>
    <row r="49" ht="18.0" customHeight="1">
      <c r="I49" s="7">
        <v>17.5</v>
      </c>
      <c r="J49" s="2" t="str">
        <f t="array" ref="J49">_xll.FI.CURVE.SPOT($J$2,I49)</f>
        <v>#NAME?</v>
      </c>
      <c r="K49" s="2" t="str">
        <f t="array" ref="K49">_xll.FI.CURVE.FORWARD($J$2,I49)</f>
        <v>#NAME?</v>
      </c>
    </row>
    <row r="50" ht="18.0" customHeight="1">
      <c r="I50" s="7">
        <v>18.0</v>
      </c>
      <c r="J50" s="2" t="str">
        <f t="array" ref="J50">_xll.FI.CURVE.SPOT($J$2,I50)</f>
        <v>#NAME?</v>
      </c>
      <c r="K50" s="2" t="str">
        <f t="array" ref="K50">_xll.FI.CURVE.FORWARD($J$2,I50)</f>
        <v>#NAME?</v>
      </c>
    </row>
    <row r="51" ht="18.0" customHeight="1">
      <c r="I51" s="7">
        <v>18.5</v>
      </c>
      <c r="J51" s="2" t="str">
        <f t="array" ref="J51">_xll.FI.CURVE.SPOT($J$2,I51)</f>
        <v>#NAME?</v>
      </c>
      <c r="K51" s="2" t="str">
        <f t="array" ref="K51">_xll.FI.CURVE.FORWARD($J$2,I51)</f>
        <v>#NAME?</v>
      </c>
    </row>
    <row r="52" ht="18.0" customHeight="1">
      <c r="I52" s="7">
        <v>19.0</v>
      </c>
      <c r="J52" s="2" t="str">
        <f t="array" ref="J52">_xll.FI.CURVE.SPOT($J$2,I52)</f>
        <v>#NAME?</v>
      </c>
      <c r="K52" s="2" t="str">
        <f t="array" ref="K52">_xll.FI.CURVE.FORWARD($J$2,I52)</f>
        <v>#NAME?</v>
      </c>
    </row>
    <row r="53" ht="18.0" customHeight="1">
      <c r="I53" s="7">
        <v>19.5</v>
      </c>
      <c r="J53" s="2" t="str">
        <f t="array" ref="J53">_xll.FI.CURVE.SPOT($J$2,I53)</f>
        <v>#NAME?</v>
      </c>
      <c r="K53" s="2" t="str">
        <f t="array" ref="K53">_xll.FI.CURVE.FORWARD($J$2,I53)</f>
        <v>#NAME?</v>
      </c>
    </row>
    <row r="54" ht="18.0" customHeight="1">
      <c r="I54" s="7">
        <v>20.0</v>
      </c>
      <c r="J54" s="2" t="str">
        <f t="array" ref="J54">_xll.FI.CURVE.SPOT($J$2,I54)</f>
        <v>#NAME?</v>
      </c>
      <c r="K54" s="2" t="str">
        <f t="array" ref="K54">_xll.FI.CURVE.FORWARD($J$2,I54)</f>
        <v>#NAME?</v>
      </c>
    </row>
    <row r="55" ht="18.0" customHeight="1">
      <c r="I55" s="7">
        <v>20.5</v>
      </c>
      <c r="J55" s="2" t="str">
        <f t="array" ref="J55">_xll.FI.CURVE.SPOT($J$2,I55)</f>
        <v>#NAME?</v>
      </c>
      <c r="K55" s="2" t="str">
        <f t="array" ref="K55">_xll.FI.CURVE.FORWARD($J$2,I55)</f>
        <v>#NAME?</v>
      </c>
    </row>
    <row r="56" ht="18.0" customHeight="1">
      <c r="I56" s="7">
        <v>21.0</v>
      </c>
      <c r="J56" s="2" t="str">
        <f t="array" ref="J56">_xll.FI.CURVE.SPOT($J$2,I56)</f>
        <v>#NAME?</v>
      </c>
      <c r="K56" s="2" t="str">
        <f t="array" ref="K56">_xll.FI.CURVE.FORWARD($J$2,I56)</f>
        <v>#NAME?</v>
      </c>
    </row>
    <row r="57" ht="18.0" customHeight="1">
      <c r="I57" s="7">
        <v>21.5</v>
      </c>
      <c r="J57" s="2" t="str">
        <f t="array" ref="J57">_xll.FI.CURVE.SPOT($J$2,I57)</f>
        <v>#NAME?</v>
      </c>
      <c r="K57" s="2" t="str">
        <f t="array" ref="K57">_xll.FI.CURVE.FORWARD($J$2,I57)</f>
        <v>#NAME?</v>
      </c>
    </row>
    <row r="58" ht="18.0" customHeight="1">
      <c r="I58" s="7">
        <v>22.0</v>
      </c>
      <c r="J58" s="2" t="str">
        <f t="array" ref="J58">_xll.FI.CURVE.SPOT($J$2,I58)</f>
        <v>#NAME?</v>
      </c>
      <c r="K58" s="2" t="str">
        <f t="array" ref="K58">_xll.FI.CURVE.FORWARD($J$2,I58)</f>
        <v>#NAME?</v>
      </c>
    </row>
    <row r="59" ht="18.0" customHeight="1">
      <c r="I59" s="7">
        <v>22.5</v>
      </c>
      <c r="J59" s="2" t="str">
        <f t="array" ref="J59">_xll.FI.CURVE.SPOT($J$2,I59)</f>
        <v>#NAME?</v>
      </c>
      <c r="K59" s="2" t="str">
        <f t="array" ref="K59">_xll.FI.CURVE.FORWARD($J$2,I59)</f>
        <v>#NAME?</v>
      </c>
    </row>
    <row r="60" ht="18.0" customHeight="1">
      <c r="I60" s="7">
        <v>23.0</v>
      </c>
      <c r="J60" s="2" t="str">
        <f t="array" ref="J60">_xll.FI.CURVE.SPOT($J$2,I60)</f>
        <v>#NAME?</v>
      </c>
      <c r="K60" s="2" t="str">
        <f t="array" ref="K60">_xll.FI.CURVE.FORWARD($J$2,I60)</f>
        <v>#NAME?</v>
      </c>
    </row>
    <row r="61" ht="18.0" customHeight="1">
      <c r="I61" s="7">
        <v>23.5</v>
      </c>
      <c r="J61" s="2" t="str">
        <f t="array" ref="J61">_xll.FI.CURVE.SPOT($J$2,I61)</f>
        <v>#NAME?</v>
      </c>
      <c r="K61" s="2" t="str">
        <f t="array" ref="K61">_xll.FI.CURVE.FORWARD($J$2,I61)</f>
        <v>#NAME?</v>
      </c>
    </row>
    <row r="62" ht="18.0" customHeight="1">
      <c r="I62" s="7">
        <v>24.0</v>
      </c>
      <c r="J62" s="2" t="str">
        <f t="array" ref="J62">_xll.FI.CURVE.SPOT($J$2,I62)</f>
        <v>#NAME?</v>
      </c>
      <c r="K62" s="2" t="str">
        <f t="array" ref="K62">_xll.FI.CURVE.FORWARD($J$2,I62)</f>
        <v>#NAME?</v>
      </c>
    </row>
    <row r="63" ht="18.0" customHeight="1">
      <c r="I63" s="7">
        <v>24.5</v>
      </c>
      <c r="J63" s="2" t="str">
        <f t="array" ref="J63">_xll.FI.CURVE.SPOT($J$2,I63)</f>
        <v>#NAME?</v>
      </c>
      <c r="K63" s="2" t="str">
        <f t="array" ref="K63">_xll.FI.CURVE.FORWARD($J$2,I63)</f>
        <v>#NAME?</v>
      </c>
    </row>
    <row r="64" ht="18.0" customHeight="1">
      <c r="I64" s="7">
        <v>25.0</v>
      </c>
      <c r="J64" s="2" t="str">
        <f t="array" ref="J64">_xll.FI.CURVE.SPOT($J$2,I64)</f>
        <v>#NAME?</v>
      </c>
      <c r="K64" s="2" t="str">
        <f t="array" ref="K64">_xll.FI.CURVE.FORWARD($J$2,I64)</f>
        <v>#NAME?</v>
      </c>
    </row>
    <row r="65" ht="18.0" customHeight="1">
      <c r="I65" s="7">
        <v>25.5</v>
      </c>
      <c r="J65" s="2" t="str">
        <f t="array" ref="J65">_xll.FI.CURVE.SPOT($J$2,I65)</f>
        <v>#NAME?</v>
      </c>
      <c r="K65" s="2" t="str">
        <f t="array" ref="K65">_xll.FI.CURVE.FORWARD($J$2,I65)</f>
        <v>#NAME?</v>
      </c>
    </row>
    <row r="66" ht="18.0" customHeight="1">
      <c r="I66" s="7">
        <v>26.0</v>
      </c>
      <c r="J66" s="2" t="str">
        <f t="array" ref="J66">_xll.FI.CURVE.SPOT($J$2,I66)</f>
        <v>#NAME?</v>
      </c>
      <c r="K66" s="2" t="str">
        <f t="array" ref="K66">_xll.FI.CURVE.FORWARD($J$2,I66)</f>
        <v>#NAME?</v>
      </c>
    </row>
    <row r="67" ht="18.0" customHeight="1">
      <c r="I67" s="7">
        <v>26.5</v>
      </c>
      <c r="J67" s="2" t="str">
        <f t="array" ref="J67">_xll.FI.CURVE.SPOT($J$2,I67)</f>
        <v>#NAME?</v>
      </c>
      <c r="K67" s="2" t="str">
        <f t="array" ref="K67">_xll.FI.CURVE.FORWARD($J$2,I67)</f>
        <v>#NAME?</v>
      </c>
    </row>
    <row r="68" ht="18.0" customHeight="1">
      <c r="I68" s="7">
        <v>27.0</v>
      </c>
      <c r="J68" s="2" t="str">
        <f t="array" ref="J68">_xll.FI.CURVE.SPOT($J$2,I68)</f>
        <v>#NAME?</v>
      </c>
      <c r="K68" s="2" t="str">
        <f t="array" ref="K68">_xll.FI.CURVE.FORWARD($J$2,I68)</f>
        <v>#NAME?</v>
      </c>
    </row>
    <row r="69" ht="18.0" customHeight="1">
      <c r="I69" s="7">
        <v>27.5</v>
      </c>
      <c r="J69" s="2" t="str">
        <f t="array" ref="J69">_xll.FI.CURVE.SPOT($J$2,I69)</f>
        <v>#NAME?</v>
      </c>
      <c r="K69" s="2" t="str">
        <f t="array" ref="K69">_xll.FI.CURVE.FORWARD($J$2,I69)</f>
        <v>#NAME?</v>
      </c>
    </row>
    <row r="70" ht="18.0" customHeight="1">
      <c r="I70" s="7">
        <v>28.0</v>
      </c>
      <c r="J70" s="2" t="str">
        <f t="array" ref="J70">_xll.FI.CURVE.SPOT($J$2,I70)</f>
        <v>#NAME?</v>
      </c>
      <c r="K70" s="2" t="str">
        <f t="array" ref="K70">_xll.FI.CURVE.FORWARD($J$2,I70)</f>
        <v>#NAME?</v>
      </c>
    </row>
    <row r="71" ht="18.0" customHeight="1">
      <c r="I71" s="7">
        <v>28.5</v>
      </c>
      <c r="J71" s="2" t="str">
        <f t="array" ref="J71">_xll.FI.CURVE.SPOT($J$2,I71)</f>
        <v>#NAME?</v>
      </c>
      <c r="K71" s="2" t="str">
        <f t="array" ref="K71">_xll.FI.CURVE.FORWARD($J$2,I71)</f>
        <v>#NAME?</v>
      </c>
    </row>
    <row r="72" ht="18.0" customHeight="1">
      <c r="I72" s="7">
        <v>29.0</v>
      </c>
      <c r="J72" s="2" t="str">
        <f t="array" ref="J72">_xll.FI.CURVE.SPOT($J$2,I72)</f>
        <v>#NAME?</v>
      </c>
      <c r="K72" s="2" t="str">
        <f t="array" ref="K72">_xll.FI.CURVE.FORWARD($J$2,I72)</f>
        <v>#NAME?</v>
      </c>
    </row>
    <row r="73" ht="18.0" customHeight="1">
      <c r="I73" s="7">
        <v>29.5</v>
      </c>
      <c r="J73" s="2" t="str">
        <f t="array" ref="J73">_xll.FI.CURVE.SPOT($J$2,I73)</f>
        <v>#NAME?</v>
      </c>
      <c r="K73" s="2" t="str">
        <f t="array" ref="K73">_xll.FI.CURVE.FORWARD($J$2,I73)</f>
        <v>#NAME?</v>
      </c>
    </row>
    <row r="74" ht="18.0" customHeight="1">
      <c r="I74" s="7">
        <v>30.0</v>
      </c>
      <c r="J74" s="2" t="str">
        <f t="array" ref="J74">_xll.FI.CURVE.SPOT($J$2,I74)</f>
        <v>#NAME?</v>
      </c>
      <c r="K74" s="2" t="str">
        <f t="array" ref="K74">_xll.FI.CURVE.FORWARD($J$2,I74)</f>
        <v>#NAME?</v>
      </c>
    </row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printOptions/>
  <pageMargins bottom="0.75" footer="0.0" header="0.0" left="0.7" right="0.7" top="0.75"/>
  <pageSetup orientation="landscape"/>
  <drawing r:id="rId2"/>
  <legacyDrawing r:id="rId3"/>
</worksheet>
</file>