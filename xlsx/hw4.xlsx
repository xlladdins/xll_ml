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Z:\Desktop\cpp_course\hw4\xll_ml\xlsx\"/>
    </mc:Choice>
  </mc:AlternateContent>
  <xr:revisionPtr revIDLastSave="0" documentId="13_ncr:1_{4F895D5D-9C56-45B9-AA0D-9E91D8478BCF}" xr6:coauthVersionLast="47" xr6:coauthVersionMax="47" xr10:uidLastSave="{00000000-0000-0000-0000-000000000000}"/>
  <bookViews>
    <workbookView xWindow="-120" yWindow="-120" windowWidth="29040" windowHeight="1572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D5" i="2"/>
  <c r="E5" i="2"/>
  <c r="B5" i="2"/>
  <c r="I6" i="4" a="1"/>
  <c r="I6" i="4" s="1"/>
  <c r="C5" i="4"/>
  <c r="E5" i="4" s="1"/>
  <c r="E9" i="4"/>
  <c r="E8" i="4"/>
  <c r="E7" i="4"/>
  <c r="E6" i="4"/>
  <c r="E4" i="4"/>
  <c r="E3" i="4"/>
  <c r="C8" i="4"/>
  <c r="C7" i="4"/>
  <c r="C6" i="4"/>
  <c r="C4" i="4"/>
  <c r="C3" i="4"/>
  <c r="B4" i="1"/>
  <c r="B6" i="1" s="1" a="1"/>
  <c r="B6" i="1" s="1"/>
  <c r="C14" i="2" a="1"/>
  <c r="C13" i="2" a="1"/>
  <c r="K7" i="4" a="1"/>
  <c r="K9" i="4" a="1"/>
  <c r="K11" i="4" a="1"/>
  <c r="K13" i="4" a="1"/>
  <c r="K15" i="4" a="1"/>
  <c r="K17" i="4" a="1"/>
  <c r="K19" i="4" a="1"/>
  <c r="K21" i="4" a="1"/>
  <c r="K23" i="4" a="1"/>
  <c r="K25" i="4" a="1"/>
  <c r="K27" i="4" a="1"/>
  <c r="K29" i="4" a="1"/>
  <c r="K31" i="4" a="1"/>
  <c r="K33" i="4" a="1"/>
  <c r="K35" i="4" a="1"/>
  <c r="K37" i="4" a="1"/>
  <c r="K39" i="4" a="1"/>
  <c r="K41" i="4" a="1"/>
  <c r="K43" i="4" a="1"/>
  <c r="K45" i="4" a="1"/>
  <c r="K47" i="4" a="1"/>
  <c r="K49" i="4" a="1"/>
  <c r="K51" i="4" a="1"/>
  <c r="K53" i="4" a="1"/>
  <c r="K55" i="4" a="1"/>
  <c r="K57" i="4" a="1"/>
  <c r="K59" i="4" a="1"/>
  <c r="K61" i="4" a="1"/>
  <c r="K63" i="4" a="1"/>
  <c r="K65" i="4" a="1"/>
  <c r="K67" i="4" a="1"/>
  <c r="K69" i="4" a="1"/>
  <c r="K71" i="4" a="1"/>
  <c r="K73" i="4" a="1"/>
  <c r="K50" i="4" a="1"/>
  <c r="K58" i="4" a="1"/>
  <c r="K62" i="4" a="1"/>
  <c r="K66" i="4" a="1"/>
  <c r="K70" i="4" a="1"/>
  <c r="K8" i="4" a="1"/>
  <c r="K10" i="4" a="1"/>
  <c r="K12" i="4" a="1"/>
  <c r="K14" i="4" a="1"/>
  <c r="K16" i="4" a="1"/>
  <c r="K18" i="4" a="1"/>
  <c r="K20" i="4" a="1"/>
  <c r="K22" i="4" a="1"/>
  <c r="K24" i="4" a="1"/>
  <c r="K26" i="4" a="1"/>
  <c r="K28" i="4" a="1"/>
  <c r="K30" i="4" a="1"/>
  <c r="K32" i="4" a="1"/>
  <c r="K34" i="4" a="1"/>
  <c r="K36" i="4" a="1"/>
  <c r="K38" i="4" a="1"/>
  <c r="K40" i="4" a="1"/>
  <c r="K42" i="4" a="1"/>
  <c r="K44" i="4" a="1"/>
  <c r="K46" i="4" a="1"/>
  <c r="K48" i="4" a="1"/>
  <c r="K52" i="4" a="1"/>
  <c r="K54" i="4" a="1"/>
  <c r="K56" i="4" a="1"/>
  <c r="K60" i="4" a="1"/>
  <c r="K64" i="4" a="1"/>
  <c r="K68" i="4" a="1"/>
  <c r="K72" i="4" a="1"/>
  <c r="K74" i="4" a="1"/>
  <c r="K6" i="4" a="1"/>
  <c r="J7" i="4" a="1"/>
  <c r="J9" i="4" a="1"/>
  <c r="J11" i="4" a="1"/>
  <c r="J13" i="4" a="1"/>
  <c r="J15" i="4" a="1"/>
  <c r="J17" i="4" a="1"/>
  <c r="J19" i="4" a="1"/>
  <c r="J21" i="4" a="1"/>
  <c r="J23" i="4" a="1"/>
  <c r="J25" i="4" a="1"/>
  <c r="J27" i="4" a="1"/>
  <c r="J29" i="4" a="1"/>
  <c r="J31" i="4" a="1"/>
  <c r="J33" i="4" a="1"/>
  <c r="J35" i="4" a="1"/>
  <c r="J37" i="4" a="1"/>
  <c r="J39" i="4" a="1"/>
  <c r="J41" i="4" a="1"/>
  <c r="J43" i="4" a="1"/>
  <c r="J45" i="4" a="1"/>
  <c r="J47" i="4" a="1"/>
  <c r="J49" i="4" a="1"/>
  <c r="J51" i="4" a="1"/>
  <c r="J53" i="4" a="1"/>
  <c r="J55" i="4" a="1"/>
  <c r="J57" i="4" a="1"/>
  <c r="J59" i="4" a="1"/>
  <c r="J61" i="4" a="1"/>
  <c r="J63" i="4" a="1"/>
  <c r="J65" i="4" a="1"/>
  <c r="J67" i="4" a="1"/>
  <c r="J69" i="4" a="1"/>
  <c r="J71" i="4" a="1"/>
  <c r="J73" i="4" a="1"/>
  <c r="J72" i="4" a="1"/>
  <c r="J8" i="4" a="1"/>
  <c r="J10" i="4" a="1"/>
  <c r="J12" i="4" a="1"/>
  <c r="J14" i="4" a="1"/>
  <c r="J16" i="4" a="1"/>
  <c r="J18" i="4" a="1"/>
  <c r="J20" i="4" a="1"/>
  <c r="J22" i="4" a="1"/>
  <c r="J24" i="4" a="1"/>
  <c r="J26" i="4" a="1"/>
  <c r="J28" i="4" a="1"/>
  <c r="J30" i="4" a="1"/>
  <c r="J32" i="4" a="1"/>
  <c r="J34" i="4" a="1"/>
  <c r="J36" i="4" a="1"/>
  <c r="J38" i="4" a="1"/>
  <c r="J40" i="4" a="1"/>
  <c r="J42" i="4" a="1"/>
  <c r="J44" i="4" a="1"/>
  <c r="J46" i="4" a="1"/>
  <c r="J48" i="4" a="1"/>
  <c r="J50" i="4" a="1"/>
  <c r="J52" i="4" a="1"/>
  <c r="J54" i="4" a="1"/>
  <c r="J56" i="4" a="1"/>
  <c r="J58" i="4" a="1"/>
  <c r="J60" i="4" a="1"/>
  <c r="J62" i="4" a="1"/>
  <c r="J64" i="4" a="1"/>
  <c r="J66" i="4" a="1"/>
  <c r="J68" i="4" a="1"/>
  <c r="J70" i="4" a="1"/>
  <c r="J74" i="4" a="1"/>
  <c r="J6" i="4" a="1"/>
  <c r="F16" i="4" a="1"/>
  <c r="F15" i="4" a="1"/>
  <c r="F14" i="4" a="1"/>
  <c r="F13" i="4" a="1"/>
  <c r="F12" i="4" a="1"/>
  <c r="F11" i="4" a="1"/>
  <c r="F10" i="4" a="1"/>
  <c r="F9" i="4" a="1"/>
  <c r="F8" i="4" a="1"/>
  <c r="F7" i="4" a="1"/>
  <c r="F6" i="4" a="1"/>
  <c r="F5" i="4" a="1"/>
  <c r="F4" i="4" a="1"/>
  <c r="F3" i="4" a="1"/>
  <c r="D7" i="3" a="1"/>
  <c r="C7" i="2" a="1"/>
  <c r="K74" i="4" l="1"/>
  <c r="K72" i="4"/>
  <c r="K68" i="4"/>
  <c r="K64" i="4"/>
  <c r="K60" i="4"/>
  <c r="K56" i="4"/>
  <c r="K54" i="4"/>
  <c r="K52" i="4"/>
  <c r="K48" i="4"/>
  <c r="K46" i="4"/>
  <c r="K44" i="4"/>
  <c r="K42" i="4"/>
  <c r="K40" i="4"/>
  <c r="K38" i="4"/>
  <c r="K36" i="4"/>
  <c r="K34" i="4"/>
  <c r="K32" i="4"/>
  <c r="K30" i="4"/>
  <c r="K28" i="4"/>
  <c r="K26" i="4"/>
  <c r="K24" i="4"/>
  <c r="K22" i="4"/>
  <c r="K20" i="4"/>
  <c r="K18" i="4"/>
  <c r="K16" i="4"/>
  <c r="K14" i="4"/>
  <c r="K12" i="4"/>
  <c r="K10" i="4"/>
  <c r="K8" i="4"/>
  <c r="K70" i="4"/>
  <c r="K66" i="4"/>
  <c r="K62" i="4"/>
  <c r="K58" i="4"/>
  <c r="K50" i="4"/>
  <c r="K73" i="4"/>
  <c r="K71" i="4"/>
  <c r="K69" i="4"/>
  <c r="K67" i="4"/>
  <c r="K65" i="4"/>
  <c r="K63" i="4"/>
  <c r="K61" i="4"/>
  <c r="K59" i="4"/>
  <c r="K57" i="4"/>
  <c r="K55" i="4"/>
  <c r="K53" i="4"/>
  <c r="K51" i="4"/>
  <c r="K49" i="4"/>
  <c r="K47" i="4"/>
  <c r="K45" i="4"/>
  <c r="K43" i="4"/>
  <c r="K41" i="4"/>
  <c r="K39" i="4"/>
  <c r="K37" i="4"/>
  <c r="K35" i="4"/>
  <c r="K33" i="4"/>
  <c r="K31" i="4"/>
  <c r="K29" i="4"/>
  <c r="K27" i="4"/>
  <c r="K25" i="4"/>
  <c r="K23" i="4"/>
  <c r="K21" i="4"/>
  <c r="K19" i="4"/>
  <c r="K17" i="4"/>
  <c r="K15" i="4"/>
  <c r="K13" i="4"/>
  <c r="K11" i="4"/>
  <c r="K9" i="4"/>
  <c r="K7" i="4"/>
  <c r="K6" i="4"/>
  <c r="J74" i="4"/>
  <c r="J70" i="4"/>
  <c r="J68" i="4"/>
  <c r="J66" i="4"/>
  <c r="J64" i="4"/>
  <c r="J62" i="4"/>
  <c r="J60" i="4"/>
  <c r="J58" i="4"/>
  <c r="J56" i="4"/>
  <c r="J54" i="4"/>
  <c r="J52" i="4"/>
  <c r="J50" i="4"/>
  <c r="J48" i="4"/>
  <c r="J46" i="4"/>
  <c r="J44" i="4"/>
  <c r="J42" i="4"/>
  <c r="J40" i="4"/>
  <c r="J38" i="4"/>
  <c r="J36" i="4"/>
  <c r="J34" i="4"/>
  <c r="J32" i="4"/>
  <c r="J30" i="4"/>
  <c r="J28" i="4"/>
  <c r="J26" i="4"/>
  <c r="J24" i="4"/>
  <c r="J22" i="4"/>
  <c r="J20" i="4"/>
  <c r="J18" i="4"/>
  <c r="J16" i="4"/>
  <c r="J14" i="4"/>
  <c r="J12" i="4"/>
  <c r="J10" i="4"/>
  <c r="J8" i="4"/>
  <c r="J72" i="4"/>
  <c r="J73" i="4"/>
  <c r="J71" i="4"/>
  <c r="J69" i="4"/>
  <c r="J67" i="4"/>
  <c r="J65" i="4"/>
  <c r="J63" i="4"/>
  <c r="J61" i="4"/>
  <c r="J59" i="4"/>
  <c r="J57" i="4"/>
  <c r="J55" i="4"/>
  <c r="J53" i="4"/>
  <c r="J51" i="4"/>
  <c r="J49" i="4"/>
  <c r="J47" i="4"/>
  <c r="J45" i="4"/>
  <c r="J43" i="4"/>
  <c r="J41" i="4"/>
  <c r="J39" i="4"/>
  <c r="J37" i="4"/>
  <c r="J35" i="4"/>
  <c r="J33" i="4"/>
  <c r="J31" i="4"/>
  <c r="J29" i="4"/>
  <c r="J27" i="4"/>
  <c r="J25" i="4"/>
  <c r="J23" i="4"/>
  <c r="J21" i="4"/>
  <c r="J19" i="4"/>
  <c r="J17" i="4"/>
  <c r="J15" i="4"/>
  <c r="J13" i="4"/>
  <c r="J11" i="4"/>
  <c r="J9" i="4"/>
  <c r="J7" i="4"/>
  <c r="J6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D7" i="3"/>
  <c r="C14" i="2"/>
  <c r="C13" i="2"/>
  <c r="C7" i="2"/>
  <c r="H2" i="4" a="1"/>
  <c r="D8" i="3" a="1"/>
  <c r="C8" i="2" a="1"/>
  <c r="H2" i="4" l="1"/>
  <c r="D8" i="3"/>
  <c r="C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<sst xmlns="http://schemas.openxmlformats.org/spreadsheetml/2006/main" count="38" uniqueCount="35">
  <si>
    <t>https://home.treasury.gov/resource-center/data-chart-center/interest-rates/daily-treasury-rates.csv/2026/all?field_tdr_date_value=2026&amp;type=daily_treasury_yield_curve&amp;page&amp;_format=csv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</si>
  <si>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</si>
  <si>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</si>
  <si>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</si>
  <si>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</si>
  <si>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</si>
  <si>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</si>
  <si>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</si>
  <si>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</si>
  <si>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</si>
  <si>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</si>
  <si>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</si>
  <si>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</si>
  <si>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</si>
  <si>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</si>
  <si>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</si>
  <si>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</si>
  <si>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</si>
  <si>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</si>
  <si>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</si>
  <si>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</si>
  <si>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t</t>
  </si>
  <si>
    <t>spot</t>
  </si>
  <si>
    <t>forward</t>
  </si>
  <si>
    <t>FI.INSTRUMENT</t>
  </si>
  <si>
    <t>1</t>
  </si>
  <si>
    <t>2</t>
  </si>
  <si>
    <t>3</t>
  </si>
  <si>
    <t>4</t>
  </si>
  <si>
    <t>ZERO_COUPON_BOND - 2‑year ZCB, payment 1.2</t>
  </si>
  <si>
    <t>BOND -7‑year, 6% coupon, semiannual payments</t>
  </si>
  <si>
    <t>\FI CURVE PWFLAT</t>
  </si>
  <si>
    <t>FI CURVE PWFLAT</t>
  </si>
  <si>
    <t>0.5</t>
  </si>
  <si>
    <t>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</si>
</sst>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0x&quot;#"/>
    <numFmt numFmtId="165" formatCode="0.000"/>
    <numFmt numFmtId="166" formatCode="0.00000000000000"/>
    <numFmt numFmtId="167" formatCode="0.000000000000000"/>
  </numFmts>
  <fonts count="5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2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2" fontId="0" fillId="2" borderId="1" xfId="2" applyNumberFormat="1" applyFont="1"/>
    <xf numFmtId="166" fontId="0" fillId="0" borderId="0" xfId="0" applyNumberFormat="1"/>
    <xf numFmtId="167" fontId="0" fillId="0" borderId="0" xfId="0" applyNumberFormat="1"/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1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 Forward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Bootstrap!$J$5</c:f>
              <c:strCache>
                <c:ptCount val="1"/>
                <c:pt idx="0">
                  <c:v>spot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Bootstrap!$J$6:$J$74</c:f>
              <c:numCache>
                <c:formatCode>0.00000000000000</c:formatCode>
                <c:ptCount val="69"/>
                <c:pt idx="0">
                  <c:v>9.4847646038587991E-5</c:v>
                </c:pt>
                <c:pt idx="1">
                  <c:v>9.9369544121228411E-5</c:v>
                </c:pt>
                <c:pt idx="2">
                  <c:v>1.0319493590956648E-4</c:v>
                </c:pt>
                <c:pt idx="3">
                  <c:v>1.0277943078655095E-4</c:v>
                </c:pt>
                <c:pt idx="4">
                  <c:v>1.0138994723094963E-4</c:v>
                </c:pt>
                <c:pt idx="5">
                  <c:v>1.0000018246291529E-4</c:v>
                </c:pt>
                <c:pt idx="6">
                  <c:v>9.8982943137132433E-5</c:v>
                </c:pt>
                <c:pt idx="7">
                  <c:v>9.8256343618716071E-5</c:v>
                </c:pt>
                <c:pt idx="8">
                  <c:v>9.7711393979903836E-5</c:v>
                </c:pt>
                <c:pt idx="9">
                  <c:v>9.7287544260827642E-5</c:v>
                </c:pt>
                <c:pt idx="10">
                  <c:v>9.6948464485566675E-5</c:v>
                </c:pt>
                <c:pt idx="11">
                  <c:v>2.3372855440415324E-2</c:v>
                </c:pt>
                <c:pt idx="12">
                  <c:v>3.5010808928380197E-2</c:v>
                </c:pt>
                <c:pt idx="13">
                  <c:v>3.507465870831155E-2</c:v>
                </c:pt>
                <c:pt idx="14">
                  <c:v>3.511722522826579E-2</c:v>
                </c:pt>
                <c:pt idx="15">
                  <c:v>3.5655466868940493E-2</c:v>
                </c:pt>
                <c:pt idx="16">
                  <c:v>3.6059148099446527E-2</c:v>
                </c:pt>
                <c:pt idx="17">
                  <c:v>3.6373122389840105E-2</c:v>
                </c:pt>
                <c:pt idx="18">
                  <c:v>3.6624301822154967E-2</c:v>
                </c:pt>
                <c:pt idx="19">
                  <c:v>3.7286927375230428E-2</c:v>
                </c:pt>
                <c:pt idx="20">
                  <c:v>3.783911533612664E-2</c:v>
                </c:pt>
                <c:pt idx="21">
                  <c:v>3.8306351303038819E-2</c:v>
                </c:pt>
                <c:pt idx="22">
                  <c:v>3.8706839274677829E-2</c:v>
                </c:pt>
                <c:pt idx="23">
                  <c:v>3.9262948462946819E-2</c:v>
                </c:pt>
                <c:pt idx="24">
                  <c:v>3.9749544002682172E-2</c:v>
                </c:pt>
                <c:pt idx="25">
                  <c:v>4.0178893008331024E-2</c:v>
                </c:pt>
                <c:pt idx="26">
                  <c:v>4.0560536568907776E-2</c:v>
                </c:pt>
                <c:pt idx="27">
                  <c:v>4.0902007123108028E-2</c:v>
                </c:pt>
                <c:pt idx="28">
                  <c:v>4.1209330621888259E-2</c:v>
                </c:pt>
                <c:pt idx="29">
                  <c:v>4.186315643180373E-2</c:v>
                </c:pt>
                <c:pt idx="30">
                  <c:v>4.2457543531726878E-2</c:v>
                </c:pt>
                <c:pt idx="31">
                  <c:v>4.3000244796874108E-2</c:v>
                </c:pt>
                <c:pt idx="32">
                  <c:v>4.3497720956592406E-2</c:v>
                </c:pt>
                <c:pt idx="33">
                  <c:v>4.395539902353323E-2</c:v>
                </c:pt>
                <c:pt idx="34">
                  <c:v>4.4377871085324767E-2</c:v>
                </c:pt>
                <c:pt idx="35">
                  <c:v>4.4769048920316926E-2</c:v>
                </c:pt>
                <c:pt idx="36">
                  <c:v>4.5132285481381082E-2</c:v>
                </c:pt>
                <c:pt idx="37">
                  <c:v>4.5470471245130456E-2</c:v>
                </c:pt>
                <c:pt idx="38">
                  <c:v>4.5786111291296547E-2</c:v>
                </c:pt>
                <c:pt idx="39">
                  <c:v>4.6081387463516435E-2</c:v>
                </c:pt>
                <c:pt idx="40">
                  <c:v>4.6358208874972585E-2</c:v>
                </c:pt>
                <c:pt idx="41">
                  <c:v>4.6618253231188969E-2</c:v>
                </c:pt>
                <c:pt idx="42">
                  <c:v>4.686300086056909E-2</c:v>
                </c:pt>
                <c:pt idx="43">
                  <c:v>4.7093762911127483E-2</c:v>
                </c:pt>
                <c:pt idx="44">
                  <c:v>4.7311704847765979E-2</c:v>
                </c:pt>
                <c:pt idx="45">
                  <c:v>4.751786613918077E-2</c:v>
                </c:pt>
                <c:pt idx="46">
                  <c:v>4.7713176836310565E-2</c:v>
                </c:pt>
                <c:pt idx="47">
                  <c:v>4.7898471600254219E-2</c:v>
                </c:pt>
                <c:pt idx="48">
                  <c:v>4.8074501626000701E-2</c:v>
                </c:pt>
                <c:pt idx="49">
                  <c:v>4.8101032464489143E-2</c:v>
                </c:pt>
                <c:pt idx="50">
                  <c:v>4.8126299929716232E-2</c:v>
                </c:pt>
                <c:pt idx="51">
                  <c:v>4.8150392164002534E-2</c:v>
                </c:pt>
                <c:pt idx="52">
                  <c:v>4.817338929673036E-2</c:v>
                </c:pt>
                <c:pt idx="53">
                  <c:v>4.8195364334670289E-2</c:v>
                </c:pt>
                <c:pt idx="54">
                  <c:v>4.8216383936178046E-2</c:v>
                </c:pt>
                <c:pt idx="55">
                  <c:v>4.8236509086557806E-2</c:v>
                </c:pt>
                <c:pt idx="56">
                  <c:v>4.8255795689005086E-2</c:v>
                </c:pt>
                <c:pt idx="57">
                  <c:v>4.82742950831892E-2</c:v>
                </c:pt>
                <c:pt idx="58">
                  <c:v>4.8292054501605959E-2</c:v>
                </c:pt>
                <c:pt idx="59">
                  <c:v>4.8309117472241668E-2</c:v>
                </c:pt>
                <c:pt idx="60">
                  <c:v>4.8325524174775994E-2</c:v>
                </c:pt>
                <c:pt idx="61">
                  <c:v>4.8341311756459983E-2</c:v>
                </c:pt>
                <c:pt idx="62">
                  <c:v>4.835651461289641E-2</c:v>
                </c:pt>
                <c:pt idx="63">
                  <c:v>4.837116463818969E-2</c:v>
                </c:pt>
                <c:pt idx="64">
                  <c:v>4.8385291448293934E-2</c:v>
                </c:pt>
                <c:pt idx="65">
                  <c:v>4.8398922580850649E-2</c:v>
                </c:pt>
                <c:pt idx="66">
                  <c:v>4.8412083674353693E-2</c:v>
                </c:pt>
                <c:pt idx="67">
                  <c:v>4.8424798629093914E-2</c:v>
                </c:pt>
                <c:pt idx="68">
                  <c:v>4.8437089752009464E-2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D8-4481-A1F2-D55D6A698897}"/>
            </c:ext>
          </c:extLst>
        </c:ser>
        <c:ser>
          <c:idx val="1"/>
          <c:order val="1"/>
          <c:tx>
            <c:strRef>
              <c:f>Bootstrap!$K$5</c:f>
              <c:strCache>
                <c:ptCount val="1"/>
                <c:pt idx="0">
                  <c:v>forward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Bootstrap!$K$6:$K$74</c:f>
              <c:numCache>
                <c:formatCode>0.000000000000000</c:formatCode>
                <c:ptCount val="69"/>
                <c:pt idx="0">
                  <c:v>9.4847646038587991E-5</c:v>
                </c:pt>
                <c:pt idx="1">
                  <c:v>1.2197903453443039E-4</c:v>
                </c:pt>
                <c:pt idx="2">
                  <c:v>1.0111459817015834E-4</c:v>
                </c:pt>
                <c:pt idx="3">
                  <c:v>1.0278224291088134E-4</c:v>
                </c:pt>
                <c:pt idx="4">
                  <c:v>9.4441123390777873E-5</c:v>
                </c:pt>
                <c:pt idx="5">
                  <c:v>9.4441123390777873E-5</c:v>
                </c:pt>
                <c:pt idx="6">
                  <c:v>9.3896746508218072E-5</c:v>
                </c:pt>
                <c:pt idx="7">
                  <c:v>9.3896746508218072E-5</c:v>
                </c:pt>
                <c:pt idx="8">
                  <c:v>9.3896746508218072E-5</c:v>
                </c:pt>
                <c:pt idx="9">
                  <c:v>9.3896746508218072E-5</c:v>
                </c:pt>
                <c:pt idx="10">
                  <c:v>9.3896746508218072E-5</c:v>
                </c:pt>
                <c:pt idx="11">
                  <c:v>6.9924669392274832E-2</c:v>
                </c:pt>
                <c:pt idx="12">
                  <c:v>6.9924669392274832E-2</c:v>
                </c:pt>
                <c:pt idx="13">
                  <c:v>3.5330057828036977E-2</c:v>
                </c:pt>
                <c:pt idx="14">
                  <c:v>3.5330057828036977E-2</c:v>
                </c:pt>
                <c:pt idx="15">
                  <c:v>3.8884916712988743E-2</c:v>
                </c:pt>
                <c:pt idx="16">
                  <c:v>3.8884916712988743E-2</c:v>
                </c:pt>
                <c:pt idx="17">
                  <c:v>3.8884916712988743E-2</c:v>
                </c:pt>
                <c:pt idx="18">
                  <c:v>3.8884916712988743E-2</c:v>
                </c:pt>
                <c:pt idx="19">
                  <c:v>4.3913182905984977E-2</c:v>
                </c:pt>
                <c:pt idx="20">
                  <c:v>4.3913182905984977E-2</c:v>
                </c:pt>
                <c:pt idx="21">
                  <c:v>4.3913182905984977E-2</c:v>
                </c:pt>
                <c:pt idx="22">
                  <c:v>4.3913182905984977E-2</c:v>
                </c:pt>
                <c:pt idx="23">
                  <c:v>4.7048477098712585E-2</c:v>
                </c:pt>
                <c:pt idx="24">
                  <c:v>4.7048477098712585E-2</c:v>
                </c:pt>
                <c:pt idx="25">
                  <c:v>4.7048477098712585E-2</c:v>
                </c:pt>
                <c:pt idx="26">
                  <c:v>4.7048477098712585E-2</c:v>
                </c:pt>
                <c:pt idx="27">
                  <c:v>4.7048477098712585E-2</c:v>
                </c:pt>
                <c:pt idx="28">
                  <c:v>4.7048477098712585E-2</c:v>
                </c:pt>
                <c:pt idx="29">
                  <c:v>5.493967263011313E-2</c:v>
                </c:pt>
                <c:pt idx="30">
                  <c:v>5.493967263011313E-2</c:v>
                </c:pt>
                <c:pt idx="31">
                  <c:v>5.493967263011313E-2</c:v>
                </c:pt>
                <c:pt idx="32">
                  <c:v>5.493967263011313E-2</c:v>
                </c:pt>
                <c:pt idx="33">
                  <c:v>5.493967263011313E-2</c:v>
                </c:pt>
                <c:pt idx="34">
                  <c:v>5.493967263011313E-2</c:v>
                </c:pt>
                <c:pt idx="35">
                  <c:v>5.493967263011313E-2</c:v>
                </c:pt>
                <c:pt idx="36">
                  <c:v>5.493967263011313E-2</c:v>
                </c:pt>
                <c:pt idx="37">
                  <c:v>5.493967263011313E-2</c:v>
                </c:pt>
                <c:pt idx="38">
                  <c:v>5.493967263011313E-2</c:v>
                </c:pt>
                <c:pt idx="39">
                  <c:v>5.493967263011313E-2</c:v>
                </c:pt>
                <c:pt idx="40">
                  <c:v>5.493967263011313E-2</c:v>
                </c:pt>
                <c:pt idx="41">
                  <c:v>5.493967263011313E-2</c:v>
                </c:pt>
                <c:pt idx="42">
                  <c:v>5.493967263011313E-2</c:v>
                </c:pt>
                <c:pt idx="43">
                  <c:v>5.493967263011313E-2</c:v>
                </c:pt>
                <c:pt idx="44">
                  <c:v>5.493967263011313E-2</c:v>
                </c:pt>
                <c:pt idx="45">
                  <c:v>5.493967263011313E-2</c:v>
                </c:pt>
                <c:pt idx="46">
                  <c:v>5.493967263011313E-2</c:v>
                </c:pt>
                <c:pt idx="47">
                  <c:v>5.493967263011313E-2</c:v>
                </c:pt>
                <c:pt idx="48">
                  <c:v>5.493967263011313E-2</c:v>
                </c:pt>
                <c:pt idx="49">
                  <c:v>4.9162266004027004E-2</c:v>
                </c:pt>
                <c:pt idx="50">
                  <c:v>4.9162266004027004E-2</c:v>
                </c:pt>
                <c:pt idx="51">
                  <c:v>4.9162266004027004E-2</c:v>
                </c:pt>
                <c:pt idx="52">
                  <c:v>4.9162266004027004E-2</c:v>
                </c:pt>
                <c:pt idx="53">
                  <c:v>4.9162266004027004E-2</c:v>
                </c:pt>
                <c:pt idx="54">
                  <c:v>4.9162266004027004E-2</c:v>
                </c:pt>
                <c:pt idx="55">
                  <c:v>4.9162266004027004E-2</c:v>
                </c:pt>
                <c:pt idx="56">
                  <c:v>4.9162266004027004E-2</c:v>
                </c:pt>
                <c:pt idx="57">
                  <c:v>4.9162266004027004E-2</c:v>
                </c:pt>
                <c:pt idx="58">
                  <c:v>4.9162266004027004E-2</c:v>
                </c:pt>
                <c:pt idx="59">
                  <c:v>4.9162266004027004E-2</c:v>
                </c:pt>
                <c:pt idx="60">
                  <c:v>4.9162266004027004E-2</c:v>
                </c:pt>
                <c:pt idx="61">
                  <c:v>4.9162266004027004E-2</c:v>
                </c:pt>
                <c:pt idx="62">
                  <c:v>4.9162266004027004E-2</c:v>
                </c:pt>
                <c:pt idx="63">
                  <c:v>4.9162266004027004E-2</c:v>
                </c:pt>
                <c:pt idx="64">
                  <c:v>4.9162266004027004E-2</c:v>
                </c:pt>
                <c:pt idx="65">
                  <c:v>4.9162266004027004E-2</c:v>
                </c:pt>
                <c:pt idx="66">
                  <c:v>4.9162266004027004E-2</c:v>
                </c:pt>
                <c:pt idx="67">
                  <c:v>4.9162266004027004E-2</c:v>
                </c:pt>
                <c:pt idx="68">
                  <c:v>4.9162266004027004E-2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D8-4481-A1F2-D55D6A698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418848"/>
        <c:axId val="133416928"/>
      </c:scatterChart>
      <c:valAx>
        <c:axId val="1334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16928"/>
        <c:crosses val="autoZero"/>
        <c:crossBetween val="midCat"/>
      </c:valAx>
      <c:valAx>
        <c:axId val="13341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5</xdr:row>
      <xdr:rowOff>142875</xdr:rowOff>
    </xdr:from>
    <xdr:to>
      <xdr:col>17</xdr:col>
      <xdr:colOff>404812</xdr:colOff>
      <xdr:row>17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963100-7EDF-BDC2-B5E8-183F2976C3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0AB24-5479-4443-82F6-B2817D3A85D2}" name="Table1" displayName="Table1" ref="B4:E5" totalsRowShown="0" headerRowDxfId="11" dataDxfId="6">
  <autoFilter ref="B4:E5" xr:uid="{10D0AB24-5479-4443-82F6-B2817D3A85D2}"/>
  <tableColumns count="4">
    <tableColumn id="1" xr3:uid="{1C66AA56-0864-45A5-912F-CFB6F2D966E6}" name="1" dataDxfId="10">
      <calculatedColumnFormula>RAND()</calculatedColumnFormula>
    </tableColumn>
    <tableColumn id="2" xr3:uid="{60643C30-37FB-496E-96E2-269B6DA3962E}" name="2" dataDxfId="9">
      <calculatedColumnFormula>RAND()</calculatedColumnFormula>
    </tableColumn>
    <tableColumn id="3" xr3:uid="{EC5DA635-09DB-48A1-9492-84C5FCFFF60E}" name="3" dataDxfId="8">
      <calculatedColumnFormula>RAND()</calculatedColumnFormula>
    </tableColumn>
    <tableColumn id="4" xr3:uid="{19391DBD-D285-4184-8ABB-327B80A8A763}" name="4" dataDxfId="7">
      <calculatedColumnFormula>RAND()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8AC1D6-F00D-49BD-8F31-870FEB25A547}" name="Table2" displayName="Table2" ref="B4:E5" totalsRowShown="0" headerRowDxfId="1" dataDxfId="0">
  <autoFilter ref="B4:E5" xr:uid="{928AC1D6-F00D-49BD-8F31-870FEB25A547}"/>
  <tableColumns count="4">
    <tableColumn id="1" xr3:uid="{5E784858-F190-418E-96CE-89E824748BC3}" name="0.5" dataDxfId="5"/>
    <tableColumn id="2" xr3:uid="{AEDD451D-D200-46AE-B6B5-A18FE25F3884}" name="1" dataDxfId="4"/>
    <tableColumn id="3" xr3:uid="{0A2AF0F5-A65F-4C53-82F0-C87E57144BB3}" name="1.5" dataDxfId="3"/>
    <tableColumn id="4" xr3:uid="{30B46E76-DBA7-4A8A-827A-B91642B3DEA5}" name="2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E21" sqref="E21"/>
    </sheetView>
  </sheetViews>
  <sheetFormatPr defaultRowHeight="18.75" x14ac:dyDescent="0.3"/>
  <sheetData>
    <row r="2" spans="2:16" x14ac:dyDescent="0.3">
      <c r="B2" s="1" t="s">
        <v>0</v>
      </c>
    </row>
    <row r="4" spans="2:16" x14ac:dyDescent="0.3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F14"/>
  <sheetViews>
    <sheetView workbookViewId="0">
      <selection activeCell="J4" sqref="J4"/>
    </sheetView>
  </sheetViews>
  <sheetFormatPr defaultRowHeight="18.75" x14ac:dyDescent="0.3"/>
  <cols>
    <col min="2" max="2" width="20.69921875" customWidth="1"/>
    <col min="3" max="3" width="11.8984375" bestFit="1" customWidth="1"/>
  </cols>
  <sheetData>
    <row r="2" spans="2:6" x14ac:dyDescent="0.3">
      <c r="B2" s="3"/>
    </row>
    <row r="4" spans="2:6" x14ac:dyDescent="0.3">
      <c r="B4" s="3" t="s">
        <v>25</v>
      </c>
      <c r="C4" s="3" t="s">
        <v>26</v>
      </c>
      <c r="D4" s="3" t="s">
        <v>27</v>
      </c>
      <c r="E4" s="3" t="s">
        <v>28</v>
      </c>
    </row>
    <row r="5" spans="2:6" x14ac:dyDescent="0.3">
      <c r="B5" s="3">
        <f ca="1">RAND()</f>
        <v>0.68165361828783522</v>
      </c>
      <c r="C5" s="3">
        <f t="shared" ref="C5:E5" ca="1" si="0">RAND()</f>
        <v>0.58009549984941977</v>
      </c>
      <c r="D5" s="3">
        <f t="shared" ca="1" si="0"/>
        <v>0.80868358712157018</v>
      </c>
      <c r="E5" s="3">
        <f t="shared" ca="1" si="0"/>
        <v>0.30426902985053439</v>
      </c>
    </row>
    <row r="7" spans="2:6" x14ac:dyDescent="0.3">
      <c r="B7" t="s">
        <v>24</v>
      </c>
      <c r="C7" cm="1">
        <f t="array" aca="1" ref="C7" ca="1">_xll.\FI.INSTRUMENT(B4:E4,B5:E5)</f>
        <v>1718214717344</v>
      </c>
    </row>
    <row r="8" spans="2:6" x14ac:dyDescent="0.3">
      <c r="B8" t="s">
        <v>24</v>
      </c>
      <c r="C8" cm="1">
        <f t="array" aca="1" ref="C8:F9" ca="1">_xll.FI.INSTRUMENT(C7)</f>
        <v>1</v>
      </c>
      <c r="D8">
        <f ca="1"/>
        <v>2</v>
      </c>
      <c r="E8">
        <f ca="1"/>
        <v>3</v>
      </c>
      <c r="F8">
        <f ca="1"/>
        <v>4</v>
      </c>
    </row>
    <row r="9" spans="2:6" x14ac:dyDescent="0.3">
      <c r="C9">
        <f ca="1"/>
        <v>0.68165361828783522</v>
      </c>
      <c r="D9">
        <f ca="1"/>
        <v>0.58009549984941977</v>
      </c>
      <c r="E9">
        <f ca="1"/>
        <v>0.80868358712157018</v>
      </c>
      <c r="F9">
        <f ca="1"/>
        <v>0.30426902985053439</v>
      </c>
    </row>
    <row r="13" spans="2:6" ht="37.5" x14ac:dyDescent="0.3">
      <c r="B13" s="8" t="s">
        <v>29</v>
      </c>
      <c r="C13" cm="1">
        <f t="array" ref="C13">_xll.\FI.INSTRUMENT.ZERO_COUPON_BOND(2, 1.2)</f>
        <v>2528401339424</v>
      </c>
    </row>
    <row r="14" spans="2:6" ht="56.25" x14ac:dyDescent="0.3">
      <c r="B14" s="8" t="s">
        <v>30</v>
      </c>
      <c r="C14" cm="1">
        <f t="array" ref="C14">_xll.\FI.INSTRUMENT.BOND(7, 0.06, 2)</f>
        <v>2528309910480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G9"/>
  <sheetViews>
    <sheetView workbookViewId="0">
      <selection activeCell="D11" sqref="D11"/>
    </sheetView>
  </sheetViews>
  <sheetFormatPr defaultRowHeight="18.75" x14ac:dyDescent="0.3"/>
  <cols>
    <col min="4" max="4" width="11.8984375" bestFit="1" customWidth="1"/>
  </cols>
  <sheetData>
    <row r="2" spans="2:7" x14ac:dyDescent="0.3">
      <c r="B2" t="s">
        <v>1</v>
      </c>
    </row>
    <row r="4" spans="2:7" x14ac:dyDescent="0.3">
      <c r="B4" s="3" t="s">
        <v>33</v>
      </c>
      <c r="C4" s="3" t="s">
        <v>25</v>
      </c>
      <c r="D4" s="3" t="s">
        <v>34</v>
      </c>
      <c r="E4" s="3" t="s">
        <v>26</v>
      </c>
    </row>
    <row r="5" spans="2:7" x14ac:dyDescent="0.3">
      <c r="B5" s="3">
        <v>0.03</v>
      </c>
      <c r="C5" s="3">
        <v>3.2000000000000001E-2</v>
      </c>
      <c r="D5" s="3">
        <v>3.5000000000000003E-2</v>
      </c>
      <c r="E5" s="3">
        <v>3.7999999999999999E-2</v>
      </c>
    </row>
    <row r="7" spans="2:7" x14ac:dyDescent="0.3">
      <c r="B7" t="s">
        <v>31</v>
      </c>
      <c r="D7" cm="1">
        <f t="array" ref="D7">_xll.\FI.CURVE.PWFLAT(B4:E4,B5:E5)</f>
        <v>1720086463504</v>
      </c>
    </row>
    <row r="8" spans="2:7" x14ac:dyDescent="0.3">
      <c r="B8" t="s">
        <v>32</v>
      </c>
      <c r="D8" cm="1">
        <f t="array" ref="D8:G9">_xll.FI.CURVE.PWFLAT(D7)</f>
        <v>0.5</v>
      </c>
      <c r="E8">
        <v>1</v>
      </c>
      <c r="F8">
        <v>1.5</v>
      </c>
      <c r="G8">
        <v>2</v>
      </c>
    </row>
    <row r="9" spans="2:7" x14ac:dyDescent="0.3">
      <c r="D9">
        <v>0.03</v>
      </c>
      <c r="E9">
        <v>3.2000000000000001E-2</v>
      </c>
      <c r="F9">
        <v>3.5000000000000003E-2</v>
      </c>
      <c r="G9">
        <v>3.7999999999999999E-2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workbookViewId="0">
      <selection activeCell="O27" sqref="O27"/>
    </sheetView>
  </sheetViews>
  <sheetFormatPr defaultRowHeight="18.75" x14ac:dyDescent="0.3"/>
  <cols>
    <col min="6" max="6" width="16.5" bestFit="1" customWidth="1"/>
    <col min="8" max="8" width="16.5" bestFit="1" customWidth="1"/>
    <col min="10" max="10" width="16.5" bestFit="1" customWidth="1"/>
    <col min="11" max="11" width="17.59765625" bestFit="1" customWidth="1"/>
  </cols>
  <sheetData>
    <row r="2" spans="2:12" x14ac:dyDescent="0.3">
      <c r="C2" s="7" t="s">
        <v>15</v>
      </c>
      <c r="D2" s="7" t="s">
        <v>16</v>
      </c>
      <c r="E2" s="7" t="s">
        <v>17</v>
      </c>
      <c r="F2" t="s">
        <v>18</v>
      </c>
      <c r="G2" s="2" t="s">
        <v>20</v>
      </c>
      <c r="H2" s="9" cm="1">
        <f t="array" ref="H2">_xll.\FI.CURVE.PWFLAT.BOOTSTRAP(F3:F16, E3:E16)</f>
        <v>1720091316896</v>
      </c>
    </row>
    <row r="3" spans="2:12" x14ac:dyDescent="0.3">
      <c r="B3" s="2" t="s">
        <v>2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9" cm="1">
        <f t="array" ref="F3">_xll.\FI.INSTRUMENT.ZERO_COUPON_BOND(C3)</f>
        <v>1720091151152</v>
      </c>
    </row>
    <row r="4" spans="2:12" x14ac:dyDescent="0.3">
      <c r="B4" s="2" t="s">
        <v>19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s="9" cm="1">
        <f t="array" ref="F4">_xll.\FI.INSTRUMENT.ZERO_COUPON_BOND(C4)</f>
        <v>1720090059248</v>
      </c>
    </row>
    <row r="5" spans="2:12" x14ac:dyDescent="0.3">
      <c r="B5" s="2" t="s">
        <v>3</v>
      </c>
      <c r="C5" s="4">
        <f>2/12</f>
        <v>0.16666666666666666</v>
      </c>
      <c r="D5">
        <v>3.73E-2</v>
      </c>
      <c r="E5">
        <f t="shared" si="0"/>
        <v>0.99998273148148153</v>
      </c>
      <c r="F5" s="9" cm="1">
        <f t="array" ref="F5">_xll.\FI.INSTRUMENT.ZERO_COUPON_BOND(C5)</f>
        <v>1720090061984</v>
      </c>
      <c r="I5" s="7" t="s">
        <v>21</v>
      </c>
      <c r="J5" s="7" t="s">
        <v>22</v>
      </c>
      <c r="K5" s="7" t="s">
        <v>23</v>
      </c>
    </row>
    <row r="6" spans="2:12" x14ac:dyDescent="0.3">
      <c r="B6" s="2" t="s">
        <v>4</v>
      </c>
      <c r="C6">
        <f>3/12</f>
        <v>0.25</v>
      </c>
      <c r="D6">
        <v>3.7000000000000005E-2</v>
      </c>
      <c r="E6">
        <f t="shared" si="0"/>
        <v>0.99997430555555555</v>
      </c>
      <c r="F6" s="9" cm="1">
        <f t="array" ref="F6">_xll.\FI.INSTRUMENT.ZERO_COUPON_BOND(C6)</f>
        <v>1720090064000</v>
      </c>
      <c r="H6">
        <v>0.1</v>
      </c>
      <c r="I6" cm="1">
        <f t="array" ref="I6:I74">_xlfn.VSTACK(_xlfn.SEQUENCE(1/H6,1,0,H6),_xlfn.SEQUENCE(1+29/H7,1,1,H7))</f>
        <v>0</v>
      </c>
      <c r="J6" s="10" cm="1">
        <f t="array" ref="J6">_xll.FI.CURVE.SPOT($H$2,I6)</f>
        <v>9.4847646038587991E-5</v>
      </c>
      <c r="K6" s="11" cm="1">
        <f t="array" ref="K6">_xll.FI.CURVE.FORWARD($H$2,I6)</f>
        <v>9.4847646038587991E-5</v>
      </c>
    </row>
    <row r="7" spans="2:12" x14ac:dyDescent="0.3">
      <c r="B7" s="2" t="s">
        <v>5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s="9" cm="1">
        <f t="array" ref="F7">_xll.\FI.INSTRUMENT.ZERO_COUPON_BOND(C7)</f>
        <v>1720091301056</v>
      </c>
      <c r="H7">
        <v>0.5</v>
      </c>
      <c r="I7">
        <v>0.1</v>
      </c>
      <c r="J7" s="10" cm="1">
        <f t="array" ref="J7">_xll.FI.CURVE.SPOT($H$2,I7)</f>
        <v>9.9369544121228411E-5</v>
      </c>
      <c r="K7" s="11" cm="1">
        <f t="array" ref="K7">_xll.FI.CURVE.FORWARD($H$2,I7)</f>
        <v>1.2197903453443039E-4</v>
      </c>
    </row>
    <row r="8" spans="2:12" x14ac:dyDescent="0.3">
      <c r="B8" s="2" t="s">
        <v>6</v>
      </c>
      <c r="C8">
        <f>6/12</f>
        <v>0.5</v>
      </c>
      <c r="D8">
        <v>3.6000000000000004E-2</v>
      </c>
      <c r="E8">
        <f t="shared" si="0"/>
        <v>0.99995000000000001</v>
      </c>
      <c r="F8" s="9" cm="1">
        <f t="array" ref="F8">_xll.\FI.INSTRUMENT.ZERO_COUPON_BOND(C8)</f>
        <v>1720091147552</v>
      </c>
      <c r="I8">
        <v>0.2</v>
      </c>
      <c r="J8" s="10" cm="1">
        <f t="array" ref="J8">_xll.FI.CURVE.SPOT($H$2,I8)</f>
        <v>1.0319493590956648E-4</v>
      </c>
      <c r="K8" s="11" cm="1">
        <f t="array" ref="K8">_xll.FI.CURVE.FORWARD($H$2,I8)</f>
        <v>1.0111459817015834E-4</v>
      </c>
    </row>
    <row r="9" spans="2:12" x14ac:dyDescent="0.3">
      <c r="B9" s="2" t="s">
        <v>7</v>
      </c>
      <c r="C9">
        <v>1</v>
      </c>
      <c r="D9">
        <v>3.49E-2</v>
      </c>
      <c r="E9">
        <f t="shared" si="0"/>
        <v>0.99990305555555559</v>
      </c>
      <c r="F9" s="9" cm="1">
        <f t="array" ref="F9">_xll.\FI.INSTRUMENT.ZERO_COUPON_BOND(C9)</f>
        <v>1719619866752</v>
      </c>
      <c r="I9">
        <v>0.30000000000000004</v>
      </c>
      <c r="J9" s="10" cm="1">
        <f t="array" ref="J9">_xll.FI.CURVE.SPOT($H$2,I9)</f>
        <v>1.0277943078655095E-4</v>
      </c>
      <c r="K9" s="11" cm="1">
        <f t="array" ref="K9">_xll.FI.CURVE.FORWARD($H$2,I9)</f>
        <v>1.0278224291088134E-4</v>
      </c>
      <c r="L9" s="6"/>
    </row>
    <row r="10" spans="2:12" x14ac:dyDescent="0.3">
      <c r="B10" s="2" t="s">
        <v>8</v>
      </c>
      <c r="C10">
        <v>2</v>
      </c>
      <c r="D10">
        <v>3.4700000000000002E-2</v>
      </c>
      <c r="E10">
        <v>1</v>
      </c>
      <c r="F10" s="9" cm="1">
        <f t="array" ref="F10">_xll.\FI.INSTRUMENT.BOND(C10,D10,2)</f>
        <v>1719837818736</v>
      </c>
      <c r="I10">
        <v>0.4</v>
      </c>
      <c r="J10" s="10" cm="1">
        <f t="array" ref="J10">_xll.FI.CURVE.SPOT($H$2,I10)</f>
        <v>1.0138994723094963E-4</v>
      </c>
      <c r="K10" s="11" cm="1">
        <f t="array" ref="K10">_xll.FI.CURVE.FORWARD($H$2,I10)</f>
        <v>9.4441123390777873E-5</v>
      </c>
    </row>
    <row r="11" spans="2:12" x14ac:dyDescent="0.3">
      <c r="B11" s="2" t="s">
        <v>9</v>
      </c>
      <c r="C11">
        <v>3</v>
      </c>
      <c r="D11">
        <v>3.5000000000000003E-2</v>
      </c>
      <c r="E11">
        <v>1</v>
      </c>
      <c r="F11" s="9" cm="1">
        <f t="array" ref="F11">_xll.\FI.INSTRUMENT.BOND(C11,D11,2)</f>
        <v>1719619276864</v>
      </c>
      <c r="I11">
        <v>0.5</v>
      </c>
      <c r="J11" s="10" cm="1">
        <f t="array" ref="J11">_xll.FI.CURVE.SPOT($H$2,I11)</f>
        <v>1.0000018246291529E-4</v>
      </c>
      <c r="K11" s="11" cm="1">
        <f t="array" ref="K11">_xll.FI.CURVE.FORWARD($H$2,I11)</f>
        <v>9.4441123390777873E-5</v>
      </c>
    </row>
    <row r="12" spans="2:12" x14ac:dyDescent="0.3">
      <c r="B12" s="2" t="s">
        <v>10</v>
      </c>
      <c r="C12">
        <v>5</v>
      </c>
      <c r="D12">
        <v>3.6600000000000001E-2</v>
      </c>
      <c r="E12">
        <v>1</v>
      </c>
      <c r="F12" s="9" cm="1">
        <f t="array" ref="F12">_xll.\FI.INSTRUMENT.BOND(C12,D12,2)</f>
        <v>1719837814416</v>
      </c>
      <c r="I12">
        <v>0.6</v>
      </c>
      <c r="J12" s="10" cm="1">
        <f t="array" ref="J12">_xll.FI.CURVE.SPOT($H$2,I12)</f>
        <v>9.8982943137132433E-5</v>
      </c>
      <c r="K12" s="11" cm="1">
        <f t="array" ref="K12">_xll.FI.CURVE.FORWARD($H$2,I12)</f>
        <v>9.3896746508218072E-5</v>
      </c>
    </row>
    <row r="13" spans="2:12" x14ac:dyDescent="0.3">
      <c r="B13" s="2" t="s">
        <v>11</v>
      </c>
      <c r="C13">
        <v>7</v>
      </c>
      <c r="D13">
        <v>3.8599999999999995E-2</v>
      </c>
      <c r="E13">
        <v>1</v>
      </c>
      <c r="F13" s="9" cm="1">
        <f t="array" ref="F13">_xll.\FI.INSTRUMENT.BOND(C13,D13,2)</f>
        <v>1719837821616</v>
      </c>
      <c r="I13">
        <v>0.7</v>
      </c>
      <c r="J13" s="10" cm="1">
        <f t="array" ref="J13">_xll.FI.CURVE.SPOT($H$2,I13)</f>
        <v>9.8256343618716071E-5</v>
      </c>
      <c r="K13" s="11" cm="1">
        <f t="array" ref="K13">_xll.FI.CURVE.FORWARD($H$2,I13)</f>
        <v>9.3896746508218072E-5</v>
      </c>
    </row>
    <row r="14" spans="2:12" x14ac:dyDescent="0.3">
      <c r="B14" s="2" t="s">
        <v>12</v>
      </c>
      <c r="C14">
        <v>10</v>
      </c>
      <c r="D14">
        <v>4.0899999999999999E-2</v>
      </c>
      <c r="E14">
        <v>1</v>
      </c>
      <c r="F14" s="9" cm="1">
        <f t="array" ref="F14">_xll.\FI.INSTRUMENT.BOND(C14,D14,2)</f>
        <v>1719837828336</v>
      </c>
      <c r="I14">
        <v>0.79999999999999993</v>
      </c>
      <c r="J14" s="10" cm="1">
        <f t="array" ref="J14">_xll.FI.CURVE.SPOT($H$2,I14)</f>
        <v>9.7711393979903836E-5</v>
      </c>
      <c r="K14" s="11" cm="1">
        <f t="array" ref="K14">_xll.FI.CURVE.FORWARD($H$2,I14)</f>
        <v>9.3896746508218072E-5</v>
      </c>
    </row>
    <row r="15" spans="2:12" x14ac:dyDescent="0.3">
      <c r="B15" s="2" t="s">
        <v>13</v>
      </c>
      <c r="C15">
        <v>20</v>
      </c>
      <c r="D15">
        <v>4.6500000000000007E-2</v>
      </c>
      <c r="E15">
        <v>1</v>
      </c>
      <c r="F15" s="9" cm="1">
        <f t="array" ref="F15">_xll.\FI.INSTRUMENT.BOND(C15,D15,2)</f>
        <v>1719837818576</v>
      </c>
      <c r="I15">
        <v>0.89999999999999991</v>
      </c>
      <c r="J15" s="10" cm="1">
        <f t="array" ref="J15">_xll.FI.CURVE.SPOT($H$2,I15)</f>
        <v>9.7287544260827642E-5</v>
      </c>
      <c r="K15" s="11" cm="1">
        <f t="array" ref="K15">_xll.FI.CURVE.FORWARD($H$2,I15)</f>
        <v>9.3896746508218072E-5</v>
      </c>
    </row>
    <row r="16" spans="2:12" x14ac:dyDescent="0.3">
      <c r="B16" s="2" t="s">
        <v>14</v>
      </c>
      <c r="C16">
        <v>30</v>
      </c>
      <c r="D16">
        <v>4.7100000000000003E-2</v>
      </c>
      <c r="E16">
        <v>1</v>
      </c>
      <c r="F16" s="9" cm="1">
        <f t="array" ref="F16">_xll.\FI.INSTRUMENT.BOND(C16,D16,2)</f>
        <v>1719837823856</v>
      </c>
      <c r="I16">
        <v>1</v>
      </c>
      <c r="J16" s="10" cm="1">
        <f t="array" ref="J16">_xll.FI.CURVE.SPOT($H$2,I16)</f>
        <v>9.6948464485566675E-5</v>
      </c>
      <c r="K16" s="11" cm="1">
        <f t="array" ref="K16">_xll.FI.CURVE.FORWARD($H$2,I16)</f>
        <v>9.3896746508218072E-5</v>
      </c>
    </row>
    <row r="17" spans="6:11" x14ac:dyDescent="0.3">
      <c r="I17">
        <v>1.5</v>
      </c>
      <c r="J17" s="10" cm="1">
        <f t="array" ref="J17">_xll.FI.CURVE.SPOT($H$2,I17)</f>
        <v>2.3372855440415324E-2</v>
      </c>
      <c r="K17" s="11" cm="1">
        <f t="array" ref="K17">_xll.FI.CURVE.FORWARD($H$2,I17)</f>
        <v>6.9924669392274832E-2</v>
      </c>
    </row>
    <row r="18" spans="6:11" x14ac:dyDescent="0.3">
      <c r="I18">
        <v>2</v>
      </c>
      <c r="J18" s="10" cm="1">
        <f t="array" ref="J18">_xll.FI.CURVE.SPOT($H$2,I18)</f>
        <v>3.5010808928380197E-2</v>
      </c>
      <c r="K18" s="11" cm="1">
        <f t="array" ref="K18">_xll.FI.CURVE.FORWARD($H$2,I18)</f>
        <v>6.9924669392274832E-2</v>
      </c>
    </row>
    <row r="19" spans="6:11" x14ac:dyDescent="0.3">
      <c r="I19">
        <v>2.5</v>
      </c>
      <c r="J19" s="10" cm="1">
        <f t="array" ref="J19">_xll.FI.CURVE.SPOT($H$2,I19)</f>
        <v>3.507465870831155E-2</v>
      </c>
      <c r="K19" s="11" cm="1">
        <f t="array" ref="K19">_xll.FI.CURVE.FORWARD($H$2,I19)</f>
        <v>3.5330057828036977E-2</v>
      </c>
    </row>
    <row r="20" spans="6:11" x14ac:dyDescent="0.3">
      <c r="I20">
        <v>3</v>
      </c>
      <c r="J20" s="10" cm="1">
        <f t="array" ref="J20">_xll.FI.CURVE.SPOT($H$2,I20)</f>
        <v>3.511722522826579E-2</v>
      </c>
      <c r="K20" s="11" cm="1">
        <f t="array" ref="K20">_xll.FI.CURVE.FORWARD($H$2,I20)</f>
        <v>3.5330057828036977E-2</v>
      </c>
    </row>
    <row r="21" spans="6:11" x14ac:dyDescent="0.3">
      <c r="F21" s="5"/>
      <c r="I21">
        <v>3.5</v>
      </c>
      <c r="J21" s="10" cm="1">
        <f t="array" ref="J21">_xll.FI.CURVE.SPOT($H$2,I21)</f>
        <v>3.5655466868940493E-2</v>
      </c>
      <c r="K21" s="11" cm="1">
        <f t="array" ref="K21">_xll.FI.CURVE.FORWARD($H$2,I21)</f>
        <v>3.8884916712988743E-2</v>
      </c>
    </row>
    <row r="22" spans="6:11" x14ac:dyDescent="0.3">
      <c r="I22">
        <v>4</v>
      </c>
      <c r="J22" s="10" cm="1">
        <f t="array" ref="J22">_xll.FI.CURVE.SPOT($H$2,I22)</f>
        <v>3.6059148099446527E-2</v>
      </c>
      <c r="K22" s="11" cm="1">
        <f t="array" ref="K22">_xll.FI.CURVE.FORWARD($H$2,I22)</f>
        <v>3.8884916712988743E-2</v>
      </c>
    </row>
    <row r="23" spans="6:11" x14ac:dyDescent="0.3">
      <c r="I23">
        <v>4.5</v>
      </c>
      <c r="J23" s="10" cm="1">
        <f t="array" ref="J23">_xll.FI.CURVE.SPOT($H$2,I23)</f>
        <v>3.6373122389840105E-2</v>
      </c>
      <c r="K23" s="11" cm="1">
        <f t="array" ref="K23">_xll.FI.CURVE.FORWARD($H$2,I23)</f>
        <v>3.8884916712988743E-2</v>
      </c>
    </row>
    <row r="24" spans="6:11" x14ac:dyDescent="0.3">
      <c r="I24">
        <v>5</v>
      </c>
      <c r="J24" s="10" cm="1">
        <f t="array" ref="J24">_xll.FI.CURVE.SPOT($H$2,I24)</f>
        <v>3.6624301822154967E-2</v>
      </c>
      <c r="K24" s="11" cm="1">
        <f t="array" ref="K24">_xll.FI.CURVE.FORWARD($H$2,I24)</f>
        <v>3.8884916712988743E-2</v>
      </c>
    </row>
    <row r="25" spans="6:11" x14ac:dyDescent="0.3">
      <c r="I25">
        <v>5.5</v>
      </c>
      <c r="J25" s="10" cm="1">
        <f t="array" ref="J25">_xll.FI.CURVE.SPOT($H$2,I25)</f>
        <v>3.7286927375230428E-2</v>
      </c>
      <c r="K25" s="11" cm="1">
        <f t="array" ref="K25">_xll.FI.CURVE.FORWARD($H$2,I25)</f>
        <v>4.3913182905984977E-2</v>
      </c>
    </row>
    <row r="26" spans="6:11" x14ac:dyDescent="0.3">
      <c r="I26">
        <v>6</v>
      </c>
      <c r="J26" s="10" cm="1">
        <f t="array" ref="J26">_xll.FI.CURVE.SPOT($H$2,I26)</f>
        <v>3.783911533612664E-2</v>
      </c>
      <c r="K26" s="11" cm="1">
        <f t="array" ref="K26">_xll.FI.CURVE.FORWARD($H$2,I26)</f>
        <v>4.3913182905984977E-2</v>
      </c>
    </row>
    <row r="27" spans="6:11" x14ac:dyDescent="0.3">
      <c r="I27">
        <v>6.5</v>
      </c>
      <c r="J27" s="10" cm="1">
        <f t="array" ref="J27">_xll.FI.CURVE.SPOT($H$2,I27)</f>
        <v>3.8306351303038819E-2</v>
      </c>
      <c r="K27" s="11" cm="1">
        <f t="array" ref="K27">_xll.FI.CURVE.FORWARD($H$2,I27)</f>
        <v>4.3913182905984977E-2</v>
      </c>
    </row>
    <row r="28" spans="6:11" x14ac:dyDescent="0.3">
      <c r="I28">
        <v>7</v>
      </c>
      <c r="J28" s="10" cm="1">
        <f t="array" ref="J28">_xll.FI.CURVE.SPOT($H$2,I28)</f>
        <v>3.8706839274677829E-2</v>
      </c>
      <c r="K28" s="11" cm="1">
        <f t="array" ref="K28">_xll.FI.CURVE.FORWARD($H$2,I28)</f>
        <v>4.3913182905984977E-2</v>
      </c>
    </row>
    <row r="29" spans="6:11" x14ac:dyDescent="0.3">
      <c r="I29">
        <v>7.5</v>
      </c>
      <c r="J29" s="10" cm="1">
        <f t="array" ref="J29">_xll.FI.CURVE.SPOT($H$2,I29)</f>
        <v>3.9262948462946819E-2</v>
      </c>
      <c r="K29" s="11" cm="1">
        <f t="array" ref="K29">_xll.FI.CURVE.FORWARD($H$2,I29)</f>
        <v>4.7048477098712585E-2</v>
      </c>
    </row>
    <row r="30" spans="6:11" x14ac:dyDescent="0.3">
      <c r="I30">
        <v>8</v>
      </c>
      <c r="J30" s="10" cm="1">
        <f t="array" ref="J30">_xll.FI.CURVE.SPOT($H$2,I30)</f>
        <v>3.9749544002682172E-2</v>
      </c>
      <c r="K30" s="11" cm="1">
        <f t="array" ref="K30">_xll.FI.CURVE.FORWARD($H$2,I30)</f>
        <v>4.7048477098712585E-2</v>
      </c>
    </row>
    <row r="31" spans="6:11" x14ac:dyDescent="0.3">
      <c r="I31">
        <v>8.5</v>
      </c>
      <c r="J31" s="10" cm="1">
        <f t="array" ref="J31">_xll.FI.CURVE.SPOT($H$2,I31)</f>
        <v>4.0178893008331024E-2</v>
      </c>
      <c r="K31" s="11" cm="1">
        <f t="array" ref="K31">_xll.FI.CURVE.FORWARD($H$2,I31)</f>
        <v>4.7048477098712585E-2</v>
      </c>
    </row>
    <row r="32" spans="6:11" x14ac:dyDescent="0.3">
      <c r="I32">
        <v>9</v>
      </c>
      <c r="J32" s="10" cm="1">
        <f t="array" ref="J32">_xll.FI.CURVE.SPOT($H$2,I32)</f>
        <v>4.0560536568907776E-2</v>
      </c>
      <c r="K32" s="11" cm="1">
        <f t="array" ref="K32">_xll.FI.CURVE.FORWARD($H$2,I32)</f>
        <v>4.7048477098712585E-2</v>
      </c>
    </row>
    <row r="33" spans="9:11" x14ac:dyDescent="0.3">
      <c r="I33">
        <v>9.5</v>
      </c>
      <c r="J33" s="10" cm="1">
        <f t="array" ref="J33">_xll.FI.CURVE.SPOT($H$2,I33)</f>
        <v>4.0902007123108028E-2</v>
      </c>
      <c r="K33" s="11" cm="1">
        <f t="array" ref="K33">_xll.FI.CURVE.FORWARD($H$2,I33)</f>
        <v>4.7048477098712585E-2</v>
      </c>
    </row>
    <row r="34" spans="9:11" x14ac:dyDescent="0.3">
      <c r="I34">
        <v>10</v>
      </c>
      <c r="J34" s="10" cm="1">
        <f t="array" ref="J34">_xll.FI.CURVE.SPOT($H$2,I34)</f>
        <v>4.1209330621888259E-2</v>
      </c>
      <c r="K34" s="11" cm="1">
        <f t="array" ref="K34">_xll.FI.CURVE.FORWARD($H$2,I34)</f>
        <v>4.7048477098712585E-2</v>
      </c>
    </row>
    <row r="35" spans="9:11" x14ac:dyDescent="0.3">
      <c r="I35">
        <v>10.5</v>
      </c>
      <c r="J35" s="10" cm="1">
        <f t="array" ref="J35">_xll.FI.CURVE.SPOT($H$2,I35)</f>
        <v>4.186315643180373E-2</v>
      </c>
      <c r="K35" s="11" cm="1">
        <f t="array" ref="K35">_xll.FI.CURVE.FORWARD($H$2,I35)</f>
        <v>5.493967263011313E-2</v>
      </c>
    </row>
    <row r="36" spans="9:11" x14ac:dyDescent="0.3">
      <c r="I36">
        <v>11</v>
      </c>
      <c r="J36" s="10" cm="1">
        <f t="array" ref="J36">_xll.FI.CURVE.SPOT($H$2,I36)</f>
        <v>4.2457543531726878E-2</v>
      </c>
      <c r="K36" s="11" cm="1">
        <f t="array" ref="K36">_xll.FI.CURVE.FORWARD($H$2,I36)</f>
        <v>5.493967263011313E-2</v>
      </c>
    </row>
    <row r="37" spans="9:11" x14ac:dyDescent="0.3">
      <c r="I37">
        <v>11.5</v>
      </c>
      <c r="J37" s="10" cm="1">
        <f t="array" ref="J37">_xll.FI.CURVE.SPOT($H$2,I37)</f>
        <v>4.3000244796874108E-2</v>
      </c>
      <c r="K37" s="11" cm="1">
        <f t="array" ref="K37">_xll.FI.CURVE.FORWARD($H$2,I37)</f>
        <v>5.493967263011313E-2</v>
      </c>
    </row>
    <row r="38" spans="9:11" x14ac:dyDescent="0.3">
      <c r="I38">
        <v>12</v>
      </c>
      <c r="J38" s="10" cm="1">
        <f t="array" ref="J38">_xll.FI.CURVE.SPOT($H$2,I38)</f>
        <v>4.3497720956592406E-2</v>
      </c>
      <c r="K38" s="11" cm="1">
        <f t="array" ref="K38">_xll.FI.CURVE.FORWARD($H$2,I38)</f>
        <v>5.493967263011313E-2</v>
      </c>
    </row>
    <row r="39" spans="9:11" x14ac:dyDescent="0.3">
      <c r="I39">
        <v>12.5</v>
      </c>
      <c r="J39" s="10" cm="1">
        <f t="array" ref="J39">_xll.FI.CURVE.SPOT($H$2,I39)</f>
        <v>4.395539902353323E-2</v>
      </c>
      <c r="K39" s="11" cm="1">
        <f t="array" ref="K39">_xll.FI.CURVE.FORWARD($H$2,I39)</f>
        <v>5.493967263011313E-2</v>
      </c>
    </row>
    <row r="40" spans="9:11" x14ac:dyDescent="0.3">
      <c r="I40">
        <v>13</v>
      </c>
      <c r="J40" s="10" cm="1">
        <f t="array" ref="J40">_xll.FI.CURVE.SPOT($H$2,I40)</f>
        <v>4.4377871085324767E-2</v>
      </c>
      <c r="K40" s="11" cm="1">
        <f t="array" ref="K40">_xll.FI.CURVE.FORWARD($H$2,I40)</f>
        <v>5.493967263011313E-2</v>
      </c>
    </row>
    <row r="41" spans="9:11" x14ac:dyDescent="0.3">
      <c r="I41">
        <v>13.5</v>
      </c>
      <c r="J41" s="10" cm="1">
        <f t="array" ref="J41">_xll.FI.CURVE.SPOT($H$2,I41)</f>
        <v>4.4769048920316926E-2</v>
      </c>
      <c r="K41" s="11" cm="1">
        <f t="array" ref="K41">_xll.FI.CURVE.FORWARD($H$2,I41)</f>
        <v>5.493967263011313E-2</v>
      </c>
    </row>
    <row r="42" spans="9:11" x14ac:dyDescent="0.3">
      <c r="I42">
        <v>14</v>
      </c>
      <c r="J42" s="10" cm="1">
        <f t="array" ref="J42">_xll.FI.CURVE.SPOT($H$2,I42)</f>
        <v>4.5132285481381082E-2</v>
      </c>
      <c r="K42" s="11" cm="1">
        <f t="array" ref="K42">_xll.FI.CURVE.FORWARD($H$2,I42)</f>
        <v>5.493967263011313E-2</v>
      </c>
    </row>
    <row r="43" spans="9:11" x14ac:dyDescent="0.3">
      <c r="I43">
        <v>14.5</v>
      </c>
      <c r="J43" s="10" cm="1">
        <f t="array" ref="J43">_xll.FI.CURVE.SPOT($H$2,I43)</f>
        <v>4.5470471245130456E-2</v>
      </c>
      <c r="K43" s="11" cm="1">
        <f t="array" ref="K43">_xll.FI.CURVE.FORWARD($H$2,I43)</f>
        <v>5.493967263011313E-2</v>
      </c>
    </row>
    <row r="44" spans="9:11" x14ac:dyDescent="0.3">
      <c r="I44">
        <v>15</v>
      </c>
      <c r="J44" s="10" cm="1">
        <f t="array" ref="J44">_xll.FI.CURVE.SPOT($H$2,I44)</f>
        <v>4.5786111291296547E-2</v>
      </c>
      <c r="K44" s="11" cm="1">
        <f t="array" ref="K44">_xll.FI.CURVE.FORWARD($H$2,I44)</f>
        <v>5.493967263011313E-2</v>
      </c>
    </row>
    <row r="45" spans="9:11" x14ac:dyDescent="0.3">
      <c r="I45">
        <v>15.5</v>
      </c>
      <c r="J45" s="10" cm="1">
        <f t="array" ref="J45">_xll.FI.CURVE.SPOT($H$2,I45)</f>
        <v>4.6081387463516435E-2</v>
      </c>
      <c r="K45" s="11" cm="1">
        <f t="array" ref="K45">_xll.FI.CURVE.FORWARD($H$2,I45)</f>
        <v>5.493967263011313E-2</v>
      </c>
    </row>
    <row r="46" spans="9:11" x14ac:dyDescent="0.3">
      <c r="I46">
        <v>16</v>
      </c>
      <c r="J46" s="10" cm="1">
        <f t="array" ref="J46">_xll.FI.CURVE.SPOT($H$2,I46)</f>
        <v>4.6358208874972585E-2</v>
      </c>
      <c r="K46" s="11" cm="1">
        <f t="array" ref="K46">_xll.FI.CURVE.FORWARD($H$2,I46)</f>
        <v>5.493967263011313E-2</v>
      </c>
    </row>
    <row r="47" spans="9:11" x14ac:dyDescent="0.3">
      <c r="I47">
        <v>16.5</v>
      </c>
      <c r="J47" s="10" cm="1">
        <f t="array" ref="J47">_xll.FI.CURVE.SPOT($H$2,I47)</f>
        <v>4.6618253231188969E-2</v>
      </c>
      <c r="K47" s="11" cm="1">
        <f t="array" ref="K47">_xll.FI.CURVE.FORWARD($H$2,I47)</f>
        <v>5.493967263011313E-2</v>
      </c>
    </row>
    <row r="48" spans="9:11" x14ac:dyDescent="0.3">
      <c r="I48">
        <v>17</v>
      </c>
      <c r="J48" s="10" cm="1">
        <f t="array" ref="J48">_xll.FI.CURVE.SPOT($H$2,I48)</f>
        <v>4.686300086056909E-2</v>
      </c>
      <c r="K48" s="11" cm="1">
        <f t="array" ref="K48">_xll.FI.CURVE.FORWARD($H$2,I48)</f>
        <v>5.493967263011313E-2</v>
      </c>
    </row>
    <row r="49" spans="9:11" x14ac:dyDescent="0.3">
      <c r="I49">
        <v>17.5</v>
      </c>
      <c r="J49" s="10" cm="1">
        <f t="array" ref="J49">_xll.FI.CURVE.SPOT($H$2,I49)</f>
        <v>4.7093762911127483E-2</v>
      </c>
      <c r="K49" s="11" cm="1">
        <f t="array" ref="K49">_xll.FI.CURVE.FORWARD($H$2,I49)</f>
        <v>5.493967263011313E-2</v>
      </c>
    </row>
    <row r="50" spans="9:11" x14ac:dyDescent="0.3">
      <c r="I50">
        <v>18</v>
      </c>
      <c r="J50" s="10" cm="1">
        <f t="array" ref="J50">_xll.FI.CURVE.SPOT($H$2,I50)</f>
        <v>4.7311704847765979E-2</v>
      </c>
      <c r="K50" s="11" cm="1">
        <f t="array" ref="K50">_xll.FI.CURVE.FORWARD($H$2,I50)</f>
        <v>5.493967263011313E-2</v>
      </c>
    </row>
    <row r="51" spans="9:11" x14ac:dyDescent="0.3">
      <c r="I51">
        <v>18.5</v>
      </c>
      <c r="J51" s="10" cm="1">
        <f t="array" ref="J51">_xll.FI.CURVE.SPOT($H$2,I51)</f>
        <v>4.751786613918077E-2</v>
      </c>
      <c r="K51" s="11" cm="1">
        <f t="array" ref="K51">_xll.FI.CURVE.FORWARD($H$2,I51)</f>
        <v>5.493967263011313E-2</v>
      </c>
    </row>
    <row r="52" spans="9:11" x14ac:dyDescent="0.3">
      <c r="I52">
        <v>19</v>
      </c>
      <c r="J52" s="10" cm="1">
        <f t="array" ref="J52">_xll.FI.CURVE.SPOT($H$2,I52)</f>
        <v>4.7713176836310565E-2</v>
      </c>
      <c r="K52" s="11" cm="1">
        <f t="array" ref="K52">_xll.FI.CURVE.FORWARD($H$2,I52)</f>
        <v>5.493967263011313E-2</v>
      </c>
    </row>
    <row r="53" spans="9:11" x14ac:dyDescent="0.3">
      <c r="I53">
        <v>19.5</v>
      </c>
      <c r="J53" s="10" cm="1">
        <f t="array" ref="J53">_xll.FI.CURVE.SPOT($H$2,I53)</f>
        <v>4.7898471600254219E-2</v>
      </c>
      <c r="K53" s="11" cm="1">
        <f t="array" ref="K53">_xll.FI.CURVE.FORWARD($H$2,I53)</f>
        <v>5.493967263011313E-2</v>
      </c>
    </row>
    <row r="54" spans="9:11" x14ac:dyDescent="0.3">
      <c r="I54">
        <v>20</v>
      </c>
      <c r="J54" s="10" cm="1">
        <f t="array" ref="J54">_xll.FI.CURVE.SPOT($H$2,I54)</f>
        <v>4.8074501626000701E-2</v>
      </c>
      <c r="K54" s="11" cm="1">
        <f t="array" ref="K54">_xll.FI.CURVE.FORWARD($H$2,I54)</f>
        <v>5.493967263011313E-2</v>
      </c>
    </row>
    <row r="55" spans="9:11" x14ac:dyDescent="0.3">
      <c r="I55">
        <v>20.5</v>
      </c>
      <c r="J55" s="10" cm="1">
        <f t="array" ref="J55">_xll.FI.CURVE.SPOT($H$2,I55)</f>
        <v>4.8101032464489143E-2</v>
      </c>
      <c r="K55" s="11" cm="1">
        <f t="array" ref="K55">_xll.FI.CURVE.FORWARD($H$2,I55)</f>
        <v>4.9162266004027004E-2</v>
      </c>
    </row>
    <row r="56" spans="9:11" x14ac:dyDescent="0.3">
      <c r="I56">
        <v>21</v>
      </c>
      <c r="J56" s="10" cm="1">
        <f t="array" ref="J56">_xll.FI.CURVE.SPOT($H$2,I56)</f>
        <v>4.8126299929716232E-2</v>
      </c>
      <c r="K56" s="11" cm="1">
        <f t="array" ref="K56">_xll.FI.CURVE.FORWARD($H$2,I56)</f>
        <v>4.9162266004027004E-2</v>
      </c>
    </row>
    <row r="57" spans="9:11" x14ac:dyDescent="0.3">
      <c r="I57">
        <v>21.5</v>
      </c>
      <c r="J57" s="10" cm="1">
        <f t="array" ref="J57">_xll.FI.CURVE.SPOT($H$2,I57)</f>
        <v>4.8150392164002534E-2</v>
      </c>
      <c r="K57" s="11" cm="1">
        <f t="array" ref="K57">_xll.FI.CURVE.FORWARD($H$2,I57)</f>
        <v>4.9162266004027004E-2</v>
      </c>
    </row>
    <row r="58" spans="9:11" x14ac:dyDescent="0.3">
      <c r="I58">
        <v>22</v>
      </c>
      <c r="J58" s="10" cm="1">
        <f t="array" ref="J58">_xll.FI.CURVE.SPOT($H$2,I58)</f>
        <v>4.817338929673036E-2</v>
      </c>
      <c r="K58" s="11" cm="1">
        <f t="array" ref="K58">_xll.FI.CURVE.FORWARD($H$2,I58)</f>
        <v>4.9162266004027004E-2</v>
      </c>
    </row>
    <row r="59" spans="9:11" x14ac:dyDescent="0.3">
      <c r="I59">
        <v>22.5</v>
      </c>
      <c r="J59" s="10" cm="1">
        <f t="array" ref="J59">_xll.FI.CURVE.SPOT($H$2,I59)</f>
        <v>4.8195364334670289E-2</v>
      </c>
      <c r="K59" s="11" cm="1">
        <f t="array" ref="K59">_xll.FI.CURVE.FORWARD($H$2,I59)</f>
        <v>4.9162266004027004E-2</v>
      </c>
    </row>
    <row r="60" spans="9:11" x14ac:dyDescent="0.3">
      <c r="I60">
        <v>23</v>
      </c>
      <c r="J60" s="10" cm="1">
        <f t="array" ref="J60">_xll.FI.CURVE.SPOT($H$2,I60)</f>
        <v>4.8216383936178046E-2</v>
      </c>
      <c r="K60" s="11" cm="1">
        <f t="array" ref="K60">_xll.FI.CURVE.FORWARD($H$2,I60)</f>
        <v>4.9162266004027004E-2</v>
      </c>
    </row>
    <row r="61" spans="9:11" x14ac:dyDescent="0.3">
      <c r="I61">
        <v>23.5</v>
      </c>
      <c r="J61" s="10" cm="1">
        <f t="array" ref="J61">_xll.FI.CURVE.SPOT($H$2,I61)</f>
        <v>4.8236509086557806E-2</v>
      </c>
      <c r="K61" s="11" cm="1">
        <f t="array" ref="K61">_xll.FI.CURVE.FORWARD($H$2,I61)</f>
        <v>4.9162266004027004E-2</v>
      </c>
    </row>
    <row r="62" spans="9:11" x14ac:dyDescent="0.3">
      <c r="I62">
        <v>24</v>
      </c>
      <c r="J62" s="10" cm="1">
        <f t="array" ref="J62">_xll.FI.CURVE.SPOT($H$2,I62)</f>
        <v>4.8255795689005086E-2</v>
      </c>
      <c r="K62" s="11" cm="1">
        <f t="array" ref="K62">_xll.FI.CURVE.FORWARD($H$2,I62)</f>
        <v>4.9162266004027004E-2</v>
      </c>
    </row>
    <row r="63" spans="9:11" x14ac:dyDescent="0.3">
      <c r="I63">
        <v>24.5</v>
      </c>
      <c r="J63" s="10" cm="1">
        <f t="array" ref="J63">_xll.FI.CURVE.SPOT($H$2,I63)</f>
        <v>4.82742950831892E-2</v>
      </c>
      <c r="K63" s="11" cm="1">
        <f t="array" ref="K63">_xll.FI.CURVE.FORWARD($H$2,I63)</f>
        <v>4.9162266004027004E-2</v>
      </c>
    </row>
    <row r="64" spans="9:11" x14ac:dyDescent="0.3">
      <c r="I64">
        <v>25</v>
      </c>
      <c r="J64" s="10" cm="1">
        <f t="array" ref="J64">_xll.FI.CURVE.SPOT($H$2,I64)</f>
        <v>4.8292054501605959E-2</v>
      </c>
      <c r="K64" s="11" cm="1">
        <f t="array" ref="K64">_xll.FI.CURVE.FORWARD($H$2,I64)</f>
        <v>4.9162266004027004E-2</v>
      </c>
    </row>
    <row r="65" spans="9:11" x14ac:dyDescent="0.3">
      <c r="I65">
        <v>25.5</v>
      </c>
      <c r="J65" s="10" cm="1">
        <f t="array" ref="J65">_xll.FI.CURVE.SPOT($H$2,I65)</f>
        <v>4.8309117472241668E-2</v>
      </c>
      <c r="K65" s="11" cm="1">
        <f t="array" ref="K65">_xll.FI.CURVE.FORWARD($H$2,I65)</f>
        <v>4.9162266004027004E-2</v>
      </c>
    </row>
    <row r="66" spans="9:11" x14ac:dyDescent="0.3">
      <c r="I66">
        <v>26</v>
      </c>
      <c r="J66" s="10" cm="1">
        <f t="array" ref="J66">_xll.FI.CURVE.SPOT($H$2,I66)</f>
        <v>4.8325524174775994E-2</v>
      </c>
      <c r="K66" s="11" cm="1">
        <f t="array" ref="K66">_xll.FI.CURVE.FORWARD($H$2,I66)</f>
        <v>4.9162266004027004E-2</v>
      </c>
    </row>
    <row r="67" spans="9:11" x14ac:dyDescent="0.3">
      <c r="I67">
        <v>26.5</v>
      </c>
      <c r="J67" s="10" cm="1">
        <f t="array" ref="J67">_xll.FI.CURVE.SPOT($H$2,I67)</f>
        <v>4.8341311756459983E-2</v>
      </c>
      <c r="K67" s="11" cm="1">
        <f t="array" ref="K67">_xll.FI.CURVE.FORWARD($H$2,I67)</f>
        <v>4.9162266004027004E-2</v>
      </c>
    </row>
    <row r="68" spans="9:11" x14ac:dyDescent="0.3">
      <c r="I68">
        <v>27</v>
      </c>
      <c r="J68" s="10" cm="1">
        <f t="array" ref="J68">_xll.FI.CURVE.SPOT($H$2,I68)</f>
        <v>4.835651461289641E-2</v>
      </c>
      <c r="K68" s="11" cm="1">
        <f t="array" ref="K68">_xll.FI.CURVE.FORWARD($H$2,I68)</f>
        <v>4.9162266004027004E-2</v>
      </c>
    </row>
    <row r="69" spans="9:11" x14ac:dyDescent="0.3">
      <c r="I69">
        <v>27.5</v>
      </c>
      <c r="J69" s="10" cm="1">
        <f t="array" ref="J69">_xll.FI.CURVE.SPOT($H$2,I69)</f>
        <v>4.837116463818969E-2</v>
      </c>
      <c r="K69" s="11" cm="1">
        <f t="array" ref="K69">_xll.FI.CURVE.FORWARD($H$2,I69)</f>
        <v>4.9162266004027004E-2</v>
      </c>
    </row>
    <row r="70" spans="9:11" x14ac:dyDescent="0.3">
      <c r="I70">
        <v>28</v>
      </c>
      <c r="J70" s="10" cm="1">
        <f t="array" ref="J70">_xll.FI.CURVE.SPOT($H$2,I70)</f>
        <v>4.8385291448293934E-2</v>
      </c>
      <c r="K70" s="11" cm="1">
        <f t="array" ref="K70">_xll.FI.CURVE.FORWARD($H$2,I70)</f>
        <v>4.9162266004027004E-2</v>
      </c>
    </row>
    <row r="71" spans="9:11" x14ac:dyDescent="0.3">
      <c r="I71">
        <v>28.5</v>
      </c>
      <c r="J71" s="10" cm="1">
        <f t="array" ref="J71">_xll.FI.CURVE.SPOT($H$2,I71)</f>
        <v>4.8398922580850649E-2</v>
      </c>
      <c r="K71" s="11" cm="1">
        <f t="array" ref="K71">_xll.FI.CURVE.FORWARD($H$2,I71)</f>
        <v>4.9162266004027004E-2</v>
      </c>
    </row>
    <row r="72" spans="9:11" x14ac:dyDescent="0.3">
      <c r="I72">
        <v>29</v>
      </c>
      <c r="J72" s="10" cm="1">
        <f t="array" ref="J72">_xll.FI.CURVE.SPOT($H$2,I72)</f>
        <v>4.8412083674353693E-2</v>
      </c>
      <c r="K72" s="11" cm="1">
        <f t="array" ref="K72">_xll.FI.CURVE.FORWARD($H$2,I72)</f>
        <v>4.9162266004027004E-2</v>
      </c>
    </row>
    <row r="73" spans="9:11" x14ac:dyDescent="0.3">
      <c r="I73">
        <v>29.5</v>
      </c>
      <c r="J73" s="10" cm="1">
        <f t="array" ref="J73">_xll.FI.CURVE.SPOT($H$2,I73)</f>
        <v>4.8424798629093914E-2</v>
      </c>
      <c r="K73" s="11" cm="1">
        <f t="array" ref="K73">_xll.FI.CURVE.FORWARD($H$2,I73)</f>
        <v>4.9162266004027004E-2</v>
      </c>
    </row>
    <row r="74" spans="9:11" x14ac:dyDescent="0.3">
      <c r="I74">
        <v>30</v>
      </c>
      <c r="J74" s="10" cm="1">
        <f t="array" ref="J74">_xll.FI.CURVE.SPOT($H$2,I74)</f>
        <v>4.8437089752009464E-2</v>
      </c>
      <c r="K74" s="11" cm="1">
        <f t="array" ref="K74">_xll.FI.CURVE.FORWARD($H$2,I74)</f>
        <v>4.9162266004027004E-2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Naveenraj Kamalakannan</cp:lastModifiedBy>
  <dcterms:created xsi:type="dcterms:W3CDTF">2026-02-18T22:45:22Z</dcterms:created>
  <dcterms:modified xsi:type="dcterms:W3CDTF">2026-02-24T18:33:30Z</dcterms:modified>
</cp:coreProperties>
</file>