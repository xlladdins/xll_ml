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uravg\xll_ml\xlsx\"/>
    </mc:Choice>
  </mc:AlternateContent>
  <xr:revisionPtr revIDLastSave="0" documentId="13_ncr:1_{F77F3E93-5FB9-431B-914A-41C05EA148E8}" xr6:coauthVersionLast="47" xr6:coauthVersionMax="47" xr10:uidLastSave="{00000000-0000-0000-0000-000000000000}"/>
  <bookViews>
    <workbookView xWindow="-98" yWindow="-98" windowWidth="22875" windowHeight="13650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B5" i="1" s="1"/>
  <c r="C5" i="1" s="1" a="1"/>
  <c r="C5" i="1" s="1"/>
  <c r="H2" i="1" a="1"/>
  <c r="J6" i="1" a="1"/>
  <c r="L6" i="1" a="1"/>
  <c r="F2" i="1" a="1"/>
  <c r="P5" i="1" a="1"/>
  <c r="L6" i="1" l="1"/>
  <c r="F2" i="1"/>
  <c r="P5" i="1"/>
  <c r="D5" i="1" a="1"/>
  <c r="D5" i="1" s="1"/>
  <c r="J6" i="1"/>
  <c r="H2" i="1"/>
  <c r="K6" i="1" a="1"/>
  <c r="K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<sst xmlns="http://schemas.openxmlformats.org/spreadsheetml/2006/main" count="11" uniqueCount="11">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</sst>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0.17171296296296298"/>
          <c:w val="0.88949759405074369"/>
          <c:h val="0.6153546952464275"/>
        </c:manualLayout>
      </c:layout>
      <c:lineChart>
        <c:grouping val="stacked"/>
        <c:varyColors val="0"/>
        <c:ser>
          <c:idx val="0"/>
          <c:order val="0"/>
          <c:tx>
            <c:strRef>
              <c:f>Sheet1!$J$5</c:f>
              <c:strCache>
                <c:ptCount val="1"/>
                <c:pt idx="0">
                  <c:v>strike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C-4999-9A45-9EAC515EBDE9}"/>
            </c:ext>
          </c:extLst>
        </c:ser>
        <c:ser>
          <c:idx val="1"/>
          <c:order val="1"/>
          <c:tx>
            <c:strRef>
              <c:f>Sheet1!$K$5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DC-4999-9A45-9EAC515EBDE9}"/>
            </c:ext>
          </c:extLst>
        </c:ser>
        <c:ser>
          <c:idx val="2"/>
          <c:order val="2"/>
          <c:tx>
            <c:strRef>
              <c:f>Sheet1!$L$5</c:f>
              <c:strCache>
                <c:ptCount val="1"/>
                <c:pt idx="0">
                  <c:v>discrete_put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Sheet1!$L$6:$L$46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DC-4999-9A45-9EAC515EB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2695120"/>
        <c:axId val="1192678800"/>
      </c:lineChart>
      <c:catAx>
        <c:axId val="119269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678800"/>
        <c:crosses val="autoZero"/>
        <c:auto val="1"/>
        <c:lblAlgn val="ctr"/>
        <c:lblOffset val="100"/>
        <c:noMultiLvlLbl val="0"/>
      </c:catAx>
      <c:valAx>
        <c:axId val="119267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69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292894</xdr:colOff>
      <xdr:row>18</xdr:row>
      <xdr:rowOff>52388</xdr:rowOff>
    </xdr:from>
    <xdr:to>
      <xdr:col>7</xdr:col>
      <xdr:colOff>588169</xdr:colOff>
      <xdr:row>30</xdr:row>
      <xdr:rowOff>52388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617CA8-9D56-8B0F-3960-331CA7408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P46"/>
  <sheetViews>
    <sheetView tabSelected="1" workbookViewId="0">
      <selection activeCell="N6" sqref="N6"/>
    </sheetView>
  </sheetViews>
  <sheetFormatPr defaultRowHeight="18" x14ac:dyDescent="0.55000000000000004"/>
  <cols>
    <col min="1" max="1" width="3.578125" customWidth="1"/>
    <col min="6" max="6" width="9.05078125" bestFit="1" customWidth="1"/>
    <col min="7" max="7" width="11.68359375" bestFit="1" customWidth="1"/>
    <col min="8" max="8" width="8.3671875" customWidth="1"/>
  </cols>
  <sheetData>
    <row r="2" spans="2:16" x14ac:dyDescent="0.55000000000000004">
      <c r="B2" s="2" t="s">
        <v>0</v>
      </c>
      <c r="C2">
        <v>10</v>
      </c>
      <c r="E2" s="2" t="s">
        <v>4</v>
      </c>
      <c r="F2" s="3" cm="1">
        <f t="array" ref="F2:F13">_xll.\OPTION.DISCRETE(_xlfn.ANCHORARRAY(D5),_xlfn.ANCHORARRAY(C5))</f>
        <v>2418610422832</v>
      </c>
      <c r="G2" s="2" t="s">
        <v>3</v>
      </c>
      <c r="H2" s="3" cm="1">
        <f t="array" ref="H2">_xll.\OPTION.NORMAL()</f>
        <v>1490952485744</v>
      </c>
      <c r="I2" s="2" t="s">
        <v>5</v>
      </c>
      <c r="J2">
        <v>100</v>
      </c>
    </row>
    <row r="3" spans="2:16" x14ac:dyDescent="0.55000000000000004">
      <c r="F3">
        <v>-3.1622776601683795</v>
      </c>
      <c r="I3" s="2" t="s">
        <v>6</v>
      </c>
      <c r="J3">
        <v>0.1</v>
      </c>
    </row>
    <row r="4" spans="2:16" x14ac:dyDescent="0.55000000000000004">
      <c r="C4" s="1" t="s">
        <v>1</v>
      </c>
      <c r="D4" s="1" t="s">
        <v>2</v>
      </c>
      <c r="F4">
        <v>-2.5298221281347035</v>
      </c>
      <c r="I4" s="2" t="s">
        <v>7</v>
      </c>
      <c r="J4">
        <v>100</v>
      </c>
    </row>
    <row r="5" spans="2:16" x14ac:dyDescent="0.55000000000000004">
      <c r="B5" cm="1">
        <f t="array" ref="B5:B15">_xlfn.SEQUENCE(n+1,1,0)</f>
        <v>0</v>
      </c>
      <c r="C5" cm="1">
        <f t="array" ref="C5:C15">_xlfn.BINOM.DIST(_xlfn.ANCHORARRAY(B5),10,0.5,FALSE)</f>
        <v>9.765625E-4</v>
      </c>
      <c r="D5" cm="1">
        <f t="array" ref="D5:D15">_xlfn.ANCHORARRAY(B5)</f>
        <v>0</v>
      </c>
      <c r="F5">
        <v>-1.8973665961010278</v>
      </c>
      <c r="J5" s="1" t="s">
        <v>10</v>
      </c>
      <c r="K5" s="2" t="s">
        <v>8</v>
      </c>
      <c r="L5" t="s">
        <v>9</v>
      </c>
      <c r="P5" cm="1">
        <f t="array" ref="P5:P16">_xll.\OPTION.DISCRETE(D5:D15,C5:C15)</f>
        <v>2419144591184</v>
      </c>
    </row>
    <row r="6" spans="2:16" x14ac:dyDescent="0.55000000000000004">
      <c r="B6">
        <v>1</v>
      </c>
      <c r="C6">
        <v>9.7656250000000017E-3</v>
      </c>
      <c r="D6">
        <v>1</v>
      </c>
      <c r="F6">
        <v>-1.2649110640673518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3.4047379960682522E-2</v>
      </c>
      <c r="P6">
        <v>-3.1622776601683795</v>
      </c>
    </row>
    <row r="7" spans="2:16" x14ac:dyDescent="0.55000000000000004">
      <c r="B7">
        <v>2</v>
      </c>
      <c r="C7">
        <v>4.3945312499999972E-2</v>
      </c>
      <c r="D7">
        <v>2</v>
      </c>
      <c r="F7">
        <v>-0.63245553203367588</v>
      </c>
      <c r="I7">
        <v>120</v>
      </c>
      <c r="J7">
        <v>81</v>
      </c>
      <c r="K7">
        <v>5.7008934088098151E-2</v>
      </c>
      <c r="L7">
        <v>4.4789567460682522E-2</v>
      </c>
      <c r="P7">
        <v>-2.5298221281347035</v>
      </c>
    </row>
    <row r="8" spans="2:16" x14ac:dyDescent="0.55000000000000004">
      <c r="B8">
        <v>3</v>
      </c>
      <c r="C8">
        <v>0.11718750000000003</v>
      </c>
      <c r="D8">
        <v>3</v>
      </c>
      <c r="F8">
        <v>0</v>
      </c>
      <c r="I8">
        <v>1</v>
      </c>
      <c r="J8">
        <v>82</v>
      </c>
      <c r="K8">
        <v>8.0058534547871929E-2</v>
      </c>
      <c r="L8">
        <v>5.5531754960682522E-2</v>
      </c>
      <c r="P8">
        <v>-1.8973665961010278</v>
      </c>
    </row>
    <row r="9" spans="2:16" x14ac:dyDescent="0.55000000000000004">
      <c r="B9">
        <v>4</v>
      </c>
      <c r="C9">
        <v>0.20507812500000006</v>
      </c>
      <c r="D9">
        <v>4</v>
      </c>
      <c r="F9">
        <v>0.63245553203367588</v>
      </c>
      <c r="J9">
        <v>83</v>
      </c>
      <c r="K9">
        <v>0.11061799019468133</v>
      </c>
      <c r="L9">
        <v>9.6806891217839031E-2</v>
      </c>
      <c r="P9">
        <v>-1.2649110640673518</v>
      </c>
    </row>
    <row r="10" spans="2:16" x14ac:dyDescent="0.55000000000000004">
      <c r="B10">
        <v>5</v>
      </c>
      <c r="C10">
        <v>0.24609375000000011</v>
      </c>
      <c r="D10">
        <v>5</v>
      </c>
      <c r="F10">
        <v>1.2649110640673518</v>
      </c>
      <c r="J10">
        <v>84</v>
      </c>
      <c r="K10">
        <v>0.15048353300942274</v>
      </c>
      <c r="L10">
        <v>0.15149439121783903</v>
      </c>
      <c r="P10">
        <v>-0.63245553203367588</v>
      </c>
    </row>
    <row r="11" spans="2:16" x14ac:dyDescent="0.55000000000000004">
      <c r="B11">
        <v>6</v>
      </c>
      <c r="C11">
        <v>0.20507812500000006</v>
      </c>
      <c r="D11">
        <v>6</v>
      </c>
      <c r="F11">
        <v>1.8973665961010278</v>
      </c>
      <c r="J11">
        <v>85</v>
      </c>
      <c r="K11">
        <v>0.20168732797265765</v>
      </c>
      <c r="L11">
        <v>0.20618189121783903</v>
      </c>
      <c r="P11">
        <v>0</v>
      </c>
    </row>
    <row r="12" spans="2:16" x14ac:dyDescent="0.55000000000000004">
      <c r="B12">
        <v>7</v>
      </c>
      <c r="C12">
        <v>0.11718750000000003</v>
      </c>
      <c r="D12">
        <v>7</v>
      </c>
      <c r="F12">
        <v>2.5298221281347035</v>
      </c>
      <c r="J12">
        <v>86</v>
      </c>
      <c r="K12">
        <v>0.26648097458621844</v>
      </c>
      <c r="L12">
        <v>0.26086939121783903</v>
      </c>
      <c r="P12">
        <v>0.63245553203367588</v>
      </c>
    </row>
    <row r="13" spans="2:16" x14ac:dyDescent="0.55000000000000004">
      <c r="B13">
        <v>8</v>
      </c>
      <c r="C13">
        <v>4.3945312499999986E-2</v>
      </c>
      <c r="D13">
        <v>8</v>
      </c>
      <c r="F13">
        <v>3.1622776601683795</v>
      </c>
      <c r="J13">
        <v>87</v>
      </c>
      <c r="K13">
        <v>0.34730740212793787</v>
      </c>
      <c r="L13">
        <v>0.31555689121783903</v>
      </c>
      <c r="P13">
        <v>1.2649110640673518</v>
      </c>
    </row>
    <row r="14" spans="2:16" x14ac:dyDescent="0.55000000000000004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>
        <v>0.40788732068490319</v>
      </c>
      <c r="P14">
        <v>1.8973665961010278</v>
      </c>
    </row>
    <row r="15" spans="2:16" x14ac:dyDescent="0.55000000000000004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>
        <v>0.57976232068490319</v>
      </c>
      <c r="P15">
        <v>2.5298221281347035</v>
      </c>
    </row>
    <row r="16" spans="2:16" x14ac:dyDescent="0.55000000000000004">
      <c r="J16">
        <v>90</v>
      </c>
      <c r="K16">
        <v>0.71238089607367172</v>
      </c>
      <c r="L16">
        <v>0.75163732068490319</v>
      </c>
      <c r="P16">
        <v>3.1622776601683795</v>
      </c>
    </row>
    <row r="17" spans="10:12" x14ac:dyDescent="0.55000000000000004">
      <c r="J17">
        <v>91</v>
      </c>
      <c r="K17">
        <v>0.88400364647703356</v>
      </c>
      <c r="L17">
        <v>0.92351232068490319</v>
      </c>
    </row>
    <row r="18" spans="10:12" x14ac:dyDescent="0.55000000000000004">
      <c r="J18">
        <v>92</v>
      </c>
      <c r="K18">
        <v>1.0850344779622993</v>
      </c>
      <c r="L18">
        <v>1.0953873206849032</v>
      </c>
    </row>
    <row r="19" spans="10:12" x14ac:dyDescent="0.55000000000000004">
      <c r="J19">
        <v>93</v>
      </c>
      <c r="K19">
        <v>1.3179408286409817</v>
      </c>
      <c r="L19">
        <v>1.2672623206849032</v>
      </c>
    </row>
    <row r="20" spans="10:12" x14ac:dyDescent="0.55000000000000004">
      <c r="J20">
        <v>94</v>
      </c>
      <c r="K20">
        <v>1.5849647756893894</v>
      </c>
      <c r="L20">
        <v>1.561530627262492</v>
      </c>
    </row>
    <row r="21" spans="10:12" x14ac:dyDescent="0.55000000000000004">
      <c r="J21">
        <v>95</v>
      </c>
      <c r="K21">
        <v>1.8880632480607282</v>
      </c>
      <c r="L21">
        <v>1.938483752262492</v>
      </c>
    </row>
    <row r="22" spans="10:12" x14ac:dyDescent="0.55000000000000004">
      <c r="J22">
        <v>96</v>
      </c>
      <c r="K22">
        <v>2.2288570738163145</v>
      </c>
      <c r="L22">
        <v>2.315436877262492</v>
      </c>
    </row>
    <row r="23" spans="10:12" x14ac:dyDescent="0.55000000000000004">
      <c r="J23">
        <v>97</v>
      </c>
      <c r="K23">
        <v>2.6085910627585847</v>
      </c>
      <c r="L23">
        <v>2.692390002262492</v>
      </c>
    </row>
    <row r="24" spans="10:12" x14ac:dyDescent="0.55000000000000004">
      <c r="J24">
        <v>98</v>
      </c>
      <c r="K24">
        <v>3.0281066582734937</v>
      </c>
      <c r="L24">
        <v>3.069343127262492</v>
      </c>
    </row>
    <row r="25" spans="10:12" x14ac:dyDescent="0.55000000000000004">
      <c r="J25">
        <v>99</v>
      </c>
      <c r="K25">
        <v>3.4878279587501879</v>
      </c>
      <c r="L25">
        <v>3.446296252262492</v>
      </c>
    </row>
    <row r="26" spans="10:12" x14ac:dyDescent="0.55000000000000004">
      <c r="J26">
        <v>100</v>
      </c>
      <c r="K26">
        <v>3.987761167674492</v>
      </c>
      <c r="L26">
        <v>3.9459687470320333</v>
      </c>
    </row>
    <row r="27" spans="10:12" x14ac:dyDescent="0.55000000000000004">
      <c r="J27">
        <v>101</v>
      </c>
      <c r="K27">
        <v>4.5275068370385512</v>
      </c>
      <c r="L27">
        <v>4.5690156220320333</v>
      </c>
    </row>
    <row r="28" spans="10:12" x14ac:dyDescent="0.55000000000000004">
      <c r="J28">
        <v>102</v>
      </c>
      <c r="K28">
        <v>5.1062836665495652</v>
      </c>
      <c r="L28">
        <v>5.1920624970320333</v>
      </c>
    </row>
    <row r="29" spans="10:12" x14ac:dyDescent="0.55000000000000004">
      <c r="J29">
        <v>103</v>
      </c>
      <c r="K29">
        <v>5.7229621445706016</v>
      </c>
      <c r="L29">
        <v>5.8151093720320333</v>
      </c>
    </row>
    <row r="30" spans="10:12" x14ac:dyDescent="0.55000000000000004">
      <c r="J30">
        <v>104</v>
      </c>
      <c r="K30">
        <v>6.376105985444056</v>
      </c>
      <c r="L30">
        <v>6.4381562470320333</v>
      </c>
    </row>
    <row r="31" spans="10:12" x14ac:dyDescent="0.55000000000000004">
      <c r="J31">
        <v>105</v>
      </c>
      <c r="K31">
        <v>7.0640191378988391</v>
      </c>
      <c r="L31">
        <v>7.0612031220320333</v>
      </c>
    </row>
    <row r="32" spans="10:12" x14ac:dyDescent="0.55000000000000004">
      <c r="J32">
        <v>106</v>
      </c>
      <c r="K32">
        <v>7.7847961044341929</v>
      </c>
      <c r="L32">
        <v>7.6847395769465408</v>
      </c>
    </row>
    <row r="33" spans="10:12" x14ac:dyDescent="0.55000000000000004">
      <c r="J33">
        <v>107</v>
      </c>
      <c r="K33">
        <v>8.5363734057617648</v>
      </c>
      <c r="L33">
        <v>8.5128645769465408</v>
      </c>
    </row>
    <row r="34" spans="10:12" x14ac:dyDescent="0.55000000000000004">
      <c r="J34">
        <v>108</v>
      </c>
      <c r="K34">
        <v>9.3165802243033653</v>
      </c>
      <c r="L34">
        <v>9.3409895769465408</v>
      </c>
    </row>
    <row r="35" spans="10:12" x14ac:dyDescent="0.55000000000000004">
      <c r="J35">
        <v>109</v>
      </c>
      <c r="K35">
        <v>10.123186539019287</v>
      </c>
      <c r="L35">
        <v>10.169114576946541</v>
      </c>
    </row>
    <row r="36" spans="10:12" x14ac:dyDescent="0.55000000000000004">
      <c r="J36">
        <v>110</v>
      </c>
      <c r="K36">
        <v>10.953947391857227</v>
      </c>
      <c r="L36">
        <v>10.997239576946541</v>
      </c>
    </row>
    <row r="37" spans="10:12" x14ac:dyDescent="0.55000000000000004">
      <c r="J37">
        <v>111</v>
      </c>
      <c r="K37">
        <v>11.806642276452777</v>
      </c>
      <c r="L37">
        <v>11.825364576946541</v>
      </c>
    </row>
    <row r="38" spans="10:12" x14ac:dyDescent="0.55000000000000004">
      <c r="J38">
        <v>112</v>
      </c>
      <c r="K38">
        <v>12.679108988059141</v>
      </c>
      <c r="L38">
        <v>12.653489576946541</v>
      </c>
    </row>
    <row r="39" spans="10:12" x14ac:dyDescent="0.55000000000000004">
      <c r="J39">
        <v>113</v>
      </c>
      <c r="K39">
        <v>13.569271600088328</v>
      </c>
      <c r="L39">
        <v>13.49122085642486</v>
      </c>
    </row>
    <row r="40" spans="10:12" x14ac:dyDescent="0.55000000000000004">
      <c r="J40">
        <v>114</v>
      </c>
      <c r="K40">
        <v>14.47516252219144</v>
      </c>
      <c r="L40">
        <v>14.43653335642486</v>
      </c>
    </row>
    <row r="41" spans="10:12" x14ac:dyDescent="0.55000000000000004">
      <c r="J41">
        <v>115</v>
      </c>
      <c r="K41">
        <v>15.394938837716396</v>
      </c>
      <c r="L41">
        <v>15.38184585642486</v>
      </c>
    </row>
    <row r="42" spans="10:12" x14ac:dyDescent="0.55000000000000004">
      <c r="J42">
        <v>116</v>
      </c>
      <c r="K42">
        <v>16.326893309710854</v>
      </c>
      <c r="L42">
        <v>16.32715835642486</v>
      </c>
    </row>
    <row r="43" spans="10:12" x14ac:dyDescent="0.55000000000000004">
      <c r="J43">
        <v>117</v>
      </c>
      <c r="K43">
        <v>17.269460583629098</v>
      </c>
      <c r="L43">
        <v>17.27247085642486</v>
      </c>
    </row>
    <row r="44" spans="10:12" x14ac:dyDescent="0.55000000000000004">
      <c r="J44">
        <v>118</v>
      </c>
      <c r="K44">
        <v>18.221219204170339</v>
      </c>
      <c r="L44">
        <v>18.21778335642486</v>
      </c>
    </row>
    <row r="45" spans="10:12" x14ac:dyDescent="0.55000000000000004">
      <c r="J45">
        <v>119</v>
      </c>
      <c r="K45">
        <v>19.180890108309015</v>
      </c>
      <c r="L45">
        <v>19.16309585642486</v>
      </c>
    </row>
    <row r="46" spans="10:12" x14ac:dyDescent="0.55000000000000004">
      <c r="J46">
        <v>120</v>
      </c>
      <c r="K46">
        <v>20.14733226325697</v>
      </c>
      <c r="L46">
        <v>20.10840835642486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Gaurav G</cp:lastModifiedBy>
  <dcterms:created xsi:type="dcterms:W3CDTF">2026-03-09T15:54:00Z</dcterms:created>
  <dcterms:modified xsi:type="dcterms:W3CDTF">2026-03-09T21:58:36Z</dcterms:modified>
</cp:coreProperties>
</file>