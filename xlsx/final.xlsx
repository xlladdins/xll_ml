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F3332798-89AC-41B9-BD2F-B2E68F701E8F}" xr6:coauthVersionLast="47" xr6:coauthVersionMax="47" xr10:uidLastSave="{00000000-0000-0000-0000-000000000000}"/>
  <bookViews>
    <workbookView xWindow="-98" yWindow="-98" windowWidth="22276" windowHeight="13996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q">Sheet1!$C$3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 a="1"/>
  <c r="B5" i="1" s="1"/>
  <c r="C5" i="1" s="1" a="1"/>
  <c r="C5" i="1" s="1"/>
  <c r="H2" i="1" a="1"/>
  <c r="J6" i="1" a="1"/>
  <c r="J6" i="1" l="1"/>
  <c r="D5" i="1" a="1"/>
  <c r="D5" i="1" s="1"/>
  <c r="H2" i="1"/>
  <c r="F2" i="1" a="1"/>
  <c r="K6" i="1" a="1"/>
  <c r="M20" i="1" a="1"/>
  <c r="M23" i="1" a="1"/>
  <c r="M32" i="1" a="1"/>
  <c r="M35" i="1" a="1"/>
  <c r="M44" i="1" a="1"/>
  <c r="M11" i="1" a="1"/>
  <c r="M29" i="1" a="1"/>
  <c r="M38" i="1" a="1"/>
  <c r="M14" i="1" a="1"/>
  <c r="M41" i="1" a="1"/>
  <c r="M8" i="1" a="1"/>
  <c r="M17" i="1" a="1"/>
  <c r="M26" i="1" a="1"/>
  <c r="M9" i="1" a="1"/>
  <c r="M15" i="1" a="1"/>
  <c r="M21" i="1" a="1"/>
  <c r="M27" i="1" a="1"/>
  <c r="M33" i="1" a="1"/>
  <c r="M45" i="1" a="1"/>
  <c r="M12" i="1" a="1"/>
  <c r="M18" i="1" a="1"/>
  <c r="M24" i="1" a="1"/>
  <c r="M30" i="1" a="1"/>
  <c r="M36" i="1" a="1"/>
  <c r="M39" i="1" a="1"/>
  <c r="M42" i="1" a="1"/>
  <c r="M7" i="1" a="1"/>
  <c r="M10" i="1" a="1"/>
  <c r="M13" i="1" a="1"/>
  <c r="M16" i="1" a="1"/>
  <c r="M19" i="1" a="1"/>
  <c r="M22" i="1" a="1"/>
  <c r="M25" i="1" a="1"/>
  <c r="M28" i="1" a="1"/>
  <c r="M31" i="1" a="1"/>
  <c r="M34" i="1" a="1"/>
  <c r="M37" i="1" a="1"/>
  <c r="M40" i="1" a="1"/>
  <c r="M43" i="1" a="1"/>
  <c r="M46" i="1" a="1"/>
  <c r="M46" i="1" l="1"/>
  <c r="M43" i="1"/>
  <c r="M40" i="1"/>
  <c r="M37" i="1"/>
  <c r="M34" i="1"/>
  <c r="M31" i="1"/>
  <c r="M28" i="1"/>
  <c r="M25" i="1"/>
  <c r="M22" i="1"/>
  <c r="M19" i="1"/>
  <c r="M16" i="1"/>
  <c r="M13" i="1"/>
  <c r="M10" i="1"/>
  <c r="M7" i="1"/>
  <c r="M42" i="1"/>
  <c r="M39" i="1"/>
  <c r="M36" i="1"/>
  <c r="M30" i="1"/>
  <c r="M24" i="1"/>
  <c r="M18" i="1"/>
  <c r="M12" i="1"/>
  <c r="M45" i="1"/>
  <c r="M33" i="1"/>
  <c r="M27" i="1"/>
  <c r="M21" i="1"/>
  <c r="M15" i="1"/>
  <c r="M9" i="1"/>
  <c r="M26" i="1"/>
  <c r="M17" i="1"/>
  <c r="M8" i="1"/>
  <c r="M41" i="1"/>
  <c r="M14" i="1"/>
  <c r="M38" i="1"/>
  <c r="M29" i="1"/>
  <c r="M11" i="1"/>
  <c r="M44" i="1"/>
  <c r="M35" i="1"/>
  <c r="M32" i="1"/>
  <c r="M23" i="1"/>
  <c r="M20" i="1"/>
  <c r="F2" i="1"/>
  <c r="K6" i="1"/>
  <c r="L6" i="1" a="1"/>
  <c r="F5" i="1" a="1"/>
  <c r="M6" i="1" a="1"/>
  <c r="N11" i="1" a="1"/>
  <c r="N29" i="1" a="1"/>
  <c r="N23" i="1" a="1"/>
  <c r="N32" i="1" a="1"/>
  <c r="N20" i="1" a="1"/>
  <c r="N38" i="1" a="1"/>
  <c r="N14" i="1" a="1"/>
  <c r="N41" i="1" a="1"/>
  <c r="N8" i="1" a="1"/>
  <c r="N17" i="1" a="1"/>
  <c r="N26" i="1" a="1"/>
  <c r="N35" i="1" a="1"/>
  <c r="N44" i="1" a="1"/>
  <c r="N9" i="1" a="1"/>
  <c r="N12" i="1" a="1"/>
  <c r="N15" i="1" a="1"/>
  <c r="N18" i="1" a="1"/>
  <c r="N21" i="1" a="1"/>
  <c r="N24" i="1" a="1"/>
  <c r="N27" i="1" a="1"/>
  <c r="N30" i="1" a="1"/>
  <c r="N33" i="1" a="1"/>
  <c r="N36" i="1" a="1"/>
  <c r="N39" i="1" a="1"/>
  <c r="N42" i="1" a="1"/>
  <c r="N45" i="1" a="1"/>
  <c r="N7" i="1" a="1"/>
  <c r="N10" i="1" a="1"/>
  <c r="N13" i="1" a="1"/>
  <c r="N16" i="1" a="1"/>
  <c r="N19" i="1" a="1"/>
  <c r="N22" i="1" a="1"/>
  <c r="N25" i="1" a="1"/>
  <c r="N28" i="1" a="1"/>
  <c r="N31" i="1" a="1"/>
  <c r="N34" i="1" a="1"/>
  <c r="N37" i="1" a="1"/>
  <c r="N40" i="1" a="1"/>
  <c r="N43" i="1" a="1"/>
  <c r="N46" i="1" a="1"/>
  <c r="N46" i="1" l="1"/>
  <c r="N43" i="1"/>
  <c r="N40" i="1"/>
  <c r="N37" i="1"/>
  <c r="N34" i="1"/>
  <c r="N31" i="1"/>
  <c r="N28" i="1"/>
  <c r="N25" i="1"/>
  <c r="N22" i="1"/>
  <c r="N19" i="1"/>
  <c r="N16" i="1"/>
  <c r="N13" i="1"/>
  <c r="N10" i="1"/>
  <c r="N7" i="1"/>
  <c r="N45" i="1"/>
  <c r="N42" i="1"/>
  <c r="N39" i="1"/>
  <c r="N36" i="1"/>
  <c r="N33" i="1"/>
  <c r="N30" i="1"/>
  <c r="N27" i="1"/>
  <c r="N24" i="1"/>
  <c r="N21" i="1"/>
  <c r="N18" i="1"/>
  <c r="N15" i="1"/>
  <c r="N12" i="1"/>
  <c r="N9" i="1"/>
  <c r="N44" i="1"/>
  <c r="N35" i="1"/>
  <c r="N26" i="1"/>
  <c r="N17" i="1"/>
  <c r="N8" i="1"/>
  <c r="N41" i="1"/>
  <c r="N14" i="1"/>
  <c r="N38" i="1"/>
  <c r="N20" i="1"/>
  <c r="N32" i="1"/>
  <c r="N23" i="1"/>
  <c r="N29" i="1"/>
  <c r="N11" i="1"/>
  <c r="F5" i="1"/>
  <c r="L6" i="1"/>
  <c r="M6" i="1"/>
  <c r="N6" i="1" a="1"/>
  <c r="N6" i="1" l="1"/>
  <c r="H5" i="1"/>
  <c r="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M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7" authorId="0" shapeId="0" xr:uid="{948F1A35-EA07-4F0C-A7EA-D9D80C66D1B8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8" authorId="0" shapeId="0" xr:uid="{788B8FF4-BC7A-4E6F-BEE5-DB77ACF07B20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9" authorId="0" shapeId="0" xr:uid="{63C7AC69-5692-4A68-809F-273ACED1F0D4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0" authorId="0" shapeId="0" xr:uid="{11AF8CCC-8ADC-472C-BB4A-534426A94226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1" authorId="0" shapeId="0" xr:uid="{11660E8A-ACA6-429A-823D-FEDBA30116C2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2" authorId="0" shapeId="0" xr:uid="{482A11FE-B0C7-47E3-8095-2F21EF0A8A5B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3" authorId="0" shapeId="0" xr:uid="{93B8B4EC-5BFF-47BD-8161-043A23A3D38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4" authorId="0" shapeId="0" xr:uid="{131F2563-41E8-4328-B06E-C93A5123D128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5" authorId="0" shapeId="0" xr:uid="{7E7E4EDF-039C-4088-ACF7-3811DFD8A48F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6" authorId="0" shapeId="0" xr:uid="{8941F90E-A387-41F2-A843-269E153971E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7" authorId="0" shapeId="0" xr:uid="{DAB72AC2-8032-4871-8F4D-AFE9AFD0EB2E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8" authorId="0" shapeId="0" xr:uid="{BD01DDE9-3DAB-44BF-89DD-98E253DEBB6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19" authorId="0" shapeId="0" xr:uid="{F9C0DD7B-DDCB-4C20-9ECE-489644134934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0" authorId="0" shapeId="0" xr:uid="{2911EA44-224C-492B-AA8D-C37896FBDDAD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1" authorId="0" shapeId="0" xr:uid="{098B9975-1CE5-42CB-95CD-C7D086224DCA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2" authorId="0" shapeId="0" xr:uid="{8BB8AA19-E00E-4DB5-89CE-6CA0BF1E7EAF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3" authorId="0" shapeId="0" xr:uid="{83E5980A-DFC0-4C2C-BA2E-C2E1C5BD19FC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4" authorId="0" shapeId="0" xr:uid="{99DAD293-43BB-483A-8355-1D87A0ACA6F7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5" authorId="0" shapeId="0" xr:uid="{BA9413A2-6019-475B-ABFC-25C935166897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6" authorId="0" shapeId="0" xr:uid="{1C7453F4-1C77-4279-B5D3-21330CBCCE11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7" authorId="0" shapeId="0" xr:uid="{B282FDC3-5ECE-4BF7-9A71-23AA333110FA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8" authorId="0" shapeId="0" xr:uid="{48C17137-4A05-4E08-BE1D-14C1E3D1BBB2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29" authorId="0" shapeId="0" xr:uid="{3B0A10C4-0C28-4B10-803E-FEB426169088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0" authorId="0" shapeId="0" xr:uid="{8F2E62BE-1299-45E1-AFA5-52A5ED9906FD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1" authorId="0" shapeId="0" xr:uid="{BD197020-E3B7-471B-BD0E-D8C90657C4A3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2" authorId="0" shapeId="0" xr:uid="{E745CE40-15DD-4925-9AB2-22C3D16DA087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3" authorId="0" shapeId="0" xr:uid="{7103CD34-B603-4B47-8E3A-F1FBECB1B078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4" authorId="0" shapeId="0" xr:uid="{342FA18D-52A5-4583-B5DD-2F30569192E1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5" authorId="0" shapeId="0" xr:uid="{D64C8F2C-3F8F-472C-8EC5-5BC298945F23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6" authorId="0" shapeId="0" xr:uid="{4B1AC3FE-3BEA-4EB0-831C-DAAC9B51AED7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7" authorId="0" shapeId="0" xr:uid="{6BC8C3C7-C260-4BE8-86D7-6D5ED9C4877B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8" authorId="0" shapeId="0" xr:uid="{CAE92B65-3279-4C38-9099-ED96714FE6B2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39" authorId="0" shapeId="0" xr:uid="{CFF77CE5-7147-4B64-AF8A-0CA9E70975D3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40" authorId="0" shapeId="0" xr:uid="{D6C16120-55FF-47A6-B859-0D0FA0214054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41" authorId="0" shapeId="0" xr:uid="{93D3C917-5DA8-40DB-B458-3EB58A37E989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42" authorId="0" shapeId="0" xr:uid="{BC269792-BE0A-4831-856A-F097DB0B7C00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43" authorId="0" shapeId="0" xr:uid="{7692FD37-D6BC-482D-8476-C0F47ECD127F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44" authorId="0" shapeId="0" xr:uid="{F1166A42-025A-4C28-A876-F79EE4C4ECBD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45" authorId="0" shapeId="0" xr:uid="{35CB3789-4B1A-44C2-9234-302DDEF74D67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  <comment ref="M46" authorId="0" shapeId="0" xr:uid="{FDA964B7-2508-4461-9E45-863D41822A2C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<sst xmlns="http://schemas.openxmlformats.org/spreadsheetml/2006/main" count="14" uniqueCount="14">
  <si>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</si>
  <si>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</si>
  <si>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</si>
  <si>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</si>
  <si>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</si>
  <si>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</si>
  <si>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</si>
  <si>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</si>
  <si>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</si>
  <si>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</si>
  <si>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</si>
  <si>
    <t>mean</t>
  </si>
  <si>
    <t>variance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</si>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</sst>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3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xVal>
          <c:yVal>
            <c:numRef>
              <c:f>Sheet1!$M$6:$M$46</c:f>
              <c:numCache>
                <c:formatCode>General</c:formatCode>
                <c:ptCount val="41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0.10000000000000002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0.10000000000000002</c:v>
                </c:pt>
                <c:pt idx="23">
                  <c:v>0.1</c:v>
                </c:pt>
                <c:pt idx="24">
                  <c:v>0.1</c:v>
                </c:pt>
                <c:pt idx="25">
                  <c:v>0.1</c:v>
                </c:pt>
                <c:pt idx="26">
                  <c:v>0.1</c:v>
                </c:pt>
                <c:pt idx="27">
                  <c:v>0.1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0.1</c:v>
                </c:pt>
                <c:pt idx="32">
                  <c:v>0.1</c:v>
                </c:pt>
                <c:pt idx="33">
                  <c:v>0.1</c:v>
                </c:pt>
                <c:pt idx="34">
                  <c:v>0.10000000000000002</c:v>
                </c:pt>
                <c:pt idx="35">
                  <c:v>0.1</c:v>
                </c:pt>
                <c:pt idx="36">
                  <c:v>0.1</c:v>
                </c:pt>
                <c:pt idx="37">
                  <c:v>0.1</c:v>
                </c:pt>
                <c:pt idx="38">
                  <c:v>0.1</c:v>
                </c:pt>
                <c:pt idx="39">
                  <c:v>0.1</c:v>
                </c:pt>
                <c:pt idx="40">
                  <c:v>0.10000000000000002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AB-4B8B-A769-411392FD0956}"/>
            </c:ext>
          </c:extLst>
        </c:ser>
        <c:ser>
          <c:idx val="3"/>
          <c:order val="1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xVal>
          <c:yVal>
            <c:numRef>
              <c:f>Sheet1!$N$6:$N$46</c:f>
              <c:numCache>
                <c:formatCode>General</c:formatCode>
                <c:ptCount val="41"/>
                <c:pt idx="0">
                  <c:v>7.9194489539153368E-2</c:v>
                </c:pt>
                <c:pt idx="1">
                  <c:v>8.5157059150708092E-2</c:v>
                </c:pt>
                <c:pt idx="2">
                  <c:v>8.6105790893215045E-2</c:v>
                </c:pt>
                <c:pt idx="3">
                  <c:v>8.5298976350343753E-2</c:v>
                </c:pt>
                <c:pt idx="4">
                  <c:v>8.3517437577271633E-2</c:v>
                </c:pt>
                <c:pt idx="5">
                  <c:v>8.9438096692167471E-2</c:v>
                </c:pt>
                <c:pt idx="6">
                  <c:v>9.2141586538058234E-2</c:v>
                </c:pt>
                <c:pt idx="7">
                  <c:v>9.2626459419069621E-2</c:v>
                </c:pt>
                <c:pt idx="8">
                  <c:v>9.1758184629501041E-2</c:v>
                </c:pt>
                <c:pt idx="9">
                  <c:v>9.0169263797967705E-2</c:v>
                </c:pt>
                <c:pt idx="10">
                  <c:v>9.4628026813189908E-2</c:v>
                </c:pt>
                <c:pt idx="11">
                  <c:v>9.6728827067749532E-2</c:v>
                </c:pt>
                <c:pt idx="12">
                  <c:v>9.7252026841150876E-2</c:v>
                </c:pt>
                <c:pt idx="13">
                  <c:v>9.6572218748917471E-2</c:v>
                </c:pt>
                <c:pt idx="14">
                  <c:v>9.4894154709242715E-2</c:v>
                </c:pt>
                <c:pt idx="15">
                  <c:v>9.7920844524101894E-2</c:v>
                </c:pt>
                <c:pt idx="16">
                  <c:v>0.10000161751862045</c:v>
                </c:pt>
                <c:pt idx="17">
                  <c:v>0.10084778586724699</c:v>
                </c:pt>
                <c:pt idx="18">
                  <c:v>0.10061334017383813</c:v>
                </c:pt>
                <c:pt idx="19">
                  <c:v>9.9377199121620463E-2</c:v>
                </c:pt>
                <c:pt idx="20">
                  <c:v>9.9924494084906307E-2</c:v>
                </c:pt>
                <c:pt idx="21">
                  <c:v>0.10218062182860853</c:v>
                </c:pt>
                <c:pt idx="22">
                  <c:v>0.103489164426445</c:v>
                </c:pt>
                <c:pt idx="23">
                  <c:v>0.1038878729008812</c:v>
                </c:pt>
                <c:pt idx="24">
                  <c:v>0.1033734265574499</c:v>
                </c:pt>
                <c:pt idx="25">
                  <c:v>0.10189875739562262</c:v>
                </c:pt>
                <c:pt idx="26">
                  <c:v>0.10329533688488482</c:v>
                </c:pt>
                <c:pt idx="27">
                  <c:v>0.10504821796277669</c:v>
                </c:pt>
                <c:pt idx="28">
                  <c:v>0.10610819639689921</c:v>
                </c:pt>
                <c:pt idx="29">
                  <c:v>0.10643754425537091</c:v>
                </c:pt>
                <c:pt idx="30">
                  <c:v>0.10596465442382622</c:v>
                </c:pt>
                <c:pt idx="31">
                  <c:v>0.1045664615820369</c:v>
                </c:pt>
                <c:pt idx="32">
                  <c:v>0.10548241109494871</c:v>
                </c:pt>
                <c:pt idx="33">
                  <c:v>0.10706139872342309</c:v>
                </c:pt>
                <c:pt idx="34">
                  <c:v>0.10812473634601119</c:v>
                </c:pt>
                <c:pt idx="35">
                  <c:v>0.10861339727042094</c:v>
                </c:pt>
                <c:pt idx="36">
                  <c:v>0.10843538591175529</c:v>
                </c:pt>
                <c:pt idx="37">
                  <c:v>0.10744257858758272</c:v>
                </c:pt>
                <c:pt idx="38">
                  <c:v>0.10681659237423599</c:v>
                </c:pt>
                <c:pt idx="39">
                  <c:v>0.10835965820573557</c:v>
                </c:pt>
                <c:pt idx="40">
                  <c:v>0.10953414985532098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AB-4B8B-A769-411392FD0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9014719"/>
        <c:axId val="1989015679"/>
      </c:scatterChart>
      <c:valAx>
        <c:axId val="1989014719"/>
        <c:scaling>
          <c:orientation val="minMax"/>
          <c:max val="120"/>
          <c:min val="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15679"/>
        <c:crosses val="autoZero"/>
        <c:crossBetween val="midCat"/>
      </c:valAx>
      <c:valAx>
        <c:axId val="198901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90147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364331</xdr:colOff>
      <xdr:row>6</xdr:row>
      <xdr:rowOff>90486</xdr:rowOff>
    </xdr:from>
    <xdr:to>
      <xdr:col>11</xdr:col>
      <xdr:colOff>721518</xdr:colOff>
      <xdr:row>18</xdr:row>
      <xdr:rowOff>90486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7A41F4-0CE0-08B9-5AC5-87923C9D92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N46"/>
  <sheetViews>
    <sheetView tabSelected="1" workbookViewId="0">
      <selection activeCell="C3" sqref="C3"/>
    </sheetView>
  </sheetViews>
  <sheetFormatPr defaultRowHeight="18" x14ac:dyDescent="0.55000000000000004"/>
  <cols>
    <col min="1" max="1" width="3.578125" customWidth="1"/>
    <col min="6" max="6" width="9.05078125" bestFit="1" customWidth="1"/>
    <col min="7" max="7" width="11.68359375" bestFit="1" customWidth="1"/>
    <col min="8" max="8" width="8.3671875" customWidth="1"/>
  </cols>
  <sheetData>
    <row r="2" spans="2:14" x14ac:dyDescent="0.55000000000000004">
      <c r="B2" s="2" t="s">
        <v>0</v>
      </c>
      <c r="C2">
        <v>20</v>
      </c>
      <c r="E2" s="2" t="s">
        <v>4</v>
      </c>
      <c r="F2" s="3" cm="1">
        <f t="array" ref="F2">_xll.\OPTION.DISCRETE(_xlfn.ANCHORARRAY(D5),_xlfn.ANCHORARRAY(C5))</f>
        <v>2042332648176</v>
      </c>
      <c r="G2" s="2" t="s">
        <v>3</v>
      </c>
      <c r="H2" s="3" cm="1">
        <f t="array" ref="H2">_xll.\OPTION.NORMAL()</f>
        <v>2044155535952</v>
      </c>
      <c r="I2" s="2" t="s">
        <v>5</v>
      </c>
      <c r="J2">
        <v>100</v>
      </c>
    </row>
    <row r="3" spans="2:14" x14ac:dyDescent="0.55000000000000004">
      <c r="B3" s="2" t="s">
        <v>13</v>
      </c>
      <c r="C3">
        <v>0.2</v>
      </c>
      <c r="I3" s="2" t="s">
        <v>6</v>
      </c>
      <c r="J3">
        <v>0.1</v>
      </c>
    </row>
    <row r="4" spans="2:14" x14ac:dyDescent="0.55000000000000004">
      <c r="C4" s="1" t="s">
        <v>1</v>
      </c>
      <c r="D4" s="1" t="s">
        <v>2</v>
      </c>
      <c r="G4" s="1" t="s">
        <v>11</v>
      </c>
      <c r="H4" s="1" t="s">
        <v>12</v>
      </c>
      <c r="I4" s="2" t="s">
        <v>7</v>
      </c>
      <c r="J4">
        <v>100</v>
      </c>
    </row>
    <row r="5" spans="2:14" x14ac:dyDescent="0.55000000000000004">
      <c r="B5" cm="1">
        <f t="array" ref="B5:B25">_xlfn.SEQUENCE(n+1,1,0)</f>
        <v>0</v>
      </c>
      <c r="C5" cm="1">
        <f t="array" ref="C5:C25">_xlfn.MAP(_xlfn.ANCHORARRAY(B5),_xlfn.LAMBDA(_xlpm.m,_xlfn.BINOM.DIST(_xlpm.m,n,q,FALSE)))</f>
        <v>1.1529215046068471E-2</v>
      </c>
      <c r="D5" cm="1">
        <f t="array" ref="D5:D25">_xlfn.ANCHORARRAY(B5)</f>
        <v>0</v>
      </c>
      <c r="F5" cm="1">
        <f t="array" ref="F5:F25">_xll.OPTION.DISCRETE(discrete)</f>
        <v>-2.2360679774997889</v>
      </c>
      <c r="G5">
        <f>SUMPRODUCT(_xlfn.ANCHORARRAY(F5),_xlfn.ANCHORARRAY(C5))</f>
        <v>1.0733619282401028E-15</v>
      </c>
      <c r="H5">
        <f>SUMPRODUCT(_xlfn.ANCHORARRAY(F5),_xlfn.ANCHORARRAY(F5),_xlfn.ANCHORARRAY(C5))</f>
        <v>1.0000000000000002</v>
      </c>
      <c r="J5" s="1" t="s">
        <v>10</v>
      </c>
      <c r="K5" s="2" t="s">
        <v>8</v>
      </c>
      <c r="L5" t="s">
        <v>9</v>
      </c>
    </row>
    <row r="6" spans="2:14" x14ac:dyDescent="0.55000000000000004">
      <c r="B6">
        <v>1</v>
      </c>
      <c r="C6">
        <v>5.7646075230342327E-2</v>
      </c>
      <c r="D6">
        <v>1</v>
      </c>
      <c r="F6">
        <v>-1.6770509831248415</v>
      </c>
      <c r="I6">
        <v>80</v>
      </c>
      <c r="J6" cm="1">
        <f t="array" ref="J6:J46">_xll.ARRAY.SEQUENCE(I6,I7,I8)</f>
        <v>80</v>
      </c>
      <c r="K6" cm="1">
        <f t="array" ref="K6:K46">_xlfn.MAP(_xlfn.ANCHORARRAY($J6),_xlfn.LAMBDA(_xlpm.k,_xll.OPTION.BLACK.PUT(f,s,_xlpm.k,normal)))</f>
        <v>3.9914343421845189E-2</v>
      </c>
      <c r="L6" cm="1">
        <f t="array" ref="L6:L46">_xlfn.MAP(_xlfn.ANCHORARRAY($J6),_xlfn.LAMBDA(_xlpm.k,_xll.OPTION.BLACK.PUT(f,s,_xlpm.k,discrete)))</f>
        <v>5.0765341236550521E-3</v>
      </c>
      <c r="M6" cm="1">
        <f t="array" ref="M6">_xll.OPTION.BLACK.PUT_IMPLIED(f, K6, J6)</f>
        <v>0.1</v>
      </c>
      <c r="N6" cm="1">
        <f t="array" ref="N6">_xll.OPTION.BLACK.PUT_IMPLIED(f, L6,J6)</f>
        <v>7.9194489539153368E-2</v>
      </c>
    </row>
    <row r="7" spans="2:14" x14ac:dyDescent="0.55000000000000004">
      <c r="B7">
        <v>2</v>
      </c>
      <c r="C7">
        <v>0.1369094286720631</v>
      </c>
      <c r="D7">
        <v>2</v>
      </c>
      <c r="F7">
        <v>-1.118033988749894</v>
      </c>
      <c r="I7">
        <v>120</v>
      </c>
      <c r="J7">
        <v>81</v>
      </c>
      <c r="K7">
        <v>5.7008934088098151E-2</v>
      </c>
      <c r="L7">
        <v>1.660574916972346E-2</v>
      </c>
      <c r="M7" cm="1">
        <f t="array" ref="M7">_xll.OPTION.BLACK.PUT_IMPLIED(f, K7, J7)</f>
        <v>0.1</v>
      </c>
      <c r="N7" cm="1">
        <f t="array" ref="N7">_xll.OPTION.BLACK.PUT_IMPLIED(f, L7,J7)</f>
        <v>8.5157059150708092E-2</v>
      </c>
    </row>
    <row r="8" spans="2:14" x14ac:dyDescent="0.55000000000000004">
      <c r="B8">
        <v>3</v>
      </c>
      <c r="C8">
        <v>0.20536414300809455</v>
      </c>
      <c r="D8">
        <v>3</v>
      </c>
      <c r="F8">
        <v>-0.55901699437494656</v>
      </c>
      <c r="I8">
        <v>1</v>
      </c>
      <c r="J8">
        <v>82</v>
      </c>
      <c r="K8">
        <v>8.0058534547871929E-2</v>
      </c>
      <c r="L8">
        <v>2.813496421579198E-2</v>
      </c>
      <c r="M8" cm="1">
        <f t="array" ref="M8">_xll.OPTION.BLACK.PUT_IMPLIED(f, K8, J8)</f>
        <v>0.1</v>
      </c>
      <c r="N8" cm="1">
        <f t="array" ref="N8">_xll.OPTION.BLACK.PUT_IMPLIED(f, L8,J8)</f>
        <v>8.6105790893215045E-2</v>
      </c>
    </row>
    <row r="9" spans="2:14" x14ac:dyDescent="0.55000000000000004">
      <c r="B9">
        <v>4</v>
      </c>
      <c r="C9">
        <v>0.21819940194610055</v>
      </c>
      <c r="D9">
        <v>4</v>
      </c>
      <c r="F9">
        <v>9.9301366129890944E-16</v>
      </c>
      <c r="J9">
        <v>83</v>
      </c>
      <c r="K9">
        <v>0.11061799019468133</v>
      </c>
      <c r="L9">
        <v>3.9664179261860388E-2</v>
      </c>
      <c r="M9" cm="1">
        <f t="array" ref="M9">_xll.OPTION.BLACK.PUT_IMPLIED(f, K9, J9)</f>
        <v>0.1</v>
      </c>
      <c r="N9" cm="1">
        <f t="array" ref="N9">_xll.OPTION.BLACK.PUT_IMPLIED(f, L9,J9)</f>
        <v>8.5298976350343753E-2</v>
      </c>
    </row>
    <row r="10" spans="2:14" x14ac:dyDescent="0.55000000000000004">
      <c r="B10">
        <v>5</v>
      </c>
      <c r="C10">
        <v>0.17455952155688043</v>
      </c>
      <c r="D10">
        <v>5</v>
      </c>
      <c r="F10">
        <v>0.55901699437494845</v>
      </c>
      <c r="J10">
        <v>84</v>
      </c>
      <c r="K10">
        <v>0.15048353300942274</v>
      </c>
      <c r="L10">
        <v>5.1193394307928908E-2</v>
      </c>
      <c r="M10" cm="1">
        <f t="array" ref="M10">_xll.OPTION.BLACK.PUT_IMPLIED(f, K10, J10)</f>
        <v>0.1</v>
      </c>
      <c r="N10" cm="1">
        <f t="array" ref="N10">_xll.OPTION.BLACK.PUT_IMPLIED(f, L10,J10)</f>
        <v>8.3517437577271633E-2</v>
      </c>
    </row>
    <row r="11" spans="2:14" x14ac:dyDescent="0.55000000000000004">
      <c r="B11">
        <v>6</v>
      </c>
      <c r="C11">
        <v>0.1090997009730503</v>
      </c>
      <c r="D11">
        <v>6</v>
      </c>
      <c r="F11">
        <v>1.118033988749896</v>
      </c>
      <c r="J11">
        <v>85</v>
      </c>
      <c r="K11">
        <v>0.20168732797265765</v>
      </c>
      <c r="L11">
        <v>0.11265198626217554</v>
      </c>
      <c r="M11" cm="1">
        <f t="array" ref="M11">_xll.OPTION.BLACK.PUT_IMPLIED(f, K11, J11)</f>
        <v>0.1</v>
      </c>
      <c r="N11" cm="1">
        <f t="array" ref="N11">_xll.OPTION.BLACK.PUT_IMPLIED(f, L11,J11)</f>
        <v>8.9438096692167471E-2</v>
      </c>
    </row>
    <row r="12" spans="2:14" x14ac:dyDescent="0.55000000000000004">
      <c r="B12">
        <v>7</v>
      </c>
      <c r="C12">
        <v>5.4549850486525116E-2</v>
      </c>
      <c r="D12">
        <v>7</v>
      </c>
      <c r="F12">
        <v>1.6770509831248435</v>
      </c>
      <c r="J12">
        <v>86</v>
      </c>
      <c r="K12">
        <v>0.26648097458621844</v>
      </c>
      <c r="L12">
        <v>0.18182727653858599</v>
      </c>
      <c r="M12" cm="1">
        <f t="array" ref="M12">_xll.OPTION.BLACK.PUT_IMPLIED(f, K12, J12)</f>
        <v>0.1</v>
      </c>
      <c r="N12" cm="1">
        <f t="array" ref="N12">_xll.OPTION.BLACK.PUT_IMPLIED(f, L12,J12)</f>
        <v>9.2141586538058234E-2</v>
      </c>
    </row>
    <row r="13" spans="2:14" x14ac:dyDescent="0.55000000000000004">
      <c r="B13">
        <v>8</v>
      </c>
      <c r="C13">
        <v>2.2160876760150834E-2</v>
      </c>
      <c r="D13">
        <v>8</v>
      </c>
      <c r="F13">
        <v>2.2360679774997911</v>
      </c>
      <c r="J13">
        <v>87</v>
      </c>
      <c r="K13">
        <v>0.34730740212793787</v>
      </c>
      <c r="L13">
        <v>0.25100256681499644</v>
      </c>
      <c r="M13" cm="1">
        <f t="array" ref="M13">_xll.OPTION.BLACK.PUT_IMPLIED(f, K13, J13)</f>
        <v>0.1</v>
      </c>
      <c r="N13" cm="1">
        <f t="array" ref="N13">_xll.OPTION.BLACK.PUT_IMPLIED(f, L13,J13)</f>
        <v>9.2626459419069621E-2</v>
      </c>
    </row>
    <row r="14" spans="2:14" x14ac:dyDescent="0.55000000000000004">
      <c r="B14">
        <v>9</v>
      </c>
      <c r="C14">
        <v>7.386958920050278E-3</v>
      </c>
      <c r="D14">
        <v>9</v>
      </c>
      <c r="F14">
        <v>2.7950849718747386</v>
      </c>
      <c r="J14">
        <v>88</v>
      </c>
      <c r="K14">
        <v>0.44676133725329414</v>
      </c>
      <c r="L14">
        <v>0.32017785709140778</v>
      </c>
      <c r="M14" cm="1">
        <f t="array" ref="M14">_xll.OPTION.BLACK.PUT_IMPLIED(f, K14, J14)</f>
        <v>0.1</v>
      </c>
      <c r="N14" cm="1">
        <f t="array" ref="N14">_xll.OPTION.BLACK.PUT_IMPLIED(f, L14,J14)</f>
        <v>9.1758184629501041E-2</v>
      </c>
    </row>
    <row r="15" spans="2:14" x14ac:dyDescent="0.55000000000000004">
      <c r="B15">
        <v>10</v>
      </c>
      <c r="C15">
        <v>2.0314137030138257E-3</v>
      </c>
      <c r="D15">
        <v>10</v>
      </c>
      <c r="F15">
        <v>3.354101966249686</v>
      </c>
      <c r="J15">
        <v>89</v>
      </c>
      <c r="K15">
        <v>0.56753930674006803</v>
      </c>
      <c r="L15">
        <v>0.39331904396025408</v>
      </c>
      <c r="M15" cm="1">
        <f t="array" ref="M15">_xll.OPTION.BLACK.PUT_IMPLIED(f, K15, J15)</f>
        <v>0.10000000000000002</v>
      </c>
      <c r="N15" cm="1">
        <f t="array" ref="N15">_xll.OPTION.BLACK.PUT_IMPLIED(f, L15,J15)</f>
        <v>9.0169263797967705E-2</v>
      </c>
    </row>
    <row r="16" spans="2:14" x14ac:dyDescent="0.55000000000000004">
      <c r="B16">
        <v>11</v>
      </c>
      <c r="C16">
        <v>4.6168493250314227E-4</v>
      </c>
      <c r="D16">
        <v>11</v>
      </c>
      <c r="F16">
        <v>3.9131189606246335</v>
      </c>
      <c r="J16">
        <v>90</v>
      </c>
      <c r="K16">
        <v>0.71238089607367172</v>
      </c>
      <c r="L16">
        <v>0.59940376290872877</v>
      </c>
      <c r="M16" cm="1">
        <f t="array" ref="M16">_xll.OPTION.BLACK.PUT_IMPLIED(f, K16, J16)</f>
        <v>0.1</v>
      </c>
      <c r="N16" cm="1">
        <f t="array" ref="N16">_xll.OPTION.BLACK.PUT_IMPLIED(f, L16,J16)</f>
        <v>9.4628026813189908E-2</v>
      </c>
    </row>
    <row r="17" spans="2:14" x14ac:dyDescent="0.55000000000000004">
      <c r="B17">
        <v>12</v>
      </c>
      <c r="C17">
        <v>8.6565924844339142E-5</v>
      </c>
      <c r="D17">
        <v>12</v>
      </c>
      <c r="F17">
        <v>4.4721359549995814</v>
      </c>
      <c r="J17">
        <v>91</v>
      </c>
      <c r="K17">
        <v>0.88400364647703356</v>
      </c>
      <c r="L17">
        <v>0.80548848185720345</v>
      </c>
      <c r="M17" cm="1">
        <f t="array" ref="M17">_xll.OPTION.BLACK.PUT_IMPLIED(f, K17, J17)</f>
        <v>0.1</v>
      </c>
      <c r="N17" cm="1">
        <f t="array" ref="N17">_xll.OPTION.BLACK.PUT_IMPLIED(f, L17,J17)</f>
        <v>9.6728827067749532E-2</v>
      </c>
    </row>
    <row r="18" spans="2:14" x14ac:dyDescent="0.55000000000000004">
      <c r="B18">
        <v>13</v>
      </c>
      <c r="C18">
        <v>1.3317834591436786E-5</v>
      </c>
      <c r="D18">
        <v>13</v>
      </c>
      <c r="F18">
        <v>5.0311529493745288</v>
      </c>
      <c r="J18">
        <v>92</v>
      </c>
      <c r="K18">
        <v>1.0850344779622993</v>
      </c>
      <c r="L18">
        <v>1.0115732008056781</v>
      </c>
      <c r="M18" cm="1">
        <f t="array" ref="M18">_xll.OPTION.BLACK.PUT_IMPLIED(f, K18, J18)</f>
        <v>0.1</v>
      </c>
      <c r="N18" cm="1">
        <f t="array" ref="N18">_xll.OPTION.BLACK.PUT_IMPLIED(f, L18,J18)</f>
        <v>9.7252026841150876E-2</v>
      </c>
    </row>
    <row r="19" spans="2:14" x14ac:dyDescent="0.55000000000000004">
      <c r="B19">
        <v>14</v>
      </c>
      <c r="C19">
        <v>1.6647293239295963E-6</v>
      </c>
      <c r="D19">
        <v>14</v>
      </c>
      <c r="F19">
        <v>5.5901699437494763</v>
      </c>
      <c r="J19">
        <v>93</v>
      </c>
      <c r="K19">
        <v>1.3179408286409817</v>
      </c>
      <c r="L19">
        <v>1.2176579197541493</v>
      </c>
      <c r="M19" cm="1">
        <f t="array" ref="M19">_xll.OPTION.BLACK.PUT_IMPLIED(f, K19, J19)</f>
        <v>0.1</v>
      </c>
      <c r="N19" cm="1">
        <f t="array" ref="N19">_xll.OPTION.BLACK.PUT_IMPLIED(f, L19,J19)</f>
        <v>9.6572218748917471E-2</v>
      </c>
    </row>
    <row r="20" spans="2:14" x14ac:dyDescent="0.55000000000000004">
      <c r="B20">
        <v>15</v>
      </c>
      <c r="C20">
        <v>1.6647293239296003E-7</v>
      </c>
      <c r="D20">
        <v>15</v>
      </c>
      <c r="F20">
        <v>6.1491869381244237</v>
      </c>
      <c r="J20">
        <v>94</v>
      </c>
      <c r="K20">
        <v>1.5849647756893894</v>
      </c>
      <c r="L20">
        <v>1.423742638702624</v>
      </c>
      <c r="M20" cm="1">
        <f t="array" ref="M20">_xll.OPTION.BLACK.PUT_IMPLIED(f, K20, J20)</f>
        <v>0.1</v>
      </c>
      <c r="N20" cm="1">
        <f t="array" ref="N20">_xll.OPTION.BLACK.PUT_IMPLIED(f, L20,J20)</f>
        <v>9.4894154709242715E-2</v>
      </c>
    </row>
    <row r="21" spans="2:14" x14ac:dyDescent="0.55000000000000004">
      <c r="B21">
        <v>16</v>
      </c>
      <c r="C21">
        <v>1.3005697843199991E-8</v>
      </c>
      <c r="D21">
        <v>16</v>
      </c>
      <c r="F21">
        <v>6.7082039324993712</v>
      </c>
      <c r="J21">
        <v>95</v>
      </c>
      <c r="K21">
        <v>1.8880632480607282</v>
      </c>
      <c r="L21">
        <v>1.8174667451742721</v>
      </c>
      <c r="M21" cm="1">
        <f t="array" ref="M21">_xll.OPTION.BLACK.PUT_IMPLIED(f, K21, J21)</f>
        <v>0.1</v>
      </c>
      <c r="N21" cm="1">
        <f t="array" ref="N21">_xll.OPTION.BLACK.PUT_IMPLIED(f, L21,J21)</f>
        <v>9.7920844524101894E-2</v>
      </c>
    </row>
    <row r="22" spans="2:14" x14ac:dyDescent="0.55000000000000004">
      <c r="B22">
        <v>17</v>
      </c>
      <c r="C22">
        <v>7.6504104960000131E-10</v>
      </c>
      <c r="D22">
        <v>17</v>
      </c>
      <c r="F22">
        <v>7.2672209268743186</v>
      </c>
      <c r="J22">
        <v>96</v>
      </c>
      <c r="K22">
        <v>2.2288570738163145</v>
      </c>
      <c r="L22">
        <v>2.228915607130844</v>
      </c>
      <c r="M22" cm="1">
        <f t="array" ref="M22">_xll.OPTION.BLACK.PUT_IMPLIED(f, K22, J22)</f>
        <v>0.1</v>
      </c>
      <c r="N22" cm="1">
        <f t="array" ref="N22">_xll.OPTION.BLACK.PUT_IMPLIED(f, L22,J22)</f>
        <v>0.10000161751862045</v>
      </c>
    </row>
    <row r="23" spans="2:14" x14ac:dyDescent="0.55000000000000004">
      <c r="B23">
        <v>18</v>
      </c>
      <c r="C23">
        <v>3.1876710399999934E-11</v>
      </c>
      <c r="D23">
        <v>18</v>
      </c>
      <c r="F23">
        <v>7.8262379212492661</v>
      </c>
      <c r="J23">
        <v>97</v>
      </c>
      <c r="K23">
        <v>2.6085910627585847</v>
      </c>
      <c r="L23">
        <v>2.6403644690874088</v>
      </c>
      <c r="M23" cm="1">
        <f t="array" ref="M23">_xll.OPTION.BLACK.PUT_IMPLIED(f, K23, J23)</f>
        <v>0.1</v>
      </c>
      <c r="N23" cm="1">
        <f t="array" ref="N23">_xll.OPTION.BLACK.PUT_IMPLIED(f, L23,J23)</f>
        <v>0.10084778586724699</v>
      </c>
    </row>
    <row r="24" spans="2:14" x14ac:dyDescent="0.55000000000000004">
      <c r="B24">
        <v>19</v>
      </c>
      <c r="C24">
        <v>8.3886079999999947E-13</v>
      </c>
      <c r="D24">
        <v>19</v>
      </c>
      <c r="F24">
        <v>8.3852549156242144</v>
      </c>
      <c r="J24">
        <v>98</v>
      </c>
      <c r="K24">
        <v>3.0281066582734937</v>
      </c>
      <c r="L24">
        <v>3.0518133310439808</v>
      </c>
      <c r="M24" cm="1">
        <f t="array" ref="M24">_xll.OPTION.BLACK.PUT_IMPLIED(f, K24, J24)</f>
        <v>0.1</v>
      </c>
      <c r="N24" cm="1">
        <f t="array" ref="N24">_xll.OPTION.BLACK.PUT_IMPLIED(f, L24,J24)</f>
        <v>0.10061334017383813</v>
      </c>
    </row>
    <row r="25" spans="2:14" x14ac:dyDescent="0.55000000000000004">
      <c r="B25">
        <v>20</v>
      </c>
      <c r="C25">
        <v>1.048576000000001E-14</v>
      </c>
      <c r="D25">
        <v>20</v>
      </c>
      <c r="F25">
        <v>8.944271909999161</v>
      </c>
      <c r="J25">
        <v>99</v>
      </c>
      <c r="K25">
        <v>3.4878279587501879</v>
      </c>
      <c r="L25">
        <v>3.4632621930005456</v>
      </c>
      <c r="M25" cm="1">
        <f t="array" ref="M25">_xll.OPTION.BLACK.PUT_IMPLIED(f, K25, J25)</f>
        <v>0.1</v>
      </c>
      <c r="N25" cm="1">
        <f t="array" ref="N25">_xll.OPTION.BLACK.PUT_IMPLIED(f, L25,J25)</f>
        <v>9.9377199121620463E-2</v>
      </c>
    </row>
    <row r="26" spans="2:14" x14ac:dyDescent="0.55000000000000004">
      <c r="J26">
        <v>100</v>
      </c>
      <c r="K26">
        <v>3.987761167674492</v>
      </c>
      <c r="L26">
        <v>3.9847530690023021</v>
      </c>
      <c r="M26" cm="1">
        <f t="array" ref="M26">_xll.OPTION.BLACK.PUT_IMPLIED(f, K26, J26)</f>
        <v>0.1</v>
      </c>
      <c r="N26" cm="1">
        <f t="array" ref="N26">_xll.OPTION.BLACK.PUT_IMPLIED(f, L26,J26)</f>
        <v>9.9924494084906307E-2</v>
      </c>
    </row>
    <row r="27" spans="2:14" x14ac:dyDescent="0.55000000000000004">
      <c r="J27">
        <v>101</v>
      </c>
      <c r="K27">
        <v>4.5275068370385512</v>
      </c>
      <c r="L27">
        <v>4.6144013329049685</v>
      </c>
      <c r="M27" cm="1">
        <f t="array" ref="M27">_xll.OPTION.BLACK.PUT_IMPLIED(f, K27, J27)</f>
        <v>0.1</v>
      </c>
      <c r="N27" cm="1">
        <f t="array" ref="N27">_xll.OPTION.BLACK.PUT_IMPLIED(f, L27,J27)</f>
        <v>0.10218062182860853</v>
      </c>
    </row>
    <row r="28" spans="2:14" x14ac:dyDescent="0.55000000000000004">
      <c r="J28">
        <v>102</v>
      </c>
      <c r="K28">
        <v>5.1062836665495652</v>
      </c>
      <c r="L28">
        <v>5.2440495968076348</v>
      </c>
      <c r="M28" cm="1">
        <f t="array" ref="M28">_xll.OPTION.BLACK.PUT_IMPLIED(f, K28, J28)</f>
        <v>0.10000000000000002</v>
      </c>
      <c r="N28" cm="1">
        <f t="array" ref="N28">_xll.OPTION.BLACK.PUT_IMPLIED(f, L28,J28)</f>
        <v>0.103489164426445</v>
      </c>
    </row>
    <row r="29" spans="2:14" x14ac:dyDescent="0.55000000000000004">
      <c r="J29">
        <v>103</v>
      </c>
      <c r="K29">
        <v>5.7229621445706016</v>
      </c>
      <c r="L29">
        <v>5.8736978607103012</v>
      </c>
      <c r="M29" cm="1">
        <f t="array" ref="M29">_xll.OPTION.BLACK.PUT_IMPLIED(f, K29, J29)</f>
        <v>0.1</v>
      </c>
      <c r="N29" cm="1">
        <f t="array" ref="N29">_xll.OPTION.BLACK.PUT_IMPLIED(f, L29,J29)</f>
        <v>0.1038878729008812</v>
      </c>
    </row>
    <row r="30" spans="2:14" x14ac:dyDescent="0.55000000000000004">
      <c r="J30">
        <v>104</v>
      </c>
      <c r="K30">
        <v>6.376105985444056</v>
      </c>
      <c r="L30">
        <v>6.5033461246129818</v>
      </c>
      <c r="M30" cm="1">
        <f t="array" ref="M30">_xll.OPTION.BLACK.PUT_IMPLIED(f, K30, J30)</f>
        <v>0.1</v>
      </c>
      <c r="N30" cm="1">
        <f t="array" ref="N30">_xll.OPTION.BLACK.PUT_IMPLIED(f, L30,J30)</f>
        <v>0.1033734265574499</v>
      </c>
    </row>
    <row r="31" spans="2:14" x14ac:dyDescent="0.55000000000000004">
      <c r="J31">
        <v>105</v>
      </c>
      <c r="K31">
        <v>7.0640191378988391</v>
      </c>
      <c r="L31">
        <v>7.1329943885156482</v>
      </c>
      <c r="M31" cm="1">
        <f t="array" ref="M31">_xll.OPTION.BLACK.PUT_IMPLIED(f, K31, J31)</f>
        <v>0.1</v>
      </c>
      <c r="N31" cm="1">
        <f t="array" ref="N31">_xll.OPTION.BLACK.PUT_IMPLIED(f, L31,J31)</f>
        <v>0.10189875739562262</v>
      </c>
    </row>
    <row r="32" spans="2:14" x14ac:dyDescent="0.55000000000000004">
      <c r="J32">
        <v>106</v>
      </c>
      <c r="K32">
        <v>7.7847961044341929</v>
      </c>
      <c r="L32">
        <v>7.8994870360806999</v>
      </c>
      <c r="M32" cm="1">
        <f t="array" ref="M32">_xll.OPTION.BLACK.PUT_IMPLIED(f, K32, J32)</f>
        <v>0.1</v>
      </c>
      <c r="N32" cm="1">
        <f t="array" ref="N32">_xll.OPTION.BLACK.PUT_IMPLIED(f, L32,J32)</f>
        <v>0.10329533688488482</v>
      </c>
    </row>
    <row r="33" spans="10:14" x14ac:dyDescent="0.55000000000000004">
      <c r="J33">
        <v>107</v>
      </c>
      <c r="K33">
        <v>8.5363734057617648</v>
      </c>
      <c r="L33">
        <v>8.7036948215402532</v>
      </c>
      <c r="M33" cm="1">
        <f t="array" ref="M33">_xll.OPTION.BLACK.PUT_IMPLIED(f, K33, J33)</f>
        <v>0.1</v>
      </c>
      <c r="N33" cm="1">
        <f t="array" ref="N33">_xll.OPTION.BLACK.PUT_IMPLIED(f, L33,J33)</f>
        <v>0.10504821796277669</v>
      </c>
    </row>
    <row r="34" spans="10:14" x14ac:dyDescent="0.55000000000000004">
      <c r="J34">
        <v>108</v>
      </c>
      <c r="K34">
        <v>9.3165802243033653</v>
      </c>
      <c r="L34">
        <v>9.5079026069997923</v>
      </c>
      <c r="M34" cm="1">
        <f t="array" ref="M34">_xll.OPTION.BLACK.PUT_IMPLIED(f, K34, J34)</f>
        <v>0.1</v>
      </c>
      <c r="N34" cm="1">
        <f t="array" ref="N34">_xll.OPTION.BLACK.PUT_IMPLIED(f, L34,J34)</f>
        <v>0.10610819639689921</v>
      </c>
    </row>
    <row r="35" spans="10:14" x14ac:dyDescent="0.55000000000000004">
      <c r="J35">
        <v>109</v>
      </c>
      <c r="K35">
        <v>10.123186539019287</v>
      </c>
      <c r="L35">
        <v>10.312110392459346</v>
      </c>
      <c r="M35" cm="1">
        <f t="array" ref="M35">_xll.OPTION.BLACK.PUT_IMPLIED(f, K35, J35)</f>
        <v>0.1</v>
      </c>
      <c r="N35" cm="1">
        <f t="array" ref="N35">_xll.OPTION.BLACK.PUT_IMPLIED(f, L35,J35)</f>
        <v>0.10643754425537091</v>
      </c>
    </row>
    <row r="36" spans="10:14" x14ac:dyDescent="0.55000000000000004">
      <c r="J36">
        <v>110</v>
      </c>
      <c r="K36">
        <v>10.953947391857227</v>
      </c>
      <c r="L36">
        <v>11.116318177918899</v>
      </c>
      <c r="M36" cm="1">
        <f t="array" ref="M36">_xll.OPTION.BLACK.PUT_IMPLIED(f, K36, J36)</f>
        <v>0.1</v>
      </c>
      <c r="N36" cm="1">
        <f t="array" ref="N36">_xll.OPTION.BLACK.PUT_IMPLIED(f, L36,J36)</f>
        <v>0.10596465442382622</v>
      </c>
    </row>
    <row r="37" spans="10:14" x14ac:dyDescent="0.55000000000000004">
      <c r="J37">
        <v>111</v>
      </c>
      <c r="K37">
        <v>11.806642276452777</v>
      </c>
      <c r="L37">
        <v>11.920525963378452</v>
      </c>
      <c r="M37" cm="1">
        <f t="array" ref="M37">_xll.OPTION.BLACK.PUT_IMPLIED(f, K37, J37)</f>
        <v>0.1</v>
      </c>
      <c r="N37" cm="1">
        <f t="array" ref="N37">_xll.OPTION.BLACK.PUT_IMPLIED(f, L37,J37)</f>
        <v>0.1045664615820369</v>
      </c>
    </row>
    <row r="38" spans="10:14" x14ac:dyDescent="0.55000000000000004">
      <c r="J38">
        <v>112</v>
      </c>
      <c r="K38">
        <v>12.679108988059141</v>
      </c>
      <c r="L38">
        <v>12.804886876992654</v>
      </c>
      <c r="M38" cm="1">
        <f t="array" ref="M38">_xll.OPTION.BLACK.PUT_IMPLIED(f, K38, J38)</f>
        <v>0.1</v>
      </c>
      <c r="N38" cm="1">
        <f t="array" ref="N38">_xll.OPTION.BLACK.PUT_IMPLIED(f, L38,J38)</f>
        <v>0.10548241109494871</v>
      </c>
    </row>
    <row r="39" spans="10:14" x14ac:dyDescent="0.55000000000000004">
      <c r="J39">
        <v>113</v>
      </c>
      <c r="K39">
        <v>13.569271600088328</v>
      </c>
      <c r="L39">
        <v>13.718194363425255</v>
      </c>
      <c r="M39" cm="1">
        <f t="array" ref="M39">_xll.OPTION.BLACK.PUT_IMPLIED(f, K39, J39)</f>
        <v>0.1</v>
      </c>
      <c r="N39" cm="1">
        <f t="array" ref="N39">_xll.OPTION.BLACK.PUT_IMPLIED(f, L39,J39)</f>
        <v>0.10706139872342309</v>
      </c>
    </row>
    <row r="40" spans="10:14" x14ac:dyDescent="0.55000000000000004">
      <c r="J40">
        <v>114</v>
      </c>
      <c r="K40">
        <v>14.47516252219144</v>
      </c>
      <c r="L40">
        <v>14.631501849857855</v>
      </c>
      <c r="M40" cm="1">
        <f t="array" ref="M40">_xll.OPTION.BLACK.PUT_IMPLIED(f, K40, J40)</f>
        <v>0.10000000000000002</v>
      </c>
      <c r="N40" cm="1">
        <f t="array" ref="N40">_xll.OPTION.BLACK.PUT_IMPLIED(f, L40,J40)</f>
        <v>0.10812473634601119</v>
      </c>
    </row>
    <row r="41" spans="10:14" x14ac:dyDescent="0.55000000000000004">
      <c r="J41">
        <v>115</v>
      </c>
      <c r="K41">
        <v>15.394938837716396</v>
      </c>
      <c r="L41">
        <v>15.544809336290456</v>
      </c>
      <c r="M41" cm="1">
        <f t="array" ref="M41">_xll.OPTION.BLACK.PUT_IMPLIED(f, K41, J41)</f>
        <v>0.1</v>
      </c>
      <c r="N41" cm="1">
        <f t="array" ref="N41">_xll.OPTION.BLACK.PUT_IMPLIED(f, L41,J41)</f>
        <v>0.10861339727042094</v>
      </c>
    </row>
    <row r="42" spans="10:14" x14ac:dyDescent="0.55000000000000004">
      <c r="J42">
        <v>116</v>
      </c>
      <c r="K42">
        <v>16.326893309710854</v>
      </c>
      <c r="L42">
        <v>16.458116822723056</v>
      </c>
      <c r="M42" cm="1">
        <f t="array" ref="M42">_xll.OPTION.BLACK.PUT_IMPLIED(f, K42, J42)</f>
        <v>0.1</v>
      </c>
      <c r="N42" cm="1">
        <f t="array" ref="N42">_xll.OPTION.BLACK.PUT_IMPLIED(f, L42,J42)</f>
        <v>0.10843538591175529</v>
      </c>
    </row>
    <row r="43" spans="10:14" x14ac:dyDescent="0.55000000000000004">
      <c r="J43">
        <v>117</v>
      </c>
      <c r="K43">
        <v>17.269460583629098</v>
      </c>
      <c r="L43">
        <v>17.371424309155657</v>
      </c>
      <c r="M43" cm="1">
        <f t="array" ref="M43">_xll.OPTION.BLACK.PUT_IMPLIED(f, K43, J43)</f>
        <v>0.1</v>
      </c>
      <c r="N43" cm="1">
        <f t="array" ref="N43">_xll.OPTION.BLACK.PUT_IMPLIED(f, L43,J43)</f>
        <v>0.10744257858758272</v>
      </c>
    </row>
    <row r="44" spans="10:14" x14ac:dyDescent="0.55000000000000004">
      <c r="J44">
        <v>118</v>
      </c>
      <c r="K44">
        <v>18.221219204170339</v>
      </c>
      <c r="L44">
        <v>18.303148905549108</v>
      </c>
      <c r="M44" cm="1">
        <f t="array" ref="M44">_xll.OPTION.BLACK.PUT_IMPLIED(f, K44, J44)</f>
        <v>0.1</v>
      </c>
      <c r="N44" cm="1">
        <f t="array" ref="N44">_xll.OPTION.BLACK.PUT_IMPLIED(f, L44,J44)</f>
        <v>0.10681659237423599</v>
      </c>
    </row>
    <row r="45" spans="10:14" x14ac:dyDescent="0.55000000000000004">
      <c r="J45">
        <v>119</v>
      </c>
      <c r="K45">
        <v>19.180890108309015</v>
      </c>
      <c r="L45">
        <v>19.271006242468232</v>
      </c>
      <c r="M45" cm="1">
        <f t="array" ref="M45">_xll.OPTION.BLACK.PUT_IMPLIED(f, K45, J45)</f>
        <v>0.1</v>
      </c>
      <c r="N45" cm="1">
        <f t="array" ref="N45">_xll.OPTION.BLACK.PUT_IMPLIED(f, L45,J45)</f>
        <v>0.10835965820573557</v>
      </c>
    </row>
    <row r="46" spans="10:14" x14ac:dyDescent="0.55000000000000004">
      <c r="J46">
        <v>120</v>
      </c>
      <c r="K46">
        <v>20.14733226325697</v>
      </c>
      <c r="L46">
        <v>20.23886357938737</v>
      </c>
      <c r="M46" cm="1">
        <f t="array" ref="M46">_xll.OPTION.BLACK.PUT_IMPLIED(f, K46, J46)</f>
        <v>0.10000000000000002</v>
      </c>
      <c r="N46" cm="1">
        <f t="array" ref="N46">_xll.OPTION.BLACK.PUT_IMPLIED(f, L46,J46)</f>
        <v>0.10953414985532098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discrete</vt:lpstr>
      <vt:lpstr>f</vt:lpstr>
      <vt:lpstr>k</vt:lpstr>
      <vt:lpstr>n</vt:lpstr>
      <vt:lpstr>normal</vt:lpstr>
      <vt:lpstr>q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2026-03-09T15:54:00Z</dcterms:created>
  <dcterms:modified xsi:type="dcterms:W3CDTF">2026-03-09T23:47:27Z</dcterms:modified>
</cp:coreProperties>
</file>