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466\source\repos\xll_ml_HW5\xlsx\"/>
    </mc:Choice>
  </mc:AlternateContent>
  <xr:revisionPtr revIDLastSave="0" documentId="13_ncr:1_{0EE21736-3F12-4180-ABDD-767F2975E562}" xr6:coauthVersionLast="47" xr6:coauthVersionMax="47" xr10:uidLastSave="{00000000-0000-0000-0000-000000000000}"/>
  <bookViews>
    <workbookView xWindow="-108" yWindow="-108" windowWidth="23256" windowHeight="13896" activeTab="2" xr2:uid="{5E38A752-04D7-4C78-952F-E31FCF3159F7}"/>
  </bookViews>
  <sheets>
    <sheet name="Elementary" sheetId="1" r:id="rId1"/>
    <sheet name="Simulation" sheetId="4" r:id="rId2"/>
    <sheet name="Simulation (2)" sheetId="6" r:id="rId3"/>
  </sheets>
  <definedNames>
    <definedName name="_M" localSheetId="2">_xlfn.ANCHORARRAY('Simulation (2)'!$H$10)</definedName>
    <definedName name="_M">_xlfn.ANCHORARRAY(Simulation!$H$10)</definedName>
    <definedName name="_N" localSheetId="2">_xlfn.ANCHORARRAY('Simulation (2)'!$I$10)</definedName>
    <definedName name="_N">_xlfn.ANCHORARRAY(Simulation!$I$10)</definedName>
    <definedName name="A" localSheetId="2">_xlfn.ANCHORARRAY('Simulation (2)'!$K$10)</definedName>
    <definedName name="A">_xlfn.ANCHORARRAY(Simulation!$K$10)</definedName>
    <definedName name="ad">_xlfn.LAMBDA(_xlpm.x, _xlfn.VSTACK(_xlfn.TAKE(_xlpm.x,1), _xlfn.DROP(_xlpm.x,1) - _xlfn.DROP(_xlpm.x,-1)))</definedName>
    <definedName name="B_" localSheetId="2">_xlfn.ANCHORARRAY('Simulation (2)'!$C$10)</definedName>
    <definedName name="B_">_xlfn.ANCHORARRAY(Simulation!$C$10)</definedName>
    <definedName name="co">_xlfn.LAMBDA(_xlpm.x,_xlfn.LET(_xlpm.x_,_xlfn.DROP(_xlpm.x,-1),_xlfn.VSTACK(_xlpm.x_, -SUM(_xlpm.x_))))</definedName>
    <definedName name="dt" localSheetId="2">'Simulation (2)'!$C$6</definedName>
    <definedName name="dt">Simulation!$C$6</definedName>
    <definedName name="error" localSheetId="2">'Simulation (2)'!$G$6</definedName>
    <definedName name="error">Simulation!$G$6</definedName>
    <definedName name="f" localSheetId="2">'Simulation (2)'!$C$3</definedName>
    <definedName name="f">Simulation!$C$3</definedName>
    <definedName name="hedge" localSheetId="2">'Simulation (2)'!$G$5</definedName>
    <definedName name="hedge">Simulation!$G$5</definedName>
    <definedName name="k" localSheetId="2">'Simulation (2)'!$C$7</definedName>
    <definedName name="k">Simulation!$C$7</definedName>
    <definedName name="last" localSheetId="2">'Simulation (2)'!$G$3</definedName>
    <definedName name="last">Simulation!$G$3</definedName>
    <definedName name="M" localSheetId="2">_xlfn.ANCHORARRAY('Simulation (2)'!$F$10)</definedName>
    <definedName name="M">_xlfn.ANCHORARRAY(Simulation!$F$10)</definedName>
    <definedName name="mu" localSheetId="2">'Simulation (2)'!$C$2</definedName>
    <definedName name="mu">Simulation!$C$2</definedName>
    <definedName name="N" localSheetId="2">_xlfn.ANCHORARRAY('Simulation (2)'!$G$10)</definedName>
    <definedName name="N">_xlfn.ANCHORARRAY(Simulation!$G$10)</definedName>
    <definedName name="payoff" localSheetId="2">'Simulation (2)'!$G$4</definedName>
    <definedName name="payoff">Simulation!$G$4</definedName>
    <definedName name="put" localSheetId="2">'Simulation (2)'!$G$2</definedName>
    <definedName name="put">Simulation!$G$2</definedName>
    <definedName name="R_" localSheetId="2">_xlfn.ANCHORARRAY('Simulation (2)'!$D$10)</definedName>
    <definedName name="R_">_xlfn.ANCHORARRAY(Simulation!$D$10)</definedName>
    <definedName name="S_" localSheetId="2">_xlfn.ANCHORARRAY('Simulation (2)'!$E$10)</definedName>
    <definedName name="S_">_xlfn.ANCHORARRAY(Simulation!$E$10)</definedName>
    <definedName name="sigma" localSheetId="2">'Simulation (2)'!$C$4</definedName>
    <definedName name="sigma">Simulation!$C$4</definedName>
    <definedName name="t" localSheetId="2">'Simulation (2)'!$C$5</definedName>
    <definedName name="t">Simulation!$C$5</definedName>
    <definedName name="t_" localSheetId="2">_xlfn.ANCHORARRAY('Simulation (2)'!$B$10)</definedName>
    <definedName name="t_">_xlfn.ANCHORARRAY(Simulation!$B$10)</definedName>
    <definedName name="V" localSheetId="2">_xlfn.ANCHORARRAY('Simulation (2)'!$J$10)</definedName>
    <definedName name="V">_xlfn.ANCHORARRAY(Simulation!$J$10)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4" l="1"/>
  <c r="U5" i="4"/>
  <c r="U6" i="4"/>
  <c r="U7" i="4"/>
  <c r="U8" i="4"/>
  <c r="U9" i="4"/>
  <c r="U10" i="4"/>
  <c r="U11" i="4"/>
  <c r="U12" i="4"/>
  <c r="T4" i="4"/>
  <c r="T5" i="4"/>
  <c r="T6" i="4"/>
  <c r="T7" i="4"/>
  <c r="T8" i="4"/>
  <c r="T9" i="4"/>
  <c r="T10" i="4"/>
  <c r="T11" i="4"/>
  <c r="T12" i="4"/>
  <c r="T3" i="4"/>
  <c r="O3" i="6" a="1"/>
  <c r="O3" i="4" a="1"/>
  <c r="O3" i="4" s="1"/>
  <c r="H4" i="1"/>
  <c r="F5" i="1"/>
  <c r="D5" i="1"/>
  <c r="D4" i="1"/>
  <c r="R3" i="6" a="1"/>
  <c r="B10" i="4" a="1"/>
  <c r="R3" i="4" a="1"/>
  <c r="K2" i="6" a="1"/>
  <c r="J2" i="6" a="1"/>
  <c r="G2" i="6" a="1"/>
  <c r="I2" i="4" a="1"/>
  <c r="B10" i="6" a="1"/>
  <c r="I2" i="6" a="1"/>
  <c r="G2" i="4" a="1"/>
  <c r="K2" i="4" a="1"/>
  <c r="J2" i="4" a="1"/>
  <c r="B1" i="6" a="1"/>
  <c r="B1" i="4" a="1"/>
  <c r="R3" i="6" l="1"/>
  <c r="B10" i="4"/>
  <c r="R3" i="4"/>
  <c r="G2" i="6"/>
  <c r="I2" i="6"/>
  <c r="J2" i="6"/>
  <c r="N21" i="6"/>
  <c r="P20" i="6"/>
  <c r="B10" i="6"/>
  <c r="K2" i="6"/>
  <c r="B1" i="6"/>
  <c r="P3" i="6" a="1"/>
  <c r="P3" i="6" s="1"/>
  <c r="O3" i="6"/>
  <c r="P3" i="4" a="1"/>
  <c r="P3" i="4" s="1"/>
  <c r="B1" i="4"/>
  <c r="N21" i="4"/>
  <c r="P20" i="4"/>
  <c r="K2" i="4"/>
  <c r="J2" i="4"/>
  <c r="I2" i="4"/>
  <c r="G2" i="4"/>
  <c r="K5" i="1"/>
  <c r="E4" i="1"/>
  <c r="C10" i="4" a="1"/>
  <c r="C10" i="6" a="1"/>
  <c r="M20" i="6" s="1" a="1"/>
  <c r="M20" i="6" l="1"/>
  <c r="M21" i="6"/>
  <c r="M14" i="6"/>
  <c r="C10" i="6"/>
  <c r="E10" i="6" s="1" a="1"/>
  <c r="L2" i="6"/>
  <c r="M2" i="6"/>
  <c r="M14" i="4"/>
  <c r="C10" i="4"/>
  <c r="L2" i="4"/>
  <c r="M2" i="4" s="1"/>
  <c r="G4" i="1"/>
  <c r="E5" i="1"/>
  <c r="J5" i="1" s="1"/>
  <c r="L5" i="1" s="1"/>
  <c r="J4" i="1"/>
  <c r="M16" i="6" a="1"/>
  <c r="O20" i="6" a="1"/>
  <c r="M20" i="4" a="1"/>
  <c r="E10" i="6" l="1"/>
  <c r="I10" i="6" s="1" a="1"/>
  <c r="I10" i="6" s="1"/>
  <c r="O21" i="6"/>
  <c r="O20" i="6"/>
  <c r="M16" i="6"/>
  <c r="N14" i="6"/>
  <c r="G3" i="6" a="1"/>
  <c r="G3" i="6" s="1"/>
  <c r="G4" i="6" s="1"/>
  <c r="D10" i="6" a="1"/>
  <c r="D10" i="6" s="1"/>
  <c r="E10" i="4" a="1"/>
  <c r="E10" i="4" s="1"/>
  <c r="M21" i="4"/>
  <c r="M20" i="4"/>
  <c r="D10" i="4" a="1"/>
  <c r="D10" i="4" s="1"/>
  <c r="G5" i="1" a="1"/>
  <c r="G5" i="1" s="1"/>
  <c r="I5" i="1" s="1"/>
  <c r="I4" i="1"/>
  <c r="M16" i="4" a="1"/>
  <c r="H4" i="6" a="1"/>
  <c r="O20" i="4" a="1"/>
  <c r="L10" i="6" l="1" a="1"/>
  <c r="L10" i="6" s="1"/>
  <c r="I4" i="6"/>
  <c r="H4" i="6"/>
  <c r="G10" i="6" a="1"/>
  <c r="N16" i="6"/>
  <c r="M16" i="4"/>
  <c r="N14" i="4"/>
  <c r="O20" i="4"/>
  <c r="O21" i="4"/>
  <c r="I10" i="4" a="1"/>
  <c r="G10" i="6" l="1"/>
  <c r="M10" i="6" s="1"/>
  <c r="M11" i="6"/>
  <c r="N16" i="4"/>
  <c r="I10" i="4"/>
  <c r="L10" i="4" a="1"/>
  <c r="L10" i="4" s="1"/>
  <c r="G3" i="4" a="1"/>
  <c r="G3" i="4" s="1"/>
  <c r="F10" i="6" l="1" a="1"/>
  <c r="F10" i="6" s="1"/>
  <c r="N10" i="6" s="1"/>
  <c r="G4" i="4"/>
  <c r="G10" i="4" a="1"/>
  <c r="H4" i="4" a="1"/>
  <c r="N11" i="6" l="1"/>
  <c r="K10" i="6" a="1"/>
  <c r="G5" i="6" s="1" a="1"/>
  <c r="G5" i="6" s="1"/>
  <c r="G6" i="6" s="1"/>
  <c r="H10" i="6" a="1"/>
  <c r="H4" i="4"/>
  <c r="I4" i="4"/>
  <c r="G10" i="4"/>
  <c r="F10" i="4" s="1" a="1"/>
  <c r="F10" i="4" s="1"/>
  <c r="M11" i="4"/>
  <c r="H6" i="6" a="1"/>
  <c r="K10" i="6" l="1"/>
  <c r="I6" i="6"/>
  <c r="J6" i="6" s="1"/>
  <c r="S3" i="6" s="1"/>
  <c r="H6" i="6"/>
  <c r="H10" i="6"/>
  <c r="J10" i="6" s="1" a="1"/>
  <c r="J10" i="6" s="1"/>
  <c r="K10" i="4" a="1"/>
  <c r="M10" i="4"/>
  <c r="N10" i="4" s="1"/>
  <c r="N11" i="4"/>
  <c r="H10" i="4" a="1"/>
  <c r="K10" i="4" l="1"/>
  <c r="H10" i="4"/>
  <c r="J10" i="4" s="1" a="1"/>
  <c r="J10" i="4" s="1"/>
  <c r="G5" i="4" l="1" a="1"/>
  <c r="G5" i="4" s="1"/>
  <c r="G6" i="4" l="1"/>
  <c r="H6" i="4" a="1"/>
  <c r="I6" i="4" l="1"/>
  <c r="J6" i="4" s="1"/>
  <c r="H6" i="4"/>
  <c r="S3" i="4" l="1"/>
  <c r="U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11EC72C2-EA02-4BCF-BE17-CDD3CFEC86F9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F34ED366-CF92-4219-AD7E-EF5DB3E0B5BC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<sst xmlns="http://schemas.openxmlformats.org/spreadsheetml/2006/main" count="86" uniqueCount="45">
  <si>
    <t>X</t>
  </si>
  <si>
    <t>t</t>
  </si>
  <si>
    <t>R</t>
  </si>
  <si>
    <t>S</t>
  </si>
  <si>
    <t>M</t>
  </si>
  <si>
    <t>N</t>
  </si>
  <si>
    <t>\M</t>
  </si>
  <si>
    <t>\N</t>
  </si>
  <si>
    <t>V</t>
  </si>
  <si>
    <t>A</t>
  </si>
  <si>
    <t>Γ</t>
  </si>
  <si>
    <t>(Δ+Γ).X</t>
  </si>
  <si>
    <t>-Γ.X</t>
  </si>
  <si>
    <t>Δ+Γ</t>
  </si>
  <si>
    <t>sigma</t>
  </si>
  <si>
    <t>mu</t>
  </si>
  <si>
    <t>f</t>
  </si>
  <si>
    <t>k</t>
  </si>
  <si>
    <t>R_</t>
  </si>
  <si>
    <t>S_</t>
  </si>
  <si>
    <t>put</t>
  </si>
  <si>
    <t>dt</t>
  </si>
  <si>
    <t>t_</t>
  </si>
  <si>
    <t>B_</t>
  </si>
  <si>
    <t>payoff</t>
  </si>
  <si>
    <t>hedge</t>
  </si>
  <si>
    <t>_M</t>
  </si>
  <si>
    <t>_N</t>
  </si>
  <si>
    <t>last</t>
  </si>
  <si>
    <t>error</t>
  </si>
  <si>
    <t>accuracy</t>
  </si>
  <si>
    <t>intrinsic</t>
  </si>
  <si>
    <t>dt values</t>
  </si>
  <si>
    <t>It is observed that higher dt values mean more inaccuracy, as the error would take a greater percentage here.</t>
  </si>
  <si>
    <t>It is expected as higher dt means applying less detailed steps, so that the the error would be greater compared to the put price.</t>
  </si>
  <si>
    <t>It feels like that if you are given less number of opportunities to adjust, the results will sure be less accurate.</t>
  </si>
  <si>
    <t>The accuracy more like stands for percentage error here, so a lower "accuracy" seems mean it being more accurate.</t>
  </si>
  <si>
    <t>(percentage error actually)</t>
  </si>
  <si>
    <t>This might be due to that we adjust position to 1 when favorable for put, and immediately sell everything with fear when it is not favorable.</t>
  </si>
  <si>
    <t>This been a rather simple strategy, in which I feel that it is simply driven by fear, and we know that it would not necessarily provide reasonably accurate results.</t>
  </si>
  <si>
    <t>log dt</t>
  </si>
  <si>
    <t>log accuracy</t>
  </si>
  <si>
    <t>Note that "accuracy" here is actually relative magnitude of error; greater it is, the worse the valuation being.</t>
  </si>
  <si>
    <t>Similarly, I would also say that the "accuracy" is actually the deviation from BS prices</t>
  </si>
  <si>
    <t>It is observed that we deviate from the calculated prices greatly; it seems do not really have any clue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</si>
</sst>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&quot;0x&quot;#"/>
    <numFmt numFmtId="166" formatCode="0.0000"/>
    <numFmt numFmtId="167" formatCode="0.000"/>
    <numFmt numFmtId="168" formatCode="0.0%"/>
    <numFmt numFmtId="169" formatCode="_(* #,##0_);_(* \(#,##0\);_(* &quot;-&quot;??_);_(@_)"/>
  </numFmts>
  <fonts count="13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sz val="14"/>
      <color theme="0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  <font>
      <sz val="14"/>
      <color theme="0" tint="-0.34998626667073579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2" borderId="2" applyNumberFormat="0" applyAlignment="0" applyProtection="0"/>
    <xf numFmtId="165" fontId="3" fillId="0" borderId="0">
      <alignment horizontal="center" vertical="center"/>
    </xf>
    <xf numFmtId="9" fontId="6" fillId="0" borderId="0" applyFont="0" applyFill="0" applyBorder="0" applyAlignment="0" applyProtection="0"/>
    <xf numFmtId="0" fontId="7" fillId="3" borderId="3" applyNumberFormat="0" applyAlignment="0" applyProtection="0"/>
    <xf numFmtId="164" fontId="6" fillId="0" borderId="0" applyFont="0" applyFill="0" applyBorder="0" applyAlignment="0" applyProtection="0"/>
    <xf numFmtId="0" fontId="8" fillId="4" borderId="4" applyNumberFormat="0" applyAlignment="0" applyProtection="0"/>
    <xf numFmtId="0" fontId="9" fillId="3" borderId="4" applyNumberFormat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2" borderId="2" xfId="1"/>
    <xf numFmtId="0" fontId="5" fillId="0" borderId="0" xfId="0" applyFont="1"/>
    <xf numFmtId="166" fontId="0" fillId="0" borderId="0" xfId="0" applyNumberFormat="1"/>
    <xf numFmtId="166" fontId="5" fillId="0" borderId="0" xfId="0" applyNumberFormat="1" applyFont="1"/>
    <xf numFmtId="0" fontId="5" fillId="0" borderId="0" xfId="0" applyFont="1" applyAlignment="1">
      <alignment horizontal="right"/>
    </xf>
    <xf numFmtId="167" fontId="0" fillId="0" borderId="0" xfId="0" applyNumberFormat="1"/>
    <xf numFmtId="2" fontId="0" fillId="0" borderId="0" xfId="0" applyNumberFormat="1"/>
    <xf numFmtId="166" fontId="7" fillId="3" borderId="3" xfId="4" applyNumberFormat="1"/>
    <xf numFmtId="0" fontId="0" fillId="0" borderId="0" xfId="0" applyAlignment="1">
      <alignment horizontal="center"/>
    </xf>
    <xf numFmtId="0" fontId="10" fillId="0" borderId="0" xfId="0" applyFont="1"/>
    <xf numFmtId="168" fontId="0" fillId="0" borderId="0" xfId="3" applyNumberFormat="1" applyFont="1" applyAlignment="1">
      <alignment horizontal="center"/>
    </xf>
    <xf numFmtId="169" fontId="11" fillId="0" borderId="0" xfId="5" applyNumberFormat="1" applyFont="1"/>
    <xf numFmtId="0" fontId="8" fillId="4" borderId="4" xfId="6"/>
    <xf numFmtId="0" fontId="9" fillId="3" borderId="4" xfId="7"/>
    <xf numFmtId="0" fontId="1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0" xfId="0" applyNumberFormat="1"/>
  </cellXfs>
  <cellStyles count="8">
    <cellStyle name="Calculation" xfId="7" builtinId="22"/>
    <cellStyle name="Check Cell" xfId="1" builtinId="23"/>
    <cellStyle name="Comma" xfId="5" builtinId="3"/>
    <cellStyle name="Handle" xfId="2" xr:uid="{FF7A162F-DF08-42FE-AEB2-120BB5405C33}"/>
    <cellStyle name="Input" xfId="6" builtinId="20"/>
    <cellStyle name="Normal" xfId="0" builtinId="0"/>
    <cellStyle name="Output" xfId="4" builtinId="21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Simulation!$U$2</c:f>
              <c:strCache>
                <c:ptCount val="1"/>
                <c:pt idx="0">
                  <c:v>log 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Simulation!$T$3:$T$12</c:f>
              <c:numCache>
                <c:formatCode>General</c:formatCode>
                <c:ptCount val="10"/>
                <c:pt idx="0">
                  <c:v>-3</c:v>
                </c:pt>
                <c:pt idx="1">
                  <c:v>-2.6989700043360187</c:v>
                </c:pt>
                <c:pt idx="2">
                  <c:v>-2.5228787452803374</c:v>
                </c:pt>
                <c:pt idx="3">
                  <c:v>-2.3979400086720375</c:v>
                </c:pt>
                <c:pt idx="4">
                  <c:v>-2.3010299956639813</c:v>
                </c:pt>
                <c:pt idx="5">
                  <c:v>-2.2218487496163561</c:v>
                </c:pt>
                <c:pt idx="6">
                  <c:v>-2.1549019599857431</c:v>
                </c:pt>
                <c:pt idx="7">
                  <c:v>-2.0969100130080562</c:v>
                </c:pt>
                <c:pt idx="8">
                  <c:v>-2.0457574905606752</c:v>
                </c:pt>
                <c:pt idx="9">
                  <c:v>-2</c:v>
                </c:pt>
              </c:numCache>
            </c:numRef>
          </c:xVal>
          <c:yVal>
            <c:numRef>
              <c:f>Simulation!$U$3:$U$12</c:f>
              <c:numCache>
                <c:formatCode>General</c:formatCode>
                <c:ptCount val="10"/>
                <c:pt idx="0">
                  <c:v>-1.0218058517951043</c:v>
                </c:pt>
                <c:pt idx="1">
                  <c:v>-1.0218058517951043</c:v>
                </c:pt>
                <c:pt idx="2">
                  <c:v>-1.0218058517951043</c:v>
                </c:pt>
                <c:pt idx="3">
                  <c:v>-1.0218058517951043</c:v>
                </c:pt>
                <c:pt idx="4">
                  <c:v>-1.0218058517951043</c:v>
                </c:pt>
                <c:pt idx="5">
                  <c:v>-1.0218058517951043</c:v>
                </c:pt>
                <c:pt idx="6">
                  <c:v>-1.0218058517951043</c:v>
                </c:pt>
                <c:pt idx="7">
                  <c:v>-1.0218058517951043</c:v>
                </c:pt>
                <c:pt idx="8">
                  <c:v>-1.0218058517951043</c:v>
                </c:pt>
                <c:pt idx="9">
                  <c:v>-1.0218058517951043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D-4823-B9C3-02D8E572E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484080"/>
        <c:axId val="2097485520"/>
      </c:scatterChart>
      <c:valAx>
        <c:axId val="209748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485520"/>
        <c:crosses val="autoZero"/>
        <c:crossBetween val="midCat"/>
      </c:valAx>
      <c:valAx>
        <c:axId val="20974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48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dt</a:t>
            </a:r>
            <a:r>
              <a:rPr lang="en-US" baseline="0"/>
              <a:t> vs.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'Simulation (2)'!$S$2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'Simulation (2)'!$R$3:$R$12</c:f>
              <c:numCache>
                <c:formatCode>0.00%</c:formatCode>
                <c:ptCount val="10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9.0000000000000011E-3</c:v>
                </c:pt>
                <c:pt idx="9">
                  <c:v>1.0000000000000002E-2</c:v>
                </c:pt>
              </c:numCache>
            </c:numRef>
          </c:xVal>
          <c:yVal>
            <c:numRef>
              <c:f>'Simulation (2)'!$S$3:$S$12</c:f>
              <c:numCache>
                <c:formatCode>0.00%</c:formatCode>
                <c:ptCount val="10"/>
                <c:pt idx="0">
                  <c:v>0.63132536752137347</c:v>
                </c:pt>
                <c:pt idx="1">
                  <c:v>0.63132536752137347</c:v>
                </c:pt>
                <c:pt idx="2">
                  <c:v>0.63132536752137347</c:v>
                </c:pt>
                <c:pt idx="3">
                  <c:v>0.63132536752137347</c:v>
                </c:pt>
                <c:pt idx="4">
                  <c:v>0.63132536752137347</c:v>
                </c:pt>
                <c:pt idx="5">
                  <c:v>0.63132536752137347</c:v>
                </c:pt>
                <c:pt idx="6">
                  <c:v>0.63132536752137347</c:v>
                </c:pt>
                <c:pt idx="7">
                  <c:v>0.63132536752137347</c:v>
                </c:pt>
                <c:pt idx="8">
                  <c:v>0.63132536752137347</c:v>
                </c:pt>
                <c:pt idx="9">
                  <c:v>0.63132536752137347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A-4A42-A1C8-3B9C40D90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125087"/>
        <c:axId val="735117407"/>
      </c:scatterChart>
      <c:valAx>
        <c:axId val="735125087"/>
        <c:scaling>
          <c:logBase val="10"/>
          <c:orientation val="minMax"/>
          <c:max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dt</a:t>
                </a:r>
                <a:r>
                  <a:rPr lang="en-US" baseline="0"/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17407"/>
        <c:crosses val="autoZero"/>
        <c:crossBetween val="midCat"/>
      </c:valAx>
      <c:valAx>
        <c:axId val="7351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(from 0 to 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2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782052</xdr:colOff>
      <xdr:row>12</xdr:row>
      <xdr:rowOff>217572</xdr:rowOff>
    </xdr:from>
    <xdr:to>
      <xdr:col>22</xdr:col>
      <xdr:colOff>601579</xdr:colOff>
      <xdr:row>24</xdr:row>
      <xdr:rowOff>193509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CCC69-7A92-3E5C-0CFF-DCD136205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</xdr:colOff>
      <xdr:row>12</xdr:row>
      <xdr:rowOff>34290</xdr:rowOff>
    </xdr:from>
    <xdr:to>
      <xdr:col>22</xdr:col>
      <xdr:colOff>426720</xdr:colOff>
      <xdr:row>28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473AA-07AC-41CD-A26E-5069E7171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CDB-807E-4762-83AC-A616811C3245}">
  <dimension ref="B2:L6"/>
  <sheetViews>
    <sheetView workbookViewId="0">
      <selection activeCell="J5" sqref="J5"/>
    </sheetView>
  </sheetViews>
  <sheetFormatPr defaultRowHeight="18" x14ac:dyDescent="0.35"/>
  <cols>
    <col min="1" max="1" width="3.58203125" customWidth="1"/>
  </cols>
  <sheetData>
    <row r="2" spans="2:12" x14ac:dyDescent="0.35">
      <c r="C2" s="20" t="s">
        <v>0</v>
      </c>
      <c r="D2" s="20"/>
      <c r="E2" s="21" t="s">
        <v>10</v>
      </c>
      <c r="F2" s="21"/>
      <c r="G2" s="21" t="s">
        <v>13</v>
      </c>
      <c r="H2" s="21"/>
      <c r="I2" s="1" t="s">
        <v>11</v>
      </c>
      <c r="J2" s="2" t="s">
        <v>12</v>
      </c>
    </row>
    <row r="3" spans="2:12" x14ac:dyDescent="0.3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2:12" ht="18.600000000000001" thickBot="1" x14ac:dyDescent="0.4">
      <c r="B4">
        <v>0</v>
      </c>
      <c r="C4">
        <v>1</v>
      </c>
      <c r="D4">
        <f ca="1">RAND()</f>
        <v>0.46569358988701814</v>
      </c>
      <c r="E4">
        <f ca="1">-F4*D4</f>
        <v>-1.3970807696610543</v>
      </c>
      <c r="F4" s="17">
        <v>3</v>
      </c>
      <c r="G4">
        <f ca="1">E4</f>
        <v>-1.3970807696610543</v>
      </c>
      <c r="H4">
        <f>F4</f>
        <v>3</v>
      </c>
      <c r="I4">
        <f ca="1">SUMPRODUCT(G4:H4,C4:D4)</f>
        <v>0</v>
      </c>
      <c r="J4">
        <f ca="1">-SUMPRODUCT(E4:F4,C4:D4)</f>
        <v>0</v>
      </c>
    </row>
    <row r="5" spans="2:12" ht="19.2" thickTop="1" thickBot="1" x14ac:dyDescent="0.4">
      <c r="B5">
        <v>1</v>
      </c>
      <c r="C5">
        <v>1</v>
      </c>
      <c r="D5">
        <f ca="1">RAND()</f>
        <v>0.15968897518647218</v>
      </c>
      <c r="E5">
        <f ca="1">-E4</f>
        <v>1.3970807696610543</v>
      </c>
      <c r="F5" s="18">
        <f>-F4</f>
        <v>-3</v>
      </c>
      <c r="G5" cm="1">
        <f t="array" aca="1" ref="G5:H5" ca="1">G4:H4+E5:F5</f>
        <v>0</v>
      </c>
      <c r="H5">
        <f ca="1"/>
        <v>0</v>
      </c>
      <c r="I5">
        <f ca="1">SUMPRODUCT(G5:H5,C5:D5)</f>
        <v>0</v>
      </c>
      <c r="J5">
        <f ca="1">-SUMPRODUCT(E5:F5,C5:D5)</f>
        <v>-0.91801384410163778</v>
      </c>
      <c r="K5">
        <f ca="1">F4*(D5-D4)</f>
        <v>-0.91801384410163789</v>
      </c>
      <c r="L5" s="5">
        <f ca="1">J5-K5</f>
        <v>0</v>
      </c>
    </row>
    <row r="6" spans="2:12" ht="18.600000000000001" thickTop="1" x14ac:dyDescent="0.35"/>
  </sheetData>
  <mergeCells count="3">
    <mergeCell ref="C2:D2"/>
    <mergeCell ref="E2:F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2DD-292F-41DF-A786-89DEB5029ACA}">
  <dimension ref="B1:U260"/>
  <sheetViews>
    <sheetView zoomScale="76" workbookViewId="0">
      <selection activeCell="S35" sqref="S35"/>
    </sheetView>
  </sheetViews>
  <sheetFormatPr defaultRowHeight="18" x14ac:dyDescent="0.35"/>
  <cols>
    <col min="1" max="1" width="3.58203125" customWidth="1"/>
    <col min="2" max="2" width="9.9140625" bestFit="1" customWidth="1"/>
    <col min="7" max="7" width="11.6640625" bestFit="1" customWidth="1"/>
    <col min="10" max="10" width="10.1640625" bestFit="1" customWidth="1"/>
    <col min="13" max="13" width="11.6640625" bestFit="1" customWidth="1"/>
    <col min="24" max="24" width="11.9140625" bestFit="1" customWidth="1"/>
  </cols>
  <sheetData>
    <row r="1" spans="2:21" x14ac:dyDescent="0.35">
      <c r="B1" s="16" cm="1">
        <f t="array" aca="1" ref="B1" ca="1">_xll.MONTE.COUNT()</f>
        <v>10</v>
      </c>
      <c r="R1" t="s">
        <v>42</v>
      </c>
    </row>
    <row r="2" spans="2:21" x14ac:dyDescent="0.35">
      <c r="B2" s="3" t="s">
        <v>15</v>
      </c>
      <c r="C2">
        <v>0</v>
      </c>
      <c r="F2" s="3" t="s">
        <v>20</v>
      </c>
      <c r="G2" s="7" cm="1">
        <f t="array" ref="G2">_xll.OPTION.BLACK.PUT(f, sigma*SQRT(t), k)</f>
        <v>3.987761167674492</v>
      </c>
      <c r="I2" s="8" cm="1">
        <f t="array" ref="I2">_xll.OPTION.BLACK.PUT_DELTA(f, sigma*SQRT(t), k)</f>
        <v>-0.48006119416162751</v>
      </c>
      <c r="J2" s="8" cm="1">
        <f t="array" ref="J2">_xll.OPTION.BLACK.PUT(f+0.01, sigma*SQRT(t), k)</f>
        <v>3.9829625478526722</v>
      </c>
      <c r="K2" s="8" cm="1">
        <f t="array" ref="K2">_xll.OPTION.BLACK.PUT(f-0.01, sigma*SQRT(t), k)</f>
        <v>3.9925637719351386</v>
      </c>
      <c r="L2" s="8">
        <f>(J2-K2)/0.02</f>
        <v>-0.48006120412331654</v>
      </c>
      <c r="M2" s="9">
        <f>I2-L2</f>
        <v>9.9616890292253402E-9</v>
      </c>
      <c r="R2" t="s">
        <v>32</v>
      </c>
      <c r="S2" t="s">
        <v>30</v>
      </c>
      <c r="T2" t="s">
        <v>40</v>
      </c>
      <c r="U2" t="s">
        <v>41</v>
      </c>
    </row>
    <row r="3" spans="2:21" x14ac:dyDescent="0.35">
      <c r="B3" s="3" t="s">
        <v>16</v>
      </c>
      <c r="C3">
        <v>100</v>
      </c>
      <c r="F3" s="3" t="s">
        <v>28</v>
      </c>
      <c r="G3" s="7" cm="1">
        <f t="array" aca="1" ref="G3" ca="1">_xlfn.TAKE(S_,-1)</f>
        <v>101.51581151420575</v>
      </c>
      <c r="N3" s="6">
        <v>1</v>
      </c>
      <c r="O3" s="6" cm="1">
        <f t="array" ref="O3:O5">ad(N3:N5)</f>
        <v>1</v>
      </c>
      <c r="P3" s="6" cm="1">
        <f t="array" ref="P3:P5">_xlfn.SCAN(0,_xlfn.ANCHORARRAY(O3),_xlfn.LAMBDA(_xlpm.a,_xlpm.b,_xlpm.a+_xlpm.b))</f>
        <v>1</v>
      </c>
      <c r="R3" cm="1">
        <f t="array" ref="R3:R12">_xll.ARRAY.SEQUENCE(0.001, 0.01, 0.001)</f>
        <v>1E-3</v>
      </c>
      <c r="S3" s="24">
        <f ca="1">J6</f>
        <v>9.510298496512358E-2</v>
      </c>
      <c r="T3">
        <f>LOG(R3)</f>
        <v>-3</v>
      </c>
      <c r="U3">
        <f ca="1">LOG(S3)</f>
        <v>-1.0218058517951043</v>
      </c>
    </row>
    <row r="4" spans="2:21" x14ac:dyDescent="0.35">
      <c r="B4" s="3" t="s">
        <v>14</v>
      </c>
      <c r="C4">
        <v>0.2</v>
      </c>
      <c r="F4" s="3" t="s">
        <v>24</v>
      </c>
      <c r="G4" s="10">
        <f ca="1">MAX(k - last,0)</f>
        <v>0</v>
      </c>
      <c r="H4" s="10">
        <f t="array" aca="1" ref="H4:I4" ca="1">_xll.MONTE.STDEV(G4)</f>
        <v>3.8369823267227963</v>
      </c>
      <c r="I4" s="10">
        <f ca="1"/>
        <v>4.9209427835200099</v>
      </c>
      <c r="M4">
        <v>1E-3</v>
      </c>
      <c r="N4" s="6">
        <v>2</v>
      </c>
      <c r="O4" s="6">
        <v>1</v>
      </c>
      <c r="P4" s="6">
        <v>2</v>
      </c>
      <c r="R4">
        <v>2E-3</v>
      </c>
      <c r="S4" s="24">
        <f t="dataTable" ref="S4:S12" dt2D="0" dtr="0" r1="C6" ca="1"/>
        <v>9.510298496512358E-2</v>
      </c>
      <c r="T4">
        <f t="shared" ref="T4:T12" si="0">LOG(R4)</f>
        <v>-2.6989700043360187</v>
      </c>
      <c r="U4">
        <f t="shared" ref="U4:U12" si="1">LOG(S4)</f>
        <v>-1.0218058517951043</v>
      </c>
    </row>
    <row r="5" spans="2:21" x14ac:dyDescent="0.35">
      <c r="B5" s="3" t="s">
        <v>1</v>
      </c>
      <c r="C5">
        <v>0.25</v>
      </c>
      <c r="F5" s="3" t="s">
        <v>25</v>
      </c>
      <c r="G5" s="10" cm="1">
        <f t="array" aca="1" ref="G5" ca="1">_xlfn.TAKE(A,-1)</f>
        <v>0.33365852930464768</v>
      </c>
      <c r="H5" s="10"/>
      <c r="I5" s="10"/>
      <c r="M5">
        <v>0.01</v>
      </c>
      <c r="N5" s="6">
        <v>3</v>
      </c>
      <c r="O5" s="6">
        <v>1</v>
      </c>
      <c r="P5" s="6">
        <v>3</v>
      </c>
      <c r="R5">
        <v>3.0000000000000001E-3</v>
      </c>
      <c r="S5" s="24">
        <v>9.510298496512358E-2</v>
      </c>
      <c r="T5">
        <f t="shared" si="0"/>
        <v>-2.5228787452803374</v>
      </c>
      <c r="U5">
        <f t="shared" si="1"/>
        <v>-1.0218058517951043</v>
      </c>
    </row>
    <row r="6" spans="2:21" x14ac:dyDescent="0.35">
      <c r="B6" s="3" t="s">
        <v>21</v>
      </c>
      <c r="C6">
        <v>1E-3</v>
      </c>
      <c r="F6" s="3" t="s">
        <v>29</v>
      </c>
      <c r="G6" s="10">
        <f ca="1">payoff-hedge</f>
        <v>-0.33365852930464768</v>
      </c>
      <c r="H6" s="7">
        <f t="array" aca="1" ref="H6:I6" ca="1">_xll.MONTE.STDEV(error)</f>
        <v>-5.9158609872916747E-2</v>
      </c>
      <c r="I6" s="12">
        <f ca="1"/>
        <v>0.37924799037385087</v>
      </c>
      <c r="J6" s="15">
        <f ca="1">I6/put</f>
        <v>9.510298496512358E-2</v>
      </c>
      <c r="K6" s="14" t="s">
        <v>30</v>
      </c>
      <c r="M6">
        <v>0.1</v>
      </c>
      <c r="R6">
        <v>4.0000000000000001E-3</v>
      </c>
      <c r="S6" s="24">
        <v>9.510298496512358E-2</v>
      </c>
      <c r="T6">
        <f t="shared" si="0"/>
        <v>-2.3979400086720375</v>
      </c>
      <c r="U6">
        <f t="shared" si="1"/>
        <v>-1.0218058517951043</v>
      </c>
    </row>
    <row r="7" spans="2:21" x14ac:dyDescent="0.35">
      <c r="B7" s="3" t="s">
        <v>17</v>
      </c>
      <c r="C7">
        <v>100</v>
      </c>
      <c r="R7">
        <v>5.0000000000000001E-3</v>
      </c>
      <c r="S7" s="24">
        <v>9.510298496512358E-2</v>
      </c>
      <c r="T7">
        <f t="shared" si="0"/>
        <v>-2.3010299956639813</v>
      </c>
      <c r="U7">
        <f t="shared" si="1"/>
        <v>-1.0218058517951043</v>
      </c>
    </row>
    <row r="8" spans="2:21" x14ac:dyDescent="0.35">
      <c r="D8" s="22" t="s">
        <v>0</v>
      </c>
      <c r="E8" s="22"/>
      <c r="F8" s="23" t="s">
        <v>10</v>
      </c>
      <c r="G8" s="23"/>
      <c r="H8" s="23" t="s">
        <v>13</v>
      </c>
      <c r="I8" s="23"/>
      <c r="J8" s="1" t="s">
        <v>11</v>
      </c>
      <c r="K8" s="2" t="s">
        <v>12</v>
      </c>
      <c r="R8">
        <v>6.0000000000000001E-3</v>
      </c>
      <c r="S8" s="24">
        <v>9.510298496512358E-2</v>
      </c>
      <c r="T8">
        <f t="shared" si="0"/>
        <v>-2.2218487496163561</v>
      </c>
      <c r="U8">
        <f t="shared" si="1"/>
        <v>-1.0218058517951043</v>
      </c>
    </row>
    <row r="9" spans="2:21" x14ac:dyDescent="0.35">
      <c r="B9" s="4" t="s">
        <v>22</v>
      </c>
      <c r="C9" s="4" t="s">
        <v>23</v>
      </c>
      <c r="D9" s="4" t="s">
        <v>18</v>
      </c>
      <c r="E9" s="4" t="s">
        <v>19</v>
      </c>
      <c r="F9" s="4" t="s">
        <v>4</v>
      </c>
      <c r="G9" s="4" t="s">
        <v>5</v>
      </c>
      <c r="H9" s="4" t="s">
        <v>26</v>
      </c>
      <c r="I9" s="4" t="s">
        <v>27</v>
      </c>
      <c r="J9" s="4" t="s">
        <v>8</v>
      </c>
      <c r="K9" s="4" t="s">
        <v>9</v>
      </c>
      <c r="L9" s="13" t="s">
        <v>31</v>
      </c>
      <c r="R9">
        <v>7.0000000000000001E-3</v>
      </c>
      <c r="S9" s="24">
        <v>9.510298496512358E-2</v>
      </c>
      <c r="T9">
        <f t="shared" si="0"/>
        <v>-2.1549019599857431</v>
      </c>
      <c r="U9">
        <f t="shared" si="1"/>
        <v>-1.0218058517951043</v>
      </c>
    </row>
    <row r="10" spans="2:21" x14ac:dyDescent="0.35">
      <c r="B10" cm="1">
        <f t="array" ref="B10:B260">_xll.ARRAY.SEQUENCE(0, t, dt)</f>
        <v>0</v>
      </c>
      <c r="C10" cm="1">
        <f t="array" aca="1" ref="C10:C260" ca="1">_xll.RANDOM.BROWNIAN(t_)</f>
        <v>0</v>
      </c>
      <c r="D10" cm="1">
        <f t="array" aca="1" ref="D10:D260" ca="1">1+0*B_</f>
        <v>1</v>
      </c>
      <c r="E10" cm="1">
        <f t="array" aca="1" ref="E10:E260" ca="1">f*EXP(sigma*B_+(mu-sigma*sigma/2)*t_)</f>
        <v>100</v>
      </c>
      <c r="F10" s="10" cm="1">
        <f t="array" aca="1" ref="F10:F260" ca="1">co(put*(t_ = 0) - N*S_/R_)</f>
        <v>51.993880583837246</v>
      </c>
      <c r="G10" s="7" cm="1">
        <f t="array" aca="1" ref="G10:G260" ca="1">co(ad(_N))</f>
        <v>-0.48006119416162751</v>
      </c>
      <c r="H10" s="10" cm="1">
        <f t="array" aca="1" ref="H10:H260" ca="1">_xlfn.SCAN(0,M,_xlfn.LAMBDA(_xlpm.a,_xlpm.b,_xlpm.a+_xlpm.b))</f>
        <v>51.993880583837246</v>
      </c>
      <c r="I10" s="7" cm="1">
        <f t="array" aca="1" ref="I10:I260" ca="1">_xlfn.VSTACK(_xlfn.DROP(_xlfn.MAP(t_,S_,_xlfn.LAMBDA(_xlpm._t,_xlpm._S,_xll.OPTION.BLACK.PUT_DELTA(_xlpm._S,sigma*SQRT(t - _xlpm._t),k))),-1),0)</f>
        <v>-0.48006119416162751</v>
      </c>
      <c r="J10" s="7" cm="1">
        <f t="array" aca="1" ref="J10:J260" ca="1">_M * R_ + _N * S_</f>
        <v>3.987761167674492</v>
      </c>
      <c r="K10" cm="1">
        <f t="array" aca="1" ref="K10:K260" ca="1">-M * R_ - N * S_</f>
        <v>-3.987761167674492</v>
      </c>
      <c r="L10" cm="1">
        <f t="array" aca="1" ref="L10:L260" ca="1">_xlfn.MAP(S_,_xlfn.LAMBDA(_xlpm.s,MAX(k-_xlpm.s,0)))</f>
        <v>0</v>
      </c>
      <c r="M10" s="19">
        <f ca="1">put - G10*E10</f>
        <v>51.993880583837246</v>
      </c>
      <c r="N10" s="19">
        <f ca="1">F10-M10</f>
        <v>0</v>
      </c>
      <c r="R10">
        <v>8.0000000000000002E-3</v>
      </c>
      <c r="S10" s="24">
        <v>9.510298496512358E-2</v>
      </c>
      <c r="T10">
        <f t="shared" si="0"/>
        <v>-2.0969100130080562</v>
      </c>
      <c r="U10">
        <f t="shared" si="1"/>
        <v>-1.0218058517951043</v>
      </c>
    </row>
    <row r="11" spans="2:21" x14ac:dyDescent="0.35">
      <c r="B11">
        <v>1E-3</v>
      </c>
      <c r="C11">
        <f ca="1"/>
        <v>1.1065046216524337E-2</v>
      </c>
      <c r="D11">
        <f ca="1"/>
        <v>1</v>
      </c>
      <c r="E11" s="11">
        <f ca="1"/>
        <v>100.21954156468425</v>
      </c>
      <c r="F11" s="10">
        <f ca="1"/>
        <v>-0.87292194947086355</v>
      </c>
      <c r="G11" s="7">
        <f ca="1"/>
        <v>8.7100972110060737E-3</v>
      </c>
      <c r="H11" s="10">
        <f ca="1"/>
        <v>51.120958634366382</v>
      </c>
      <c r="I11" s="7">
        <f ca="1"/>
        <v>-0.47135109695062144</v>
      </c>
      <c r="J11" s="7">
        <f ca="1"/>
        <v>3.8823677819640636</v>
      </c>
      <c r="K11">
        <f ca="1"/>
        <v>0</v>
      </c>
      <c r="L11">
        <f ca="1"/>
        <v>0</v>
      </c>
      <c r="M11" s="19">
        <f ca="1" xml:space="preserve"> - G11*E11</f>
        <v>-0.87292194947086355</v>
      </c>
      <c r="N11" s="19">
        <f ca="1">F11-M11</f>
        <v>0</v>
      </c>
      <c r="R11">
        <v>9.0000000000000011E-3</v>
      </c>
      <c r="S11" s="24">
        <v>9.510298496512358E-2</v>
      </c>
      <c r="T11">
        <f t="shared" si="0"/>
        <v>-2.0457574905606752</v>
      </c>
      <c r="U11">
        <f t="shared" si="1"/>
        <v>-1.0218058517951043</v>
      </c>
    </row>
    <row r="12" spans="2:21" x14ac:dyDescent="0.35">
      <c r="B12">
        <v>2E-3</v>
      </c>
      <c r="C12">
        <f ca="1"/>
        <v>5.6924329949305649E-3</v>
      </c>
      <c r="D12">
        <f ca="1"/>
        <v>1</v>
      </c>
      <c r="E12" s="11">
        <f ca="1"/>
        <v>100.10990901563699</v>
      </c>
      <c r="F12" s="10">
        <f ca="1"/>
        <v>0.44015643690897205</v>
      </c>
      <c r="G12" s="7">
        <f ca="1"/>
        <v>-4.3967319642675973E-3</v>
      </c>
      <c r="H12" s="10">
        <f ca="1"/>
        <v>51.561115071275353</v>
      </c>
      <c r="I12" s="7">
        <f ca="1"/>
        <v>-0.47574782891488904</v>
      </c>
      <c r="J12" s="7">
        <f ca="1"/>
        <v>3.9340432042189803</v>
      </c>
      <c r="K12">
        <f ca="1"/>
        <v>0</v>
      </c>
      <c r="L12">
        <f ca="1"/>
        <v>0</v>
      </c>
      <c r="R12">
        <v>1.0000000000000002E-2</v>
      </c>
      <c r="S12" s="24">
        <v>9.510298496512358E-2</v>
      </c>
      <c r="T12">
        <f t="shared" si="0"/>
        <v>-2</v>
      </c>
      <c r="U12">
        <f t="shared" si="1"/>
        <v>-1.0218058517951043</v>
      </c>
    </row>
    <row r="13" spans="2:21" x14ac:dyDescent="0.35">
      <c r="B13">
        <v>3.0000000000000001E-3</v>
      </c>
      <c r="C13">
        <f ca="1"/>
        <v>6.1555406740890582E-3</v>
      </c>
      <c r="D13">
        <f ca="1"/>
        <v>1</v>
      </c>
      <c r="E13" s="11">
        <f ca="1"/>
        <v>100.11717941497227</v>
      </c>
      <c r="F13" s="10">
        <f ca="1"/>
        <v>-2.6009286971848317E-2</v>
      </c>
      <c r="G13" s="7">
        <f ca="1"/>
        <v>2.5978845113128202E-4</v>
      </c>
      <c r="H13" s="10">
        <f ca="1"/>
        <v>51.535105784303504</v>
      </c>
      <c r="I13" s="7">
        <f ca="1"/>
        <v>-0.47548804046375776</v>
      </c>
      <c r="J13" s="7">
        <f ca="1"/>
        <v>3.930584327519874</v>
      </c>
      <c r="K13">
        <f ca="1"/>
        <v>0</v>
      </c>
      <c r="L13">
        <f ca="1"/>
        <v>0</v>
      </c>
    </row>
    <row r="14" spans="2:21" x14ac:dyDescent="0.35">
      <c r="B14">
        <v>4.0000000000000001E-3</v>
      </c>
      <c r="C14">
        <f ca="1"/>
        <v>-1.9231924016898341E-2</v>
      </c>
      <c r="D14">
        <f ca="1"/>
        <v>1</v>
      </c>
      <c r="E14" s="11">
        <f ca="1"/>
        <v>99.608131336681055</v>
      </c>
      <c r="F14" s="10">
        <f ca="1"/>
        <v>2.0435582250889937</v>
      </c>
      <c r="G14" s="7">
        <f ca="1"/>
        <v>-2.0515977939407903E-2</v>
      </c>
      <c r="H14" s="10">
        <f ca="1"/>
        <v>53.578664009392497</v>
      </c>
      <c r="I14" s="7">
        <f ca="1"/>
        <v>-0.49600401840316566</v>
      </c>
      <c r="J14" s="7">
        <f ca="1"/>
        <v>4.1726306007684073</v>
      </c>
      <c r="K14">
        <f ca="1"/>
        <v>0</v>
      </c>
      <c r="L14">
        <f ca="1"/>
        <v>0.39186866331894521</v>
      </c>
      <c r="M14" s="19">
        <f ca="1">f*EXP(sigma*C14-sigma^2*B14/2)</f>
        <v>99.608131336681055</v>
      </c>
      <c r="N14" s="19">
        <f ca="1">E14-M14</f>
        <v>0</v>
      </c>
    </row>
    <row r="15" spans="2:21" x14ac:dyDescent="0.35">
      <c r="B15">
        <v>5.0000000000000001E-3</v>
      </c>
      <c r="C15">
        <f ca="1"/>
        <v>1.2999336712055179E-2</v>
      </c>
      <c r="D15">
        <f ca="1"/>
        <v>1</v>
      </c>
      <c r="E15" s="11">
        <f ca="1"/>
        <v>100.25029946161561</v>
      </c>
      <c r="F15" s="10">
        <f ca="1"/>
        <v>-2.5861755696632911</v>
      </c>
      <c r="G15" s="7">
        <f ca="1"/>
        <v>2.5797185480263829E-2</v>
      </c>
      <c r="H15" s="10">
        <f ca="1"/>
        <v>50.992488439729208</v>
      </c>
      <c r="I15" s="7">
        <f ca="1"/>
        <v>-0.47020683292290183</v>
      </c>
      <c r="J15" s="7">
        <f ca="1"/>
        <v>3.8541126303104392</v>
      </c>
      <c r="K15">
        <f ca="1"/>
        <v>0</v>
      </c>
      <c r="L15">
        <f ca="1"/>
        <v>0</v>
      </c>
    </row>
    <row r="16" spans="2:21" x14ac:dyDescent="0.35">
      <c r="B16">
        <v>6.0000000000000001E-3</v>
      </c>
      <c r="C16">
        <f ca="1"/>
        <v>3.802905423275349E-2</v>
      </c>
      <c r="D16">
        <f ca="1"/>
        <v>1</v>
      </c>
      <c r="E16" s="11">
        <f ca="1"/>
        <v>100.75138995737876</v>
      </c>
      <c r="F16" s="10">
        <f ca="1"/>
        <v>-2.0162425746991466</v>
      </c>
      <c r="G16" s="7">
        <f ca="1"/>
        <v>2.0012057159232099E-2</v>
      </c>
      <c r="H16" s="10">
        <f ca="1"/>
        <v>48.976245865030059</v>
      </c>
      <c r="I16" s="7">
        <f ca="1"/>
        <v>-0.45019477576366973</v>
      </c>
      <c r="J16" s="7">
        <f ca="1"/>
        <v>3.6184964552898791</v>
      </c>
      <c r="K16">
        <f ca="1"/>
        <v>0</v>
      </c>
      <c r="L16">
        <f ca="1"/>
        <v>0</v>
      </c>
      <c r="M16" s="19" cm="1">
        <f t="array" aca="1" ref="M16" ca="1">_xll.OPTION.BLACK.PUT_DELTA(E16,sigma*SQRT(t - B16),k)</f>
        <v>-0.45019477576366973</v>
      </c>
      <c r="N16" s="19">
        <f ca="1">I16-M16</f>
        <v>0</v>
      </c>
    </row>
    <row r="17" spans="2:18" x14ac:dyDescent="0.35">
      <c r="B17">
        <v>7.0000000000000001E-3</v>
      </c>
      <c r="C17">
        <f ca="1"/>
        <v>4.9631420297048076E-2</v>
      </c>
      <c r="D17">
        <f ca="1"/>
        <v>1</v>
      </c>
      <c r="E17" s="11">
        <f ca="1"/>
        <v>100.98343263277928</v>
      </c>
      <c r="F17" s="10">
        <f ca="1"/>
        <v>-0.93342369590238539</v>
      </c>
      <c r="G17" s="7">
        <f ca="1"/>
        <v>9.2433349864103898E-3</v>
      </c>
      <c r="H17" s="10">
        <f ca="1"/>
        <v>48.042822169127675</v>
      </c>
      <c r="I17" s="7">
        <f ca="1"/>
        <v>-0.44095144077725934</v>
      </c>
      <c r="J17" s="7">
        <f ca="1"/>
        <v>3.514032055070345</v>
      </c>
      <c r="K17">
        <f ca="1"/>
        <v>0</v>
      </c>
      <c r="L17">
        <f ca="1"/>
        <v>0</v>
      </c>
    </row>
    <row r="18" spans="2:18" x14ac:dyDescent="0.35">
      <c r="B18">
        <v>8.0000000000000002E-3</v>
      </c>
      <c r="C18">
        <f ca="1"/>
        <v>6.9479660700664081E-2</v>
      </c>
      <c r="D18">
        <f ca="1"/>
        <v>1</v>
      </c>
      <c r="E18" s="11">
        <f ca="1"/>
        <v>101.3830703483107</v>
      </c>
      <c r="F18" s="10">
        <f ca="1"/>
        <v>-1.6047439504623844</v>
      </c>
      <c r="G18" s="7">
        <f ca="1"/>
        <v>1.582851993877421E-2</v>
      </c>
      <c r="H18" s="10">
        <f ca="1"/>
        <v>46.438078218665289</v>
      </c>
      <c r="I18" s="7">
        <f ca="1"/>
        <v>-0.42512292083848513</v>
      </c>
      <c r="J18" s="7">
        <f ca="1"/>
        <v>3.3378112286178307</v>
      </c>
      <c r="K18">
        <f ca="1"/>
        <v>0</v>
      </c>
      <c r="L18">
        <f ca="1"/>
        <v>0</v>
      </c>
    </row>
    <row r="19" spans="2:18" x14ac:dyDescent="0.35">
      <c r="B19">
        <v>9.0000000000000011E-3</v>
      </c>
      <c r="C19">
        <f ca="1"/>
        <v>4.255639550294768E-2</v>
      </c>
      <c r="D19">
        <f ca="1"/>
        <v>1</v>
      </c>
      <c r="E19" s="11">
        <f ca="1"/>
        <v>100.83660807866985</v>
      </c>
      <c r="F19" s="10">
        <f ca="1"/>
        <v>2.1780455122674871</v>
      </c>
      <c r="G19" s="7">
        <f ca="1"/>
        <v>-2.1599749870287566E-2</v>
      </c>
      <c r="H19" s="10">
        <f ca="1"/>
        <v>48.616123730932777</v>
      </c>
      <c r="I19" s="7">
        <f ca="1"/>
        <v>-0.4467226707087727</v>
      </c>
      <c r="J19" s="7">
        <f ca="1"/>
        <v>3.5701248648155754</v>
      </c>
      <c r="K19">
        <f ca="1"/>
        <v>0</v>
      </c>
      <c r="L19">
        <f ca="1"/>
        <v>0</v>
      </c>
    </row>
    <row r="20" spans="2:18" x14ac:dyDescent="0.35">
      <c r="B20">
        <v>0.01</v>
      </c>
      <c r="C20">
        <f ca="1"/>
        <v>1.0510237973628545E-3</v>
      </c>
      <c r="D20">
        <f ca="1"/>
        <v>1</v>
      </c>
      <c r="E20" s="11">
        <f ca="1"/>
        <v>100.00102048115413</v>
      </c>
      <c r="F20" s="10">
        <f ca="1"/>
        <v>3.3699886883400185</v>
      </c>
      <c r="G20" s="7">
        <f ca="1"/>
        <v>-3.3699542985914988E-2</v>
      </c>
      <c r="H20" s="10">
        <f ca="1"/>
        <v>51.986112419272793</v>
      </c>
      <c r="I20" s="7">
        <f ca="1"/>
        <v>-0.48042221369468768</v>
      </c>
      <c r="J20" s="7">
        <f ca="1"/>
        <v>3.9434007879889208</v>
      </c>
      <c r="K20">
        <f ca="1"/>
        <v>0</v>
      </c>
      <c r="L20">
        <f ca="1"/>
        <v>0</v>
      </c>
      <c r="M20" s="6">
        <f t="array" aca="1" ref="M20:M21" ca="1">_xll.MONTE.STDEV(C20)</f>
        <v>1.9681762461510894E-2</v>
      </c>
      <c r="N20" s="6">
        <v>0</v>
      </c>
      <c r="O20" s="6">
        <f t="array" aca="1" ref="O20:O21" ca="1">_xll.MONTE.STDEV(E20)</f>
        <v>100.39373236574032</v>
      </c>
      <c r="P20" s="6">
        <f>f*EXP(mu*B20)</f>
        <v>100</v>
      </c>
    </row>
    <row r="21" spans="2:18" x14ac:dyDescent="0.35">
      <c r="B21">
        <v>1.0999999999999999E-2</v>
      </c>
      <c r="C21">
        <f ca="1"/>
        <v>2.1949304680271089E-2</v>
      </c>
      <c r="D21">
        <f ca="1"/>
        <v>1</v>
      </c>
      <c r="E21" s="11">
        <f ca="1"/>
        <v>100.41785669028513</v>
      </c>
      <c r="F21" s="10">
        <f ca="1"/>
        <v>-1.6959047839467838</v>
      </c>
      <c r="G21" s="7">
        <f ca="1"/>
        <v>1.6888478203407553E-2</v>
      </c>
      <c r="H21" s="10">
        <f ca="1"/>
        <v>50.290207635326006</v>
      </c>
      <c r="I21" s="7">
        <f ca="1"/>
        <v>-0.46353373549128013</v>
      </c>
      <c r="J21" s="7">
        <f ca="1"/>
        <v>3.7431434136501025</v>
      </c>
      <c r="K21">
        <f ca="1"/>
        <v>0</v>
      </c>
      <c r="L21">
        <f ca="1"/>
        <v>0</v>
      </c>
      <c r="M21" s="6">
        <f ca="1"/>
        <v>0.24764713208213873</v>
      </c>
      <c r="N21" s="6">
        <f>SQRT(B20)</f>
        <v>0.1</v>
      </c>
      <c r="O21" s="6">
        <f ca="1"/>
        <v>4.9986513772043413</v>
      </c>
      <c r="P21" s="6"/>
    </row>
    <row r="22" spans="2:18" x14ac:dyDescent="0.35">
      <c r="B22">
        <v>1.2E-2</v>
      </c>
      <c r="C22">
        <f ca="1"/>
        <v>2.0972348961449123E-2</v>
      </c>
      <c r="D22">
        <f ca="1"/>
        <v>1</v>
      </c>
      <c r="E22" s="11">
        <f ca="1"/>
        <v>100.39622990247115</v>
      </c>
      <c r="F22" s="10">
        <f ca="1"/>
        <v>8.8570270860191314E-2</v>
      </c>
      <c r="G22" s="7">
        <f ca="1"/>
        <v>-8.8220714011105761E-4</v>
      </c>
      <c r="H22" s="10">
        <f ca="1"/>
        <v>50.378777906186194</v>
      </c>
      <c r="I22" s="7">
        <f ca="1"/>
        <v>-0.46441594263139119</v>
      </c>
      <c r="J22" s="7">
        <f ca="1"/>
        <v>3.7531681593921959</v>
      </c>
      <c r="K22">
        <f ca="1"/>
        <v>0</v>
      </c>
      <c r="L22">
        <f ca="1"/>
        <v>0</v>
      </c>
    </row>
    <row r="23" spans="2:18" x14ac:dyDescent="0.35">
      <c r="B23">
        <v>1.3000000000000001E-2</v>
      </c>
      <c r="C23">
        <f ca="1"/>
        <v>4.5462919897471532E-2</v>
      </c>
      <c r="D23">
        <f ca="1"/>
        <v>1</v>
      </c>
      <c r="E23" s="11">
        <f ca="1"/>
        <v>100.88717063484106</v>
      </c>
      <c r="F23" s="10">
        <f ca="1"/>
        <v>-2.0024436559443286</v>
      </c>
      <c r="G23" s="7">
        <f ca="1"/>
        <v>1.9848347845853764E-2</v>
      </c>
      <c r="H23" s="10">
        <f ca="1"/>
        <v>48.376334250241868</v>
      </c>
      <c r="I23" s="7">
        <f ca="1"/>
        <v>-0.44456759478553742</v>
      </c>
      <c r="J23" s="7">
        <f ca="1"/>
        <v>3.5251674563924809</v>
      </c>
      <c r="K23">
        <f ca="1"/>
        <v>0</v>
      </c>
      <c r="L23">
        <f ca="1"/>
        <v>0</v>
      </c>
    </row>
    <row r="24" spans="2:18" x14ac:dyDescent="0.35">
      <c r="B24">
        <v>1.4E-2</v>
      </c>
      <c r="C24">
        <f ca="1"/>
        <v>2.1787793547486535E-2</v>
      </c>
      <c r="D24">
        <f ca="1"/>
        <v>1</v>
      </c>
      <c r="E24" s="11">
        <f ca="1"/>
        <v>100.40858832627846</v>
      </c>
      <c r="F24" s="10">
        <f ca="1"/>
        <v>1.9437600313917924</v>
      </c>
      <c r="G24" s="7">
        <f ca="1"/>
        <v>-1.9358503727544996E-2</v>
      </c>
      <c r="H24" s="10">
        <f ca="1"/>
        <v>50.320094281633658</v>
      </c>
      <c r="I24" s="7">
        <f ca="1"/>
        <v>-0.46392609851308242</v>
      </c>
      <c r="J24" s="7">
        <f ca="1"/>
        <v>3.7379296422170611</v>
      </c>
      <c r="K24">
        <f ca="1"/>
        <v>0</v>
      </c>
      <c r="L24">
        <f ca="1"/>
        <v>0</v>
      </c>
    </row>
    <row r="25" spans="2:18" x14ac:dyDescent="0.35">
      <c r="B25">
        <v>1.4999999999999999E-2</v>
      </c>
      <c r="C25">
        <f ca="1"/>
        <v>1.2305001215342297E-2</v>
      </c>
      <c r="D25">
        <f ca="1"/>
        <v>1</v>
      </c>
      <c r="E25" s="11">
        <f ca="1"/>
        <v>100.21633368869531</v>
      </c>
      <c r="F25" s="10">
        <f ca="1"/>
        <v>0.78829881798022194</v>
      </c>
      <c r="G25" s="7">
        <f ca="1"/>
        <v>-7.865971433648089E-3</v>
      </c>
      <c r="H25" s="10">
        <f ca="1"/>
        <v>51.108393099613878</v>
      </c>
      <c r="I25" s="7">
        <f ca="1"/>
        <v>-0.47179206994673051</v>
      </c>
      <c r="J25" s="7">
        <f ca="1"/>
        <v>3.8271215861520531</v>
      </c>
      <c r="K25">
        <f ca="1"/>
        <v>0</v>
      </c>
      <c r="L25">
        <f ca="1"/>
        <v>0</v>
      </c>
    </row>
    <row r="26" spans="2:18" x14ac:dyDescent="0.35">
      <c r="B26">
        <v>1.6E-2</v>
      </c>
      <c r="C26">
        <f ca="1"/>
        <v>3.2637429468125458E-2</v>
      </c>
      <c r="D26">
        <f ca="1"/>
        <v>1</v>
      </c>
      <c r="E26" s="11">
        <f ca="1"/>
        <v>100.62267922615138</v>
      </c>
      <c r="F26" s="10">
        <f ca="1"/>
        <v>-1.6695991260735101</v>
      </c>
      <c r="G26" s="7">
        <f ca="1"/>
        <v>1.6592672138266706E-2</v>
      </c>
      <c r="H26" s="10">
        <f ca="1"/>
        <v>49.438793973540371</v>
      </c>
      <c r="I26" s="7">
        <f ca="1"/>
        <v>-0.4551993978084638</v>
      </c>
      <c r="J26" s="7">
        <f ca="1"/>
        <v>3.6354109839220428</v>
      </c>
      <c r="K26">
        <f ca="1"/>
        <v>0</v>
      </c>
      <c r="L26">
        <f ca="1"/>
        <v>0</v>
      </c>
    </row>
    <row r="27" spans="2:18" x14ac:dyDescent="0.35">
      <c r="B27">
        <v>1.7000000000000001E-2</v>
      </c>
      <c r="C27">
        <f ca="1"/>
        <v>3.2958262174076089E-2</v>
      </c>
      <c r="D27">
        <f ca="1"/>
        <v>1</v>
      </c>
      <c r="E27" s="11">
        <f ca="1"/>
        <v>100.627123480001</v>
      </c>
      <c r="F27" s="10">
        <f ca="1"/>
        <v>-1.9608299240803252E-2</v>
      </c>
      <c r="G27" s="7">
        <f ca="1"/>
        <v>1.9486097348991871E-4</v>
      </c>
      <c r="H27" s="10">
        <f ca="1"/>
        <v>49.41918567429957</v>
      </c>
      <c r="I27" s="7">
        <f ca="1"/>
        <v>-0.45500453683497388</v>
      </c>
      <c r="J27" s="7">
        <f ca="1"/>
        <v>3.6333879622459904</v>
      </c>
      <c r="K27">
        <f ca="1"/>
        <v>0</v>
      </c>
      <c r="L27">
        <f ca="1"/>
        <v>0</v>
      </c>
      <c r="R27" t="s">
        <v>33</v>
      </c>
    </row>
    <row r="28" spans="2:18" x14ac:dyDescent="0.35">
      <c r="B28">
        <v>1.8000000000000002E-2</v>
      </c>
      <c r="C28">
        <f ca="1"/>
        <v>4.6291728891493661E-3</v>
      </c>
      <c r="D28">
        <f ca="1"/>
        <v>1</v>
      </c>
      <c r="E28" s="11">
        <f ca="1"/>
        <v>100.05659946924126</v>
      </c>
      <c r="F28" s="10">
        <f ca="1"/>
        <v>2.34603304567363</v>
      </c>
      <c r="G28" s="7">
        <f ca="1"/>
        <v>-2.3447059545480875E-2</v>
      </c>
      <c r="H28" s="10">
        <f ca="1"/>
        <v>51.765218719973198</v>
      </c>
      <c r="I28" s="7">
        <f ca="1"/>
        <v>-0.47845159638045476</v>
      </c>
      <c r="J28" s="7">
        <f ca="1"/>
        <v>3.8929789755149571</v>
      </c>
      <c r="K28">
        <f ca="1"/>
        <v>0</v>
      </c>
      <c r="L28">
        <f ca="1"/>
        <v>0</v>
      </c>
      <c r="R28" t="s">
        <v>34</v>
      </c>
    </row>
    <row r="29" spans="2:18" x14ac:dyDescent="0.35">
      <c r="B29">
        <v>1.9E-2</v>
      </c>
      <c r="C29">
        <f ca="1"/>
        <v>3.9390903411313238E-2</v>
      </c>
      <c r="D29">
        <f ca="1"/>
        <v>1</v>
      </c>
      <c r="E29" s="11">
        <f ca="1"/>
        <v>100.75263624322845</v>
      </c>
      <c r="F29" s="10">
        <f ca="1"/>
        <v>-2.8827499497087756</v>
      </c>
      <c r="G29" s="7">
        <f ca="1"/>
        <v>2.8612154055696226E-2</v>
      </c>
      <c r="H29" s="10">
        <f ca="1"/>
        <v>48.882468770264424</v>
      </c>
      <c r="I29" s="7">
        <f ca="1"/>
        <v>-0.44983944232475853</v>
      </c>
      <c r="J29" s="7">
        <f ca="1"/>
        <v>3.5599590698612857</v>
      </c>
      <c r="K29">
        <f ca="1"/>
        <v>0</v>
      </c>
      <c r="L29">
        <f ca="1"/>
        <v>0</v>
      </c>
      <c r="R29" t="s">
        <v>35</v>
      </c>
    </row>
    <row r="30" spans="2:18" x14ac:dyDescent="0.35">
      <c r="B30">
        <v>0.02</v>
      </c>
      <c r="C30">
        <f ca="1"/>
        <v>4.0487254206436341E-2</v>
      </c>
      <c r="D30">
        <f ca="1"/>
        <v>1</v>
      </c>
      <c r="E30" s="11">
        <f ca="1"/>
        <v>100.77271523758054</v>
      </c>
      <c r="F30" s="10">
        <f ca="1"/>
        <v>-8.5451746483124646E-2</v>
      </c>
      <c r="G30" s="7">
        <f ca="1"/>
        <v>8.4796510922291457E-4</v>
      </c>
      <c r="H30" s="10">
        <f ca="1"/>
        <v>48.797017023781301</v>
      </c>
      <c r="I30" s="7">
        <f ca="1"/>
        <v>-0.44899147721553562</v>
      </c>
      <c r="J30" s="7">
        <f ca="1"/>
        <v>3.5509267462394973</v>
      </c>
      <c r="K30">
        <f ca="1"/>
        <v>0</v>
      </c>
      <c r="L30">
        <f ca="1"/>
        <v>0</v>
      </c>
      <c r="R30" t="s">
        <v>36</v>
      </c>
    </row>
    <row r="31" spans="2:18" x14ac:dyDescent="0.35">
      <c r="B31">
        <v>2.1000000000000001E-2</v>
      </c>
      <c r="C31">
        <f ca="1"/>
        <v>-2.4230707381311098E-2</v>
      </c>
      <c r="D31">
        <f ca="1"/>
        <v>1</v>
      </c>
      <c r="E31" s="11">
        <f ca="1"/>
        <v>99.474770033845104</v>
      </c>
      <c r="F31" s="10">
        <f ca="1"/>
        <v>5.3585630092013927</v>
      </c>
      <c r="G31" s="7">
        <f ca="1"/>
        <v>-5.3868563932122748E-2</v>
      </c>
      <c r="H31" s="10">
        <f ca="1"/>
        <v>54.155580032982691</v>
      </c>
      <c r="I31" s="7">
        <f ca="1"/>
        <v>-0.50286004114765837</v>
      </c>
      <c r="J31" s="7">
        <f ca="1"/>
        <v>4.1336930806094898</v>
      </c>
      <c r="K31">
        <f ca="1"/>
        <v>0</v>
      </c>
      <c r="L31">
        <f ca="1"/>
        <v>0.52522996615489603</v>
      </c>
    </row>
    <row r="32" spans="2:18" x14ac:dyDescent="0.35">
      <c r="B32">
        <v>2.1999999999999999E-2</v>
      </c>
      <c r="C32">
        <f ca="1"/>
        <v>-4.7086974236085932E-2</v>
      </c>
      <c r="D32">
        <f ca="1"/>
        <v>1</v>
      </c>
      <c r="E32" s="11">
        <f ca="1"/>
        <v>99.019103002439138</v>
      </c>
      <c r="F32" s="10">
        <f ca="1"/>
        <v>1.9069383960940485</v>
      </c>
      <c r="G32" s="7">
        <f ca="1"/>
        <v>-1.9258287929017848E-2</v>
      </c>
      <c r="H32" s="10">
        <f ca="1"/>
        <v>56.062518429076739</v>
      </c>
      <c r="I32" s="7">
        <f ca="1"/>
        <v>-0.52211832907667621</v>
      </c>
      <c r="J32" s="7">
        <f ca="1"/>
        <v>4.3628298227719213</v>
      </c>
      <c r="K32">
        <f ca="1"/>
        <v>0</v>
      </c>
      <c r="L32">
        <f ca="1"/>
        <v>0.98089699756086191</v>
      </c>
    </row>
    <row r="33" spans="2:12" x14ac:dyDescent="0.35">
      <c r="B33">
        <v>2.3E-2</v>
      </c>
      <c r="C33">
        <f ca="1"/>
        <v>-0.10156666363194722</v>
      </c>
      <c r="D33">
        <f ca="1"/>
        <v>1</v>
      </c>
      <c r="E33" s="11">
        <f ca="1"/>
        <v>97.944094661950885</v>
      </c>
      <c r="F33" s="10">
        <f ca="1"/>
        <v>4.4581914020548155</v>
      </c>
      <c r="G33" s="7">
        <f ca="1"/>
        <v>-4.551771515620251E-2</v>
      </c>
      <c r="H33" s="10">
        <f ca="1"/>
        <v>60.520709831131555</v>
      </c>
      <c r="I33" s="7">
        <f ca="1"/>
        <v>-0.56763604423287872</v>
      </c>
      <c r="J33" s="7">
        <f ca="1"/>
        <v>4.9241113812511443</v>
      </c>
      <c r="K33">
        <f ca="1"/>
        <v>0</v>
      </c>
      <c r="L33">
        <f ca="1"/>
        <v>2.055905338049115</v>
      </c>
    </row>
    <row r="34" spans="2:12" x14ac:dyDescent="0.35">
      <c r="B34">
        <v>2.4E-2</v>
      </c>
      <c r="C34">
        <f ca="1"/>
        <v>-0.12083083615767169</v>
      </c>
      <c r="D34">
        <f ca="1"/>
        <v>1</v>
      </c>
      <c r="E34" s="11">
        <f ca="1"/>
        <v>97.565506969506302</v>
      </c>
      <c r="F34" s="10">
        <f ca="1"/>
        <v>1.5791022063253994</v>
      </c>
      <c r="G34" s="7">
        <f ca="1"/>
        <v>-1.6185045877114557E-2</v>
      </c>
      <c r="H34" s="10">
        <f ca="1"/>
        <v>62.099812037456957</v>
      </c>
      <c r="I34" s="7">
        <f ca="1"/>
        <v>-0.58382109010999328</v>
      </c>
      <c r="J34" s="7">
        <f ca="1"/>
        <v>5.1390114013856376</v>
      </c>
      <c r="K34">
        <f ca="1"/>
        <v>0</v>
      </c>
      <c r="L34">
        <f ca="1"/>
        <v>2.434493030493698</v>
      </c>
    </row>
    <row r="35" spans="2:12" x14ac:dyDescent="0.35">
      <c r="B35">
        <v>2.5000000000000001E-2</v>
      </c>
      <c r="C35">
        <f ca="1"/>
        <v>-8.6810680966461246E-2</v>
      </c>
      <c r="D35">
        <f ca="1"/>
        <v>1</v>
      </c>
      <c r="E35" s="11">
        <f ca="1"/>
        <v>98.22964461511377</v>
      </c>
      <c r="F35" s="10">
        <f ca="1"/>
        <v>-2.7323159846047567</v>
      </c>
      <c r="G35" s="7">
        <f ca="1"/>
        <v>2.7815594725101533E-2</v>
      </c>
      <c r="H35" s="10">
        <f ca="1"/>
        <v>59.367496052852204</v>
      </c>
      <c r="I35" s="7">
        <f ca="1"/>
        <v>-0.55600549538489175</v>
      </c>
      <c r="J35" s="7">
        <f ca="1"/>
        <v>4.7512738371440051</v>
      </c>
      <c r="K35">
        <f ca="1"/>
        <v>0</v>
      </c>
      <c r="L35">
        <f ca="1"/>
        <v>1.7703553848862299</v>
      </c>
    </row>
    <row r="36" spans="2:12" x14ac:dyDescent="0.35">
      <c r="B36">
        <v>2.6000000000000002E-2</v>
      </c>
      <c r="C36">
        <f ca="1"/>
        <v>-9.9411408332301721E-2</v>
      </c>
      <c r="D36">
        <f ca="1"/>
        <v>1</v>
      </c>
      <c r="E36" s="11">
        <f ca="1"/>
        <v>97.980443665340076</v>
      </c>
      <c r="F36" s="10">
        <f ca="1"/>
        <v>1.0567572314474292</v>
      </c>
      <c r="G36" s="7">
        <f ca="1"/>
        <v>-1.0785389327862882E-2</v>
      </c>
      <c r="H36" s="10">
        <f ca="1"/>
        <v>60.424253284299631</v>
      </c>
      <c r="I36" s="7">
        <f ca="1"/>
        <v>-0.56679088471275463</v>
      </c>
      <c r="J36" s="7">
        <f ca="1"/>
        <v>4.8898309346733129</v>
      </c>
      <c r="K36">
        <f ca="1"/>
        <v>0</v>
      </c>
      <c r="L36">
        <f ca="1"/>
        <v>2.0195563346599243</v>
      </c>
    </row>
    <row r="37" spans="2:12" x14ac:dyDescent="0.35">
      <c r="B37">
        <v>2.7E-2</v>
      </c>
      <c r="C37">
        <f ca="1"/>
        <v>-0.12937772310683024</v>
      </c>
      <c r="D37">
        <f ca="1"/>
        <v>1</v>
      </c>
      <c r="E37" s="11">
        <f ca="1"/>
        <v>97.393029401399517</v>
      </c>
      <c r="F37" s="10">
        <f ca="1"/>
        <v>2.4466644999757983</v>
      </c>
      <c r="G37" s="7">
        <f ca="1"/>
        <v>-2.5121556594076333E-2</v>
      </c>
      <c r="H37" s="10">
        <f ca="1"/>
        <v>62.870917784275427</v>
      </c>
      <c r="I37" s="7">
        <f ca="1"/>
        <v>-0.59191244130683096</v>
      </c>
      <c r="J37" s="7">
        <f ca="1"/>
        <v>5.2227719850250764</v>
      </c>
      <c r="K37">
        <f ca="1"/>
        <v>0</v>
      </c>
      <c r="L37">
        <f ca="1"/>
        <v>2.6069705986004834</v>
      </c>
    </row>
    <row r="38" spans="2:12" x14ac:dyDescent="0.35">
      <c r="B38">
        <v>2.8000000000000001E-2</v>
      </c>
      <c r="C38">
        <f ca="1"/>
        <v>-0.13808448529495149</v>
      </c>
      <c r="D38">
        <f ca="1"/>
        <v>1</v>
      </c>
      <c r="E38" s="11">
        <f ca="1"/>
        <v>97.221636937233157</v>
      </c>
      <c r="F38" s="10">
        <f ca="1"/>
        <v>0.73168803883962097</v>
      </c>
      <c r="G38" s="7">
        <f ca="1"/>
        <v>-7.5259794207332975E-3</v>
      </c>
      <c r="H38" s="10">
        <f ca="1"/>
        <v>63.602605823115049</v>
      </c>
      <c r="I38" s="7">
        <f ca="1"/>
        <v>-0.59943842072756426</v>
      </c>
      <c r="J38" s="7">
        <f ca="1"/>
        <v>5.3242213169113768</v>
      </c>
      <c r="K38">
        <f ca="1"/>
        <v>0</v>
      </c>
      <c r="L38">
        <f ca="1"/>
        <v>2.778363062766843</v>
      </c>
    </row>
    <row r="39" spans="2:12" x14ac:dyDescent="0.35">
      <c r="B39">
        <v>2.9000000000000001E-2</v>
      </c>
      <c r="C39">
        <f ca="1"/>
        <v>-0.15696032557253992</v>
      </c>
      <c r="D39">
        <f ca="1"/>
        <v>1</v>
      </c>
      <c r="E39" s="11">
        <f ca="1"/>
        <v>96.853363757756057</v>
      </c>
      <c r="F39" s="10">
        <f ca="1"/>
        <v>1.5318404375966432</v>
      </c>
      <c r="G39" s="7">
        <f ca="1"/>
        <v>-1.5816078845005244E-2</v>
      </c>
      <c r="H39" s="10">
        <f ca="1"/>
        <v>65.134446260711698</v>
      </c>
      <c r="I39" s="7">
        <f ca="1"/>
        <v>-0.6152544995725695</v>
      </c>
      <c r="J39" s="7">
        <f ca="1"/>
        <v>5.5449784100134565</v>
      </c>
      <c r="K39">
        <f ca="1"/>
        <v>0</v>
      </c>
      <c r="L39">
        <f ca="1"/>
        <v>3.1466362422439431</v>
      </c>
    </row>
    <row r="40" spans="2:12" x14ac:dyDescent="0.35">
      <c r="B40">
        <v>0.03</v>
      </c>
      <c r="C40">
        <f ca="1"/>
        <v>-0.1528082473706408</v>
      </c>
      <c r="D40">
        <f ca="1"/>
        <v>1</v>
      </c>
      <c r="E40" s="11">
        <f ca="1"/>
        <v>96.931887052524175</v>
      </c>
      <c r="F40" s="10">
        <f ca="1"/>
        <v>-0.28781619756123994</v>
      </c>
      <c r="G40" s="7">
        <f ca="1"/>
        <v>2.9692622965782345E-3</v>
      </c>
      <c r="H40" s="10">
        <f ca="1"/>
        <v>64.846630063150457</v>
      </c>
      <c r="I40" s="7">
        <f ca="1"/>
        <v>-0.61228523727599127</v>
      </c>
      <c r="J40" s="7">
        <f ca="1"/>
        <v>5.4966665995861064</v>
      </c>
      <c r="K40">
        <f ca="1"/>
        <v>0</v>
      </c>
      <c r="L40">
        <f ca="1"/>
        <v>3.0681129474758251</v>
      </c>
    </row>
    <row r="41" spans="2:12" x14ac:dyDescent="0.35">
      <c r="B41">
        <v>3.1E-2</v>
      </c>
      <c r="C41">
        <f ca="1"/>
        <v>-0.18753589418172273</v>
      </c>
      <c r="D41">
        <f ca="1"/>
        <v>1</v>
      </c>
      <c r="E41" s="11">
        <f ca="1"/>
        <v>96.259051196499229</v>
      </c>
      <c r="F41" s="10">
        <f ca="1"/>
        <v>2.7436725885322297</v>
      </c>
      <c r="G41" s="7">
        <f ca="1"/>
        <v>-2.8503008854008027E-2</v>
      </c>
      <c r="H41" s="10">
        <f ca="1"/>
        <v>67.590302651682691</v>
      </c>
      <c r="I41" s="7">
        <f ca="1"/>
        <v>-0.64078824612999929</v>
      </c>
      <c r="J41" s="7">
        <f ca="1"/>
        <v>5.9086340613401376</v>
      </c>
      <c r="K41">
        <f ca="1"/>
        <v>0</v>
      </c>
      <c r="L41">
        <f ca="1"/>
        <v>3.7409488035007712</v>
      </c>
    </row>
    <row r="42" spans="2:12" x14ac:dyDescent="0.35">
      <c r="B42">
        <v>3.2000000000000001E-2</v>
      </c>
      <c r="C42">
        <f ca="1"/>
        <v>-0.16257350030381357</v>
      </c>
      <c r="D42">
        <f ca="1"/>
        <v>1</v>
      </c>
      <c r="E42" s="11">
        <f ca="1"/>
        <v>96.738889289209538</v>
      </c>
      <c r="F42" s="10">
        <f ca="1"/>
        <v>-1.9051233199155362</v>
      </c>
      <c r="G42" s="7">
        <f ca="1"/>
        <v>1.9693458689813981E-2</v>
      </c>
      <c r="H42" s="10">
        <f ca="1"/>
        <v>65.685179331767159</v>
      </c>
      <c r="I42" s="7">
        <f ca="1"/>
        <v>-0.62109478744018531</v>
      </c>
      <c r="J42" s="7">
        <f ca="1"/>
        <v>5.6011594514859411</v>
      </c>
      <c r="K42">
        <f ca="1"/>
        <v>0</v>
      </c>
      <c r="L42">
        <f ca="1"/>
        <v>3.2611107107904616</v>
      </c>
    </row>
    <row r="43" spans="2:12" x14ac:dyDescent="0.35">
      <c r="B43">
        <v>3.3000000000000002E-2</v>
      </c>
      <c r="C43">
        <f ca="1"/>
        <v>-0.15789135366416274</v>
      </c>
      <c r="D43">
        <f ca="1"/>
        <v>1</v>
      </c>
      <c r="E43" s="11">
        <f ca="1"/>
        <v>96.827584279643304</v>
      </c>
      <c r="F43" s="10">
        <f ca="1"/>
        <v>-0.3287257224899976</v>
      </c>
      <c r="G43" s="7">
        <f ca="1"/>
        <v>3.3949594522633131E-3</v>
      </c>
      <c r="H43" s="10">
        <f ca="1"/>
        <v>65.356453609277168</v>
      </c>
      <c r="I43" s="7">
        <f ca="1"/>
        <v>-0.617699827987922</v>
      </c>
      <c r="J43" s="7">
        <f ca="1"/>
        <v>5.5460714552554791</v>
      </c>
      <c r="K43">
        <f ca="1"/>
        <v>0</v>
      </c>
      <c r="L43">
        <f ca="1"/>
        <v>3.1724157203566961</v>
      </c>
    </row>
    <row r="44" spans="2:12" x14ac:dyDescent="0.35">
      <c r="B44">
        <v>3.4000000000000002E-2</v>
      </c>
      <c r="C44">
        <f ca="1"/>
        <v>-0.14479234279600836</v>
      </c>
      <c r="D44">
        <f ca="1"/>
        <v>1</v>
      </c>
      <c r="E44" s="11">
        <f ca="1"/>
        <v>97.079644354914521</v>
      </c>
      <c r="F44" s="10">
        <f ca="1"/>
        <v>-1.0060813667498221</v>
      </c>
      <c r="G44" s="7">
        <f ca="1"/>
        <v>1.0363463663625283E-2</v>
      </c>
      <c r="H44" s="10">
        <f ca="1"/>
        <v>64.350372242527342</v>
      </c>
      <c r="I44" s="7">
        <f ca="1"/>
        <v>-0.60733636432429672</v>
      </c>
      <c r="J44" s="7">
        <f ca="1"/>
        <v>5.3903739901178227</v>
      </c>
      <c r="K44">
        <f ca="1"/>
        <v>0</v>
      </c>
      <c r="L44">
        <f ca="1"/>
        <v>2.9203556450854791</v>
      </c>
    </row>
    <row r="45" spans="2:12" x14ac:dyDescent="0.35">
      <c r="B45">
        <v>3.5000000000000003E-2</v>
      </c>
      <c r="C45">
        <f ca="1"/>
        <v>-8.9383759377097138E-2</v>
      </c>
      <c r="D45">
        <f ca="1"/>
        <v>1</v>
      </c>
      <c r="E45" s="11">
        <f ca="1"/>
        <v>98.159473246388515</v>
      </c>
      <c r="F45" s="10">
        <f ca="1"/>
        <v>-4.5311272034550658</v>
      </c>
      <c r="G45" s="7">
        <f ca="1"/>
        <v>4.6160875294038672E-2</v>
      </c>
      <c r="H45" s="10">
        <f ca="1"/>
        <v>59.819245039072278</v>
      </c>
      <c r="I45" s="7">
        <f ca="1"/>
        <v>-0.56117548903025805</v>
      </c>
      <c r="J45" s="7">
        <f ca="1"/>
        <v>4.7345546370776717</v>
      </c>
      <c r="K45">
        <f ca="1"/>
        <v>0</v>
      </c>
      <c r="L45">
        <f ca="1"/>
        <v>1.8405267536114849</v>
      </c>
    </row>
    <row r="46" spans="2:12" x14ac:dyDescent="0.35">
      <c r="B46">
        <v>3.6000000000000004E-2</v>
      </c>
      <c r="C46">
        <f ca="1"/>
        <v>-0.10339940514679134</v>
      </c>
      <c r="D46">
        <f ca="1"/>
        <v>1</v>
      </c>
      <c r="E46" s="11">
        <f ca="1"/>
        <v>97.882747176243058</v>
      </c>
      <c r="F46" s="10">
        <f ca="1"/>
        <v>1.1966543688104563</v>
      </c>
      <c r="G46" s="7">
        <f ca="1"/>
        <v>-1.2225386018802853E-2</v>
      </c>
      <c r="H46" s="10">
        <f ca="1"/>
        <v>61.015899407882735</v>
      </c>
      <c r="I46" s="7">
        <f ca="1"/>
        <v>-0.5734008750490609</v>
      </c>
      <c r="J46" s="7">
        <f ca="1"/>
        <v>4.8898465248189709</v>
      </c>
      <c r="K46">
        <f ca="1"/>
        <v>0</v>
      </c>
      <c r="L46">
        <f ca="1"/>
        <v>2.1172528237569423</v>
      </c>
    </row>
    <row r="47" spans="2:12" x14ac:dyDescent="0.35">
      <c r="B47">
        <v>3.6999999999999998E-2</v>
      </c>
      <c r="C47">
        <f ca="1"/>
        <v>-0.10055398271777988</v>
      </c>
      <c r="D47">
        <f ca="1"/>
        <v>1</v>
      </c>
      <c r="E47" s="11">
        <f ca="1"/>
        <v>97.936507832365635</v>
      </c>
      <c r="F47" s="10">
        <f ca="1"/>
        <v>-0.20358851428454453</v>
      </c>
      <c r="G47" s="7">
        <f ca="1"/>
        <v>2.0787806180818658E-3</v>
      </c>
      <c r="H47" s="10">
        <f ca="1"/>
        <v>60.812310893598188</v>
      </c>
      <c r="I47" s="7">
        <f ca="1"/>
        <v>-0.57132209443097903</v>
      </c>
      <c r="J47" s="7">
        <f ca="1"/>
        <v>4.8590201175550689</v>
      </c>
      <c r="K47">
        <f ca="1"/>
        <v>0</v>
      </c>
      <c r="L47">
        <f ca="1"/>
        <v>2.0634921676343652</v>
      </c>
    </row>
    <row r="48" spans="2:12" x14ac:dyDescent="0.35">
      <c r="B48">
        <v>3.7999999999999999E-2</v>
      </c>
      <c r="C48">
        <f ca="1"/>
        <v>-5.2295928672785569E-2</v>
      </c>
      <c r="D48">
        <f ca="1"/>
        <v>1</v>
      </c>
      <c r="E48" s="11">
        <f ca="1"/>
        <v>98.884351462831631</v>
      </c>
      <c r="F48" s="10">
        <f ca="1"/>
        <v>-4.0656828079929594</v>
      </c>
      <c r="G48" s="7">
        <f ca="1"/>
        <v>4.1115532921517484E-2</v>
      </c>
      <c r="H48" s="10">
        <f ca="1"/>
        <v>56.746628085605231</v>
      </c>
      <c r="I48" s="7">
        <f ca="1"/>
        <v>-0.53020656150946155</v>
      </c>
      <c r="J48" s="7">
        <f ca="1"/>
        <v>4.3174961094041748</v>
      </c>
      <c r="K48">
        <f ca="1"/>
        <v>0</v>
      </c>
      <c r="L48">
        <f ca="1"/>
        <v>1.1156485371683686</v>
      </c>
    </row>
    <row r="49" spans="2:12" x14ac:dyDescent="0.35">
      <c r="B49">
        <v>3.9E-2</v>
      </c>
      <c r="C49">
        <f ca="1"/>
        <v>-5.5600610015666338E-3</v>
      </c>
      <c r="D49">
        <f ca="1"/>
        <v>1</v>
      </c>
      <c r="E49" s="11">
        <f ca="1"/>
        <v>99.810977652649427</v>
      </c>
      <c r="F49" s="10">
        <f ca="1"/>
        <v>-4.0238539939152842</v>
      </c>
      <c r="G49" s="7">
        <f ca="1"/>
        <v>4.0314743814238885E-2</v>
      </c>
      <c r="H49" s="10">
        <f ca="1"/>
        <v>52.722774091689949</v>
      </c>
      <c r="I49" s="7">
        <f ca="1"/>
        <v>-0.48989181769522266</v>
      </c>
      <c r="J49" s="7">
        <f ca="1"/>
        <v>3.826192823496271</v>
      </c>
      <c r="K49">
        <f ca="1"/>
        <v>0</v>
      </c>
      <c r="L49">
        <f ca="1"/>
        <v>0.18902234735057277</v>
      </c>
    </row>
    <row r="50" spans="2:12" x14ac:dyDescent="0.35">
      <c r="B50">
        <v>0.04</v>
      </c>
      <c r="C50">
        <f ca="1"/>
        <v>5.3004907502091653E-3</v>
      </c>
      <c r="D50">
        <f ca="1"/>
        <v>1</v>
      </c>
      <c r="E50" s="11">
        <f ca="1"/>
        <v>100.02601319784985</v>
      </c>
      <c r="F50" s="10">
        <f ca="1"/>
        <v>-0.93005682792803279</v>
      </c>
      <c r="G50" s="7">
        <f ca="1"/>
        <v>9.2981495332458697E-3</v>
      </c>
      <c r="H50" s="10">
        <f ca="1"/>
        <v>51.792717263761915</v>
      </c>
      <c r="I50" s="7">
        <f ca="1"/>
        <v>-0.48059366816197679</v>
      </c>
      <c r="J50" s="7">
        <f ca="1"/>
        <v>3.7208486693889569</v>
      </c>
      <c r="K50">
        <f ca="1"/>
        <v>0</v>
      </c>
      <c r="L50">
        <f ca="1"/>
        <v>0</v>
      </c>
    </row>
    <row r="51" spans="2:12" x14ac:dyDescent="0.35">
      <c r="B51">
        <v>4.1000000000000002E-2</v>
      </c>
      <c r="C51">
        <f ca="1"/>
        <v>-1.9806316607706596E-3</v>
      </c>
      <c r="D51">
        <f ca="1"/>
        <v>1</v>
      </c>
      <c r="E51" s="11">
        <f ca="1"/>
        <v>99.878461284979707</v>
      </c>
      <c r="F51" s="10">
        <f ca="1"/>
        <v>0.64686973553583904</v>
      </c>
      <c r="G51" s="7">
        <f ca="1"/>
        <v>-6.4765688939695254E-3</v>
      </c>
      <c r="H51" s="10">
        <f ca="1"/>
        <v>52.439586999297752</v>
      </c>
      <c r="I51" s="7">
        <f ca="1"/>
        <v>-0.48707023705594632</v>
      </c>
      <c r="J51" s="7">
        <f ca="1"/>
        <v>3.7917611844395296</v>
      </c>
      <c r="K51">
        <f ca="1"/>
        <v>0</v>
      </c>
      <c r="L51">
        <f ca="1"/>
        <v>0.1215387150202929</v>
      </c>
    </row>
    <row r="52" spans="2:12" x14ac:dyDescent="0.35">
      <c r="B52">
        <v>4.2000000000000003E-2</v>
      </c>
      <c r="C52">
        <f ca="1"/>
        <v>1.1017696990020913E-2</v>
      </c>
      <c r="D52">
        <f ca="1"/>
        <v>1</v>
      </c>
      <c r="E52" s="11">
        <f ca="1"/>
        <v>100.13644694405177</v>
      </c>
      <c r="F52" s="10">
        <f ca="1"/>
        <v>-1.1229052798870907</v>
      </c>
      <c r="G52" s="7">
        <f ca="1"/>
        <v>1.1213751976984765E-2</v>
      </c>
      <c r="H52" s="10">
        <f ca="1"/>
        <v>51.31668171941066</v>
      </c>
      <c r="I52" s="7">
        <f ca="1"/>
        <v>-0.47585648507896156</v>
      </c>
      <c r="J52" s="7">
        <f ca="1"/>
        <v>3.6661040483182603</v>
      </c>
      <c r="K52">
        <f ca="1"/>
        <v>0</v>
      </c>
      <c r="L52">
        <f ca="1"/>
        <v>0</v>
      </c>
    </row>
    <row r="53" spans="2:12" x14ac:dyDescent="0.35">
      <c r="B53">
        <v>4.3000000000000003E-2</v>
      </c>
      <c r="C53">
        <f ca="1"/>
        <v>5.1301919620410336E-2</v>
      </c>
      <c r="D53">
        <f ca="1"/>
        <v>1</v>
      </c>
      <c r="E53" s="11">
        <f ca="1"/>
        <v>100.94447063066492</v>
      </c>
      <c r="F53" s="10">
        <f ca="1"/>
        <v>-3.5333089128669144</v>
      </c>
      <c r="G53" s="7">
        <f ca="1"/>
        <v>3.5002500788721413E-2</v>
      </c>
      <c r="H53" s="10">
        <f ca="1"/>
        <v>47.783372806543746</v>
      </c>
      <c r="I53" s="7">
        <f ca="1"/>
        <v>-0.44085398429024014</v>
      </c>
      <c r="J53" s="7">
        <f ca="1"/>
        <v>3.2816007369459825</v>
      </c>
      <c r="K53">
        <f ca="1"/>
        <v>0</v>
      </c>
      <c r="L53">
        <f ca="1"/>
        <v>0</v>
      </c>
    </row>
    <row r="54" spans="2:12" x14ac:dyDescent="0.35">
      <c r="B54">
        <v>4.3999999999999997E-2</v>
      </c>
      <c r="C54">
        <f ca="1"/>
        <v>1.6283340233706166E-2</v>
      </c>
      <c r="D54">
        <f ca="1"/>
        <v>1</v>
      </c>
      <c r="E54" s="11">
        <f ca="1"/>
        <v>100.23794945610287</v>
      </c>
      <c r="F54" s="10">
        <f ca="1"/>
        <v>3.0691188333876633</v>
      </c>
      <c r="G54" s="7">
        <f ca="1"/>
        <v>-3.0618332178988961E-2</v>
      </c>
      <c r="H54" s="10">
        <f ca="1"/>
        <v>50.852491639931408</v>
      </c>
      <c r="I54" s="7">
        <f ca="1"/>
        <v>-0.4714723164692291</v>
      </c>
      <c r="J54" s="7">
        <f ca="1"/>
        <v>3.5930734117370875</v>
      </c>
      <c r="K54">
        <f ca="1"/>
        <v>0</v>
      </c>
      <c r="L54">
        <f ca="1"/>
        <v>0</v>
      </c>
    </row>
    <row r="55" spans="2:12" x14ac:dyDescent="0.35">
      <c r="B55">
        <v>4.4999999999999998E-2</v>
      </c>
      <c r="C55">
        <f ca="1"/>
        <v>2.8810076770350478E-2</v>
      </c>
      <c r="D55">
        <f ca="1"/>
        <v>1</v>
      </c>
      <c r="E55" s="11">
        <f ca="1"/>
        <v>100.48738541297151</v>
      </c>
      <c r="F55" s="10">
        <f ca="1"/>
        <v>-1.0943916572675978</v>
      </c>
      <c r="G55" s="7">
        <f ca="1"/>
        <v>1.0890836225561973E-2</v>
      </c>
      <c r="H55" s="10">
        <f ca="1"/>
        <v>49.758099982663808</v>
      </c>
      <c r="I55" s="7">
        <f ca="1"/>
        <v>-0.46058148024366713</v>
      </c>
      <c r="J55" s="7">
        <f ca="1"/>
        <v>3.475471263341511</v>
      </c>
      <c r="K55">
        <f ca="1"/>
        <v>0</v>
      </c>
      <c r="L55">
        <f ca="1"/>
        <v>0</v>
      </c>
    </row>
    <row r="56" spans="2:12" x14ac:dyDescent="0.35">
      <c r="B56">
        <v>4.5999999999999999E-2</v>
      </c>
      <c r="C56">
        <f ca="1"/>
        <v>3.352311899919528E-3</v>
      </c>
      <c r="D56">
        <f ca="1"/>
        <v>1</v>
      </c>
      <c r="E56" s="11">
        <f ca="1"/>
        <v>99.97504935119062</v>
      </c>
      <c r="F56" s="10">
        <f ca="1"/>
        <v>2.2501251378734115</v>
      </c>
      <c r="G56" s="7">
        <f ca="1"/>
        <v>-2.2506866988074303E-2</v>
      </c>
      <c r="H56" s="10">
        <f ca="1"/>
        <v>52.008225120537219</v>
      </c>
      <c r="I56" s="7">
        <f ca="1"/>
        <v>-0.48308834723174143</v>
      </c>
      <c r="J56" s="7">
        <f ca="1"/>
        <v>3.7114437650587604</v>
      </c>
      <c r="K56">
        <f ca="1"/>
        <v>0</v>
      </c>
      <c r="L56">
        <f ca="1"/>
        <v>2.4950648809380027E-2</v>
      </c>
    </row>
    <row r="57" spans="2:12" x14ac:dyDescent="0.35">
      <c r="B57">
        <v>4.7E-2</v>
      </c>
      <c r="C57">
        <f ca="1"/>
        <v>2.0209141031624717E-2</v>
      </c>
      <c r="D57">
        <f ca="1"/>
        <v>1</v>
      </c>
      <c r="E57" s="11">
        <f ca="1"/>
        <v>100.31066438532517</v>
      </c>
      <c r="F57" s="10">
        <f ca="1"/>
        <v>-1.4807916753520356</v>
      </c>
      <c r="G57" s="7">
        <f ca="1"/>
        <v>1.4762056302048243E-2</v>
      </c>
      <c r="H57" s="10">
        <f ca="1"/>
        <v>50.527433445185181</v>
      </c>
      <c r="I57" s="7">
        <f ca="1"/>
        <v>-0.46832629092969319</v>
      </c>
      <c r="J57" s="7">
        <f ca="1"/>
        <v>3.5493120529125761</v>
      </c>
      <c r="K57">
        <f ca="1"/>
        <v>0</v>
      </c>
      <c r="L57">
        <f ca="1"/>
        <v>0</v>
      </c>
    </row>
    <row r="58" spans="2:12" x14ac:dyDescent="0.35">
      <c r="B58">
        <v>4.8000000000000001E-2</v>
      </c>
      <c r="C58">
        <f ca="1"/>
        <v>4.7827131520429292E-2</v>
      </c>
      <c r="D58">
        <f ca="1"/>
        <v>1</v>
      </c>
      <c r="E58" s="11">
        <f ca="1"/>
        <v>100.86425594240379</v>
      </c>
      <c r="F58" s="10">
        <f ca="1"/>
        <v>-2.4474039929119948</v>
      </c>
      <c r="G58" s="7">
        <f ca="1"/>
        <v>2.426433398080613E-2</v>
      </c>
      <c r="H58" s="10">
        <f ca="1"/>
        <v>48.080029452273187</v>
      </c>
      <c r="I58" s="7">
        <f ca="1"/>
        <v>-0.44406195694888706</v>
      </c>
      <c r="J58" s="7">
        <f ca="1"/>
        <v>3.2900505722959537</v>
      </c>
      <c r="K58">
        <f ca="1"/>
        <v>0</v>
      </c>
      <c r="L58">
        <f ca="1"/>
        <v>0</v>
      </c>
    </row>
    <row r="59" spans="2:12" x14ac:dyDescent="0.35">
      <c r="B59">
        <v>4.9000000000000002E-2</v>
      </c>
      <c r="C59">
        <f ca="1"/>
        <v>4.0362565185544388E-2</v>
      </c>
      <c r="D59">
        <f ca="1"/>
        <v>1</v>
      </c>
      <c r="E59" s="11">
        <f ca="1"/>
        <v>100.71177244766088</v>
      </c>
      <c r="F59" s="10">
        <f ca="1"/>
        <v>0.66696477505761276</v>
      </c>
      <c r="G59" s="7">
        <f ca="1"/>
        <v>-6.6225105451721555E-3</v>
      </c>
      <c r="H59" s="10">
        <f ca="1"/>
        <v>48.746994227330802</v>
      </c>
      <c r="I59" s="7">
        <f ca="1"/>
        <v>-0.45068446749405922</v>
      </c>
      <c r="J59" s="7">
        <f ca="1"/>
        <v>3.3577626913738925</v>
      </c>
      <c r="K59">
        <f ca="1"/>
        <v>0</v>
      </c>
      <c r="L59">
        <f ca="1"/>
        <v>0</v>
      </c>
    </row>
    <row r="60" spans="2:12" x14ac:dyDescent="0.35">
      <c r="B60">
        <v>0.05</v>
      </c>
      <c r="C60">
        <f ca="1"/>
        <v>7.8444751639552029E-2</v>
      </c>
      <c r="D60">
        <f ca="1"/>
        <v>1</v>
      </c>
      <c r="E60" s="11">
        <f ca="1"/>
        <v>101.47973631318033</v>
      </c>
      <c r="F60" s="10">
        <f ca="1"/>
        <v>-3.3935199367595605</v>
      </c>
      <c r="G60" s="7">
        <f ca="1"/>
        <v>3.3440370068431147E-2</v>
      </c>
      <c r="H60" s="10">
        <f ca="1"/>
        <v>45.353474290571242</v>
      </c>
      <c r="I60" s="7">
        <f ca="1"/>
        <v>-0.41724409742562807</v>
      </c>
      <c r="J60" s="7">
        <f ca="1"/>
        <v>3.0116533055875863</v>
      </c>
      <c r="K60">
        <f ca="1"/>
        <v>0</v>
      </c>
      <c r="L60">
        <f ca="1"/>
        <v>0</v>
      </c>
    </row>
    <row r="61" spans="2:12" x14ac:dyDescent="0.35">
      <c r="B61">
        <v>5.1000000000000004E-2</v>
      </c>
      <c r="C61">
        <f ca="1"/>
        <v>7.9163605911121149E-2</v>
      </c>
      <c r="D61">
        <f ca="1"/>
        <v>1</v>
      </c>
      <c r="E61" s="11">
        <f ca="1"/>
        <v>101.49229732416684</v>
      </c>
      <c r="F61" s="10">
        <f ca="1"/>
        <v>-6.6836727462594503E-2</v>
      </c>
      <c r="G61" s="7">
        <f ca="1"/>
        <v>6.5853990130027018E-4</v>
      </c>
      <c r="H61" s="10">
        <f ca="1"/>
        <v>45.286637563108648</v>
      </c>
      <c r="I61" s="7">
        <f ca="1"/>
        <v>-0.4165855575243278</v>
      </c>
      <c r="J61" s="7">
        <f ca="1"/>
        <v>3.0064122978957641</v>
      </c>
      <c r="K61">
        <f ca="1"/>
        <v>0</v>
      </c>
      <c r="L61">
        <f ca="1"/>
        <v>0</v>
      </c>
    </row>
    <row r="62" spans="2:12" x14ac:dyDescent="0.35">
      <c r="B62">
        <v>5.2000000000000005E-2</v>
      </c>
      <c r="C62">
        <f ca="1"/>
        <v>0.1013665796396071</v>
      </c>
      <c r="D62">
        <f ca="1"/>
        <v>1</v>
      </c>
      <c r="E62" s="11">
        <f ca="1"/>
        <v>101.94194676718836</v>
      </c>
      <c r="F62" s="10">
        <f ca="1"/>
        <v>-1.9767606179915702</v>
      </c>
      <c r="G62" s="7">
        <f ca="1"/>
        <v>1.939104245778267E-2</v>
      </c>
      <c r="H62" s="10">
        <f ca="1"/>
        <v>43.309876945117075</v>
      </c>
      <c r="I62" s="7">
        <f ca="1"/>
        <v>-0.39719451506654513</v>
      </c>
      <c r="J62" s="7">
        <f ca="1"/>
        <v>2.8190948339841384</v>
      </c>
      <c r="K62">
        <f ca="1"/>
        <v>0</v>
      </c>
      <c r="L62">
        <f ca="1"/>
        <v>0</v>
      </c>
    </row>
    <row r="63" spans="2:12" x14ac:dyDescent="0.35">
      <c r="B63">
        <v>5.2999999999999999E-2</v>
      </c>
      <c r="C63">
        <f ca="1"/>
        <v>7.8986358466225523E-2</v>
      </c>
      <c r="D63">
        <f ca="1"/>
        <v>1</v>
      </c>
      <c r="E63" s="11">
        <f ca="1"/>
        <v>101.48464007106996</v>
      </c>
      <c r="F63" s="10">
        <f ca="1"/>
        <v>1.9771606111793871</v>
      </c>
      <c r="G63" s="7">
        <f ca="1"/>
        <v>-1.9482363141799353E-2</v>
      </c>
      <c r="H63" s="10">
        <f ca="1"/>
        <v>45.287037556296461</v>
      </c>
      <c r="I63" s="7">
        <f ca="1"/>
        <v>-0.41667687820834448</v>
      </c>
      <c r="J63" s="7">
        <f ca="1"/>
        <v>3.0007345453855692</v>
      </c>
      <c r="K63">
        <f ca="1"/>
        <v>0</v>
      </c>
      <c r="L63">
        <f ca="1"/>
        <v>0</v>
      </c>
    </row>
    <row r="64" spans="2:12" x14ac:dyDescent="0.35">
      <c r="B64">
        <v>5.3999999999999999E-2</v>
      </c>
      <c r="C64">
        <f ca="1"/>
        <v>2.9594186532927405E-2</v>
      </c>
      <c r="D64">
        <f ca="1"/>
        <v>1</v>
      </c>
      <c r="E64" s="11">
        <f ca="1"/>
        <v>100.48505633857259</v>
      </c>
      <c r="F64" s="10">
        <f ca="1"/>
        <v>4.4136679987239864</v>
      </c>
      <c r="G64" s="7">
        <f ca="1"/>
        <v>-4.3923625656860366E-2</v>
      </c>
      <c r="H64" s="10">
        <f ca="1"/>
        <v>49.700705555020448</v>
      </c>
      <c r="I64" s="7">
        <f ca="1"/>
        <v>-0.46060050386520485</v>
      </c>
      <c r="J64" s="7">
        <f ca="1"/>
        <v>3.4172379745504173</v>
      </c>
      <c r="K64">
        <f ca="1"/>
        <v>0</v>
      </c>
      <c r="L64">
        <f ca="1"/>
        <v>0</v>
      </c>
    </row>
    <row r="65" spans="2:12" x14ac:dyDescent="0.35">
      <c r="B65">
        <v>5.5E-2</v>
      </c>
      <c r="C65">
        <f ca="1"/>
        <v>1.9173953701127337E-2</v>
      </c>
      <c r="D65">
        <f ca="1"/>
        <v>1</v>
      </c>
      <c r="E65" s="11">
        <f ca="1"/>
        <v>100.27385336917072</v>
      </c>
      <c r="F65" s="10">
        <f ca="1"/>
        <v>0.94833376533791103</v>
      </c>
      <c r="G65" s="7">
        <f ca="1"/>
        <v>-9.457438140394403E-3</v>
      </c>
      <c r="H65" s="10">
        <f ca="1"/>
        <v>50.649039320358362</v>
      </c>
      <c r="I65" s="7">
        <f ca="1"/>
        <v>-0.47005794200559925</v>
      </c>
      <c r="J65" s="7">
        <f ca="1"/>
        <v>3.5145181686747478</v>
      </c>
      <c r="K65">
        <f ca="1"/>
        <v>0</v>
      </c>
      <c r="L65">
        <f ca="1"/>
        <v>0</v>
      </c>
    </row>
    <row r="66" spans="2:12" x14ac:dyDescent="0.35">
      <c r="B66">
        <v>5.6000000000000001E-2</v>
      </c>
      <c r="C66">
        <f ca="1"/>
        <v>2.5865203267991958E-2</v>
      </c>
      <c r="D66">
        <f ca="1"/>
        <v>1</v>
      </c>
      <c r="E66" s="11">
        <f ca="1"/>
        <v>100.40612653307646</v>
      </c>
      <c r="F66" s="10">
        <f ca="1"/>
        <v>-0.59603778988650258</v>
      </c>
      <c r="G66" s="7">
        <f ca="1"/>
        <v>5.9362691348336383E-3</v>
      </c>
      <c r="H66" s="10">
        <f ca="1"/>
        <v>50.05300153047186</v>
      </c>
      <c r="I66" s="7">
        <f ca="1"/>
        <v>-0.46412167287076561</v>
      </c>
      <c r="J66" s="7">
        <f ca="1"/>
        <v>3.4523421174666495</v>
      </c>
      <c r="K66">
        <f ca="1"/>
        <v>0</v>
      </c>
      <c r="L66">
        <f ca="1"/>
        <v>0</v>
      </c>
    </row>
    <row r="67" spans="2:12" x14ac:dyDescent="0.35">
      <c r="B67">
        <v>5.7000000000000002E-2</v>
      </c>
      <c r="C67">
        <f ca="1"/>
        <v>5.1667622586554933E-2</v>
      </c>
      <c r="D67">
        <f ca="1"/>
        <v>1</v>
      </c>
      <c r="E67" s="11">
        <f ca="1"/>
        <v>100.92359147695255</v>
      </c>
      <c r="F67" s="10">
        <f ca="1"/>
        <v>-2.3387611111948274</v>
      </c>
      <c r="G67" s="7">
        <f ca="1"/>
        <v>2.3173581884756045E-2</v>
      </c>
      <c r="H67" s="10">
        <f ca="1"/>
        <v>47.714240419277033</v>
      </c>
      <c r="I67" s="7">
        <f ca="1"/>
        <v>-0.44094809098600957</v>
      </c>
      <c r="J67" s="7">
        <f ca="1"/>
        <v>3.2121754220628986</v>
      </c>
      <c r="K67">
        <f ca="1"/>
        <v>0</v>
      </c>
      <c r="L67">
        <f ca="1"/>
        <v>0</v>
      </c>
    </row>
    <row r="68" spans="2:12" x14ac:dyDescent="0.35">
      <c r="B68">
        <v>5.8000000000000003E-2</v>
      </c>
      <c r="C68">
        <f ca="1"/>
        <v>2.076323376717383E-2</v>
      </c>
      <c r="D68">
        <f ca="1"/>
        <v>1</v>
      </c>
      <c r="E68" s="11">
        <f ca="1"/>
        <v>100.29971291910655</v>
      </c>
      <c r="F68" s="10">
        <f ca="1"/>
        <v>2.8063094066015783</v>
      </c>
      <c r="G68" s="7">
        <f ca="1"/>
        <v>-2.7979236679021358E-2</v>
      </c>
      <c r="H68" s="10">
        <f ca="1"/>
        <v>50.520549825878611</v>
      </c>
      <c r="I68" s="7">
        <f ca="1"/>
        <v>-0.46892732766503092</v>
      </c>
      <c r="J68" s="7">
        <f ca="1"/>
        <v>3.4872734811521937</v>
      </c>
      <c r="K68">
        <f ca="1"/>
        <v>0</v>
      </c>
      <c r="L68">
        <f ca="1"/>
        <v>0</v>
      </c>
    </row>
    <row r="69" spans="2:12" x14ac:dyDescent="0.35">
      <c r="B69">
        <v>5.9000000000000004E-2</v>
      </c>
      <c r="C69">
        <f ca="1"/>
        <v>7.2949219609253647E-3</v>
      </c>
      <c r="D69">
        <f ca="1"/>
        <v>1</v>
      </c>
      <c r="E69" s="11">
        <f ca="1"/>
        <v>100.02790233119498</v>
      </c>
      <c r="F69" s="10">
        <f ca="1"/>
        <v>1.2374449663885116</v>
      </c>
      <c r="G69" s="7">
        <f ca="1"/>
        <v>-1.2370997867088118E-2</v>
      </c>
      <c r="H69" s="10">
        <f ca="1"/>
        <v>51.75799479226712</v>
      </c>
      <c r="I69" s="7">
        <f ca="1"/>
        <v>-0.48129832553211904</v>
      </c>
      <c r="J69" s="7">
        <f ca="1"/>
        <v>3.6147328937726257</v>
      </c>
      <c r="K69">
        <f ca="1"/>
        <v>0</v>
      </c>
      <c r="L69">
        <f ca="1"/>
        <v>0</v>
      </c>
    </row>
    <row r="70" spans="2:12" x14ac:dyDescent="0.35">
      <c r="B70">
        <v>0.06</v>
      </c>
      <c r="C70">
        <f ca="1"/>
        <v>1.5059404398244134E-2</v>
      </c>
      <c r="D70">
        <f ca="1"/>
        <v>1</v>
      </c>
      <c r="E70" s="11">
        <f ca="1"/>
        <v>100.18135233276335</v>
      </c>
      <c r="F70" s="10">
        <f ca="1"/>
        <v>-0.69742123760611252</v>
      </c>
      <c r="G70" s="7">
        <f ca="1"/>
        <v>6.9615873749592772E-3</v>
      </c>
      <c r="H70" s="10">
        <f ca="1"/>
        <v>51.060573554661005</v>
      </c>
      <c r="I70" s="7">
        <f ca="1"/>
        <v>-0.47433673815715977</v>
      </c>
      <c r="J70" s="7">
        <f ca="1"/>
        <v>3.5408776649648672</v>
      </c>
      <c r="K70">
        <f ca="1"/>
        <v>0</v>
      </c>
      <c r="L70">
        <f ca="1"/>
        <v>0</v>
      </c>
    </row>
    <row r="71" spans="2:12" x14ac:dyDescent="0.35">
      <c r="B71">
        <v>6.0999999999999999E-2</v>
      </c>
      <c r="C71">
        <f ca="1"/>
        <v>6.8456483077280385E-3</v>
      </c>
      <c r="D71">
        <f ca="1"/>
        <v>1</v>
      </c>
      <c r="E71" s="11">
        <f ca="1"/>
        <v>100.01491407819263</v>
      </c>
      <c r="F71" s="10">
        <f ca="1"/>
        <v>0.76426192096184564</v>
      </c>
      <c r="G71" s="7">
        <f ca="1"/>
        <v>-7.6414795533827906E-3</v>
      </c>
      <c r="H71" s="10">
        <f ca="1"/>
        <v>51.824835475622848</v>
      </c>
      <c r="I71" s="7">
        <f ca="1"/>
        <v>-0.48197821771054256</v>
      </c>
      <c r="J71" s="7">
        <f ca="1"/>
        <v>3.6198254437425135</v>
      </c>
      <c r="K71">
        <f ca="1"/>
        <v>0</v>
      </c>
      <c r="L71">
        <f ca="1"/>
        <v>0</v>
      </c>
    </row>
    <row r="72" spans="2:12" x14ac:dyDescent="0.35">
      <c r="B72">
        <v>6.2E-2</v>
      </c>
      <c r="C72">
        <f ca="1"/>
        <v>-7.4647218755409736E-3</v>
      </c>
      <c r="D72">
        <f ca="1"/>
        <v>1</v>
      </c>
      <c r="E72" s="11">
        <f ca="1"/>
        <v>99.727078671764019</v>
      </c>
      <c r="F72" s="10">
        <f ca="1"/>
        <v>1.3260675408110312</v>
      </c>
      <c r="G72" s="7">
        <f ca="1"/>
        <v>-1.3296965663413984E-2</v>
      </c>
      <c r="H72" s="10">
        <f ca="1"/>
        <v>53.15090301643388</v>
      </c>
      <c r="I72" s="7">
        <f ca="1"/>
        <v>-0.49527518337395654</v>
      </c>
      <c r="J72" s="7">
        <f ca="1"/>
        <v>3.758555839926963</v>
      </c>
      <c r="K72">
        <f ca="1"/>
        <v>0</v>
      </c>
      <c r="L72">
        <f ca="1"/>
        <v>0.27292132823598081</v>
      </c>
    </row>
    <row r="73" spans="2:12" x14ac:dyDescent="0.35">
      <c r="B73">
        <v>6.3E-2</v>
      </c>
      <c r="C73">
        <f ca="1"/>
        <v>-2.3650550164431426E-2</v>
      </c>
      <c r="D73">
        <f ca="1"/>
        <v>1</v>
      </c>
      <c r="E73" s="11">
        <f ca="1"/>
        <v>99.402779490752351</v>
      </c>
      <c r="F73" s="10">
        <f ca="1"/>
        <v>1.5012628184782537</v>
      </c>
      <c r="G73" s="7">
        <f ca="1"/>
        <v>-1.5102825355280125E-2</v>
      </c>
      <c r="H73" s="10">
        <f ca="1"/>
        <v>54.652165834912132</v>
      </c>
      <c r="I73" s="7">
        <f ca="1"/>
        <v>-0.51037800872923667</v>
      </c>
      <c r="J73" s="7">
        <f ca="1"/>
        <v>3.9191731762705402</v>
      </c>
      <c r="K73">
        <f ca="1"/>
        <v>0</v>
      </c>
      <c r="L73">
        <f ca="1"/>
        <v>0.59722050924764858</v>
      </c>
    </row>
    <row r="74" spans="2:12" x14ac:dyDescent="0.35">
      <c r="B74">
        <v>6.4000000000000001E-2</v>
      </c>
      <c r="C74">
        <f ca="1"/>
        <v>1.0416543500106033E-2</v>
      </c>
      <c r="D74">
        <f ca="1"/>
        <v>1</v>
      </c>
      <c r="E74" s="11">
        <f ca="1"/>
        <v>100.08036314388688</v>
      </c>
      <c r="F74" s="10">
        <f ca="1"/>
        <v>-3.1314442959914963</v>
      </c>
      <c r="G74" s="7">
        <f ca="1"/>
        <v>3.1289297896425261E-2</v>
      </c>
      <c r="H74" s="10">
        <f ca="1"/>
        <v>51.52072153892064</v>
      </c>
      <c r="I74" s="7">
        <f ca="1"/>
        <v>-0.4790887108328114</v>
      </c>
      <c r="J74" s="7">
        <f ca="1"/>
        <v>3.5733493806362588</v>
      </c>
      <c r="K74">
        <f ca="1"/>
        <v>0</v>
      </c>
      <c r="L74">
        <f ca="1"/>
        <v>0</v>
      </c>
    </row>
    <row r="75" spans="2:12" x14ac:dyDescent="0.35">
      <c r="B75">
        <v>6.5000000000000002E-2</v>
      </c>
      <c r="C75">
        <f ca="1"/>
        <v>3.1152628949709445E-2</v>
      </c>
      <c r="D75">
        <f ca="1"/>
        <v>1</v>
      </c>
      <c r="E75" s="11">
        <f ca="1"/>
        <v>100.49427008337895</v>
      </c>
      <c r="F75" s="10">
        <f ca="1"/>
        <v>-1.9140818737981813</v>
      </c>
      <c r="G75" s="7">
        <f ca="1"/>
        <v>1.9046676713110999E-2</v>
      </c>
      <c r="H75" s="10">
        <f ca="1"/>
        <v>49.606639665122458</v>
      </c>
      <c r="I75" s="7">
        <f ca="1"/>
        <v>-0.4600420341197004</v>
      </c>
      <c r="J75" s="7">
        <f ca="1"/>
        <v>3.3750512385902525</v>
      </c>
      <c r="K75">
        <f ca="1"/>
        <v>0</v>
      </c>
      <c r="L75">
        <f ca="1"/>
        <v>0</v>
      </c>
    </row>
    <row r="76" spans="2:12" x14ac:dyDescent="0.35">
      <c r="B76">
        <v>6.6000000000000003E-2</v>
      </c>
      <c r="C76">
        <f ca="1"/>
        <v>1.5690061976330081E-2</v>
      </c>
      <c r="D76">
        <f ca="1"/>
        <v>1</v>
      </c>
      <c r="E76" s="11">
        <f ca="1"/>
        <v>100.18196659817291</v>
      </c>
      <c r="F76" s="10">
        <f ca="1"/>
        <v>1.4434845460297347</v>
      </c>
      <c r="G76" s="7">
        <f ca="1"/>
        <v>-1.4408626572679606E-2</v>
      </c>
      <c r="H76" s="10">
        <f ca="1"/>
        <v>51.050124211152195</v>
      </c>
      <c r="I76" s="7">
        <f ca="1"/>
        <v>-0.47445066069238001</v>
      </c>
      <c r="J76" s="7">
        <f ca="1"/>
        <v>3.5187239691871142</v>
      </c>
      <c r="K76">
        <f ca="1"/>
        <v>0</v>
      </c>
      <c r="L76">
        <f ca="1"/>
        <v>0</v>
      </c>
    </row>
    <row r="77" spans="2:12" x14ac:dyDescent="0.35">
      <c r="B77">
        <v>6.7000000000000004E-2</v>
      </c>
      <c r="C77">
        <f ca="1"/>
        <v>-5.0398110025783385E-4</v>
      </c>
      <c r="D77">
        <f ca="1"/>
        <v>1</v>
      </c>
      <c r="E77" s="11">
        <f ca="1"/>
        <v>99.856024122851181</v>
      </c>
      <c r="F77" s="10">
        <f ca="1"/>
        <v>1.5180723688892144</v>
      </c>
      <c r="G77" s="7">
        <f ca="1"/>
        <v>-1.5202611782555608E-2</v>
      </c>
      <c r="H77" s="10">
        <f ca="1"/>
        <v>52.568196580041409</v>
      </c>
      <c r="I77" s="7">
        <f ca="1"/>
        <v>-0.48965327247493562</v>
      </c>
      <c r="J77" s="7">
        <f ca="1"/>
        <v>3.6733675919512123</v>
      </c>
      <c r="K77">
        <f ca="1"/>
        <v>0</v>
      </c>
      <c r="L77">
        <f ca="1"/>
        <v>0.14397587714881865</v>
      </c>
    </row>
    <row r="78" spans="2:12" x14ac:dyDescent="0.35">
      <c r="B78">
        <v>6.8000000000000005E-2</v>
      </c>
      <c r="C78">
        <f ca="1"/>
        <v>2.7775508479435128E-2</v>
      </c>
      <c r="D78">
        <f ca="1"/>
        <v>1</v>
      </c>
      <c r="E78" s="11">
        <f ca="1"/>
        <v>100.42039134527695</v>
      </c>
      <c r="F78" s="10">
        <f ca="1"/>
        <v>-2.6346539837233571</v>
      </c>
      <c r="G78" s="7">
        <f ca="1"/>
        <v>2.6236244934204511E-2</v>
      </c>
      <c r="H78" s="10">
        <f ca="1"/>
        <v>49.933542596318048</v>
      </c>
      <c r="I78" s="7">
        <f ca="1"/>
        <v>-0.46341702754073111</v>
      </c>
      <c r="J78" s="7">
        <f ca="1"/>
        <v>3.3970233346128396</v>
      </c>
      <c r="K78">
        <f ca="1"/>
        <v>0</v>
      </c>
      <c r="L78">
        <f ca="1"/>
        <v>0</v>
      </c>
    </row>
    <row r="79" spans="2:12" x14ac:dyDescent="0.35">
      <c r="B79">
        <v>6.9000000000000006E-2</v>
      </c>
      <c r="C79">
        <f ca="1"/>
        <v>1.4590843244244575E-2</v>
      </c>
      <c r="D79">
        <f ca="1"/>
        <v>1</v>
      </c>
      <c r="E79" s="11">
        <f ca="1"/>
        <v>100.15393522370199</v>
      </c>
      <c r="F79" s="10">
        <f ca="1"/>
        <v>1.2432429734753316</v>
      </c>
      <c r="G79" s="7">
        <f ca="1"/>
        <v>-1.24133212609015E-2</v>
      </c>
      <c r="H79" s="10">
        <f ca="1"/>
        <v>51.176785569793381</v>
      </c>
      <c r="I79" s="7">
        <f ca="1"/>
        <v>-0.47583034880163261</v>
      </c>
      <c r="J79" s="7">
        <f ca="1"/>
        <v>3.5205036384431452</v>
      </c>
      <c r="K79">
        <f ca="1"/>
        <v>0</v>
      </c>
      <c r="L79">
        <f ca="1"/>
        <v>0</v>
      </c>
    </row>
    <row r="80" spans="2:12" x14ac:dyDescent="0.35">
      <c r="B80">
        <v>7.0000000000000007E-2</v>
      </c>
      <c r="C80">
        <f ca="1"/>
        <v>1.6825165250478152E-2</v>
      </c>
      <c r="D80">
        <f ca="1"/>
        <v>1</v>
      </c>
      <c r="E80" s="11">
        <f ca="1"/>
        <v>100.19669649927761</v>
      </c>
      <c r="F80" s="10">
        <f ca="1"/>
        <v>-0.19799380484849452</v>
      </c>
      <c r="G80" s="7">
        <f ca="1"/>
        <v>1.9760512249016315E-3</v>
      </c>
      <c r="H80" s="10">
        <f ca="1"/>
        <v>50.978791764944887</v>
      </c>
      <c r="I80" s="7">
        <f ca="1"/>
        <v>-0.47385429757673098</v>
      </c>
      <c r="J80" s="7">
        <f ca="1"/>
        <v>3.5001565257707981</v>
      </c>
      <c r="K80">
        <f ca="1"/>
        <v>0</v>
      </c>
      <c r="L80">
        <f ca="1"/>
        <v>0</v>
      </c>
    </row>
    <row r="81" spans="2:12" x14ac:dyDescent="0.35">
      <c r="B81">
        <v>7.1000000000000008E-2</v>
      </c>
      <c r="C81">
        <f ca="1"/>
        <v>5.189813896035364E-2</v>
      </c>
      <c r="D81">
        <f ca="1"/>
        <v>1</v>
      </c>
      <c r="E81" s="11">
        <f ca="1"/>
        <v>100.89998853983909</v>
      </c>
      <c r="F81" s="10">
        <f ca="1"/>
        <v>-3.305395784927458</v>
      </c>
      <c r="G81" s="7">
        <f ca="1"/>
        <v>3.275912943857634E-2</v>
      </c>
      <c r="H81" s="10">
        <f ca="1"/>
        <v>47.673395980017432</v>
      </c>
      <c r="I81" s="7">
        <f ca="1"/>
        <v>-0.44109516813815464</v>
      </c>
      <c r="J81" s="7">
        <f ca="1"/>
        <v>3.1668985698992316</v>
      </c>
      <c r="K81">
        <f ca="1"/>
        <v>0</v>
      </c>
      <c r="L81">
        <f ca="1"/>
        <v>0</v>
      </c>
    </row>
    <row r="82" spans="2:12" x14ac:dyDescent="0.35">
      <c r="B82">
        <v>7.2000000000000008E-2</v>
      </c>
      <c r="C82">
        <f ca="1"/>
        <v>3.7495165957296635E-2</v>
      </c>
      <c r="D82">
        <f ca="1"/>
        <v>1</v>
      </c>
      <c r="E82" s="11">
        <f ca="1"/>
        <v>100.60774262623784</v>
      </c>
      <c r="F82" s="10">
        <f ca="1"/>
        <v>1.3607323261365989</v>
      </c>
      <c r="G82" s="7">
        <f ca="1"/>
        <v>-1.3525125309607422E-2</v>
      </c>
      <c r="H82" s="10">
        <f ca="1"/>
        <v>49.034128306154031</v>
      </c>
      <c r="I82" s="7">
        <f ca="1"/>
        <v>-0.45462029344776206</v>
      </c>
      <c r="J82" s="7">
        <f ca="1"/>
        <v>3.2958068302968684</v>
      </c>
      <c r="K82">
        <f ca="1"/>
        <v>0</v>
      </c>
      <c r="L82">
        <f ca="1"/>
        <v>0</v>
      </c>
    </row>
    <row r="83" spans="2:12" x14ac:dyDescent="0.35">
      <c r="B83">
        <v>7.2999999999999995E-2</v>
      </c>
      <c r="C83">
        <f ca="1"/>
        <v>5.5200711624743798E-2</v>
      </c>
      <c r="D83">
        <f ca="1"/>
        <v>1</v>
      </c>
      <c r="E83" s="11">
        <f ca="1"/>
        <v>100.96261787829306</v>
      </c>
      <c r="F83" s="10">
        <f ca="1"/>
        <v>-1.6734651015750446</v>
      </c>
      <c r="G83" s="7">
        <f ca="1"/>
        <v>1.6575096176610127E-2</v>
      </c>
      <c r="H83" s="10">
        <f ca="1"/>
        <v>47.360663204578984</v>
      </c>
      <c r="I83" s="7">
        <f ca="1"/>
        <v>-0.43804519727115193</v>
      </c>
      <c r="J83" s="7">
        <f ca="1"/>
        <v>3.1344733390701691</v>
      </c>
      <c r="K83">
        <f ca="1"/>
        <v>0</v>
      </c>
      <c r="L83">
        <f ca="1"/>
        <v>0</v>
      </c>
    </row>
    <row r="84" spans="2:12" x14ac:dyDescent="0.35">
      <c r="B84">
        <v>7.3999999999999996E-2</v>
      </c>
      <c r="C84">
        <f ca="1"/>
        <v>0.10719907039744872</v>
      </c>
      <c r="D84">
        <f ca="1"/>
        <v>1</v>
      </c>
      <c r="E84" s="11">
        <f ca="1"/>
        <v>102.01603431205557</v>
      </c>
      <c r="F84" s="10">
        <f ca="1"/>
        <v>-4.9217333350212531</v>
      </c>
      <c r="G84" s="7">
        <f ca="1"/>
        <v>4.8244703572442593E-2</v>
      </c>
      <c r="H84" s="10">
        <f ca="1"/>
        <v>42.438929869557732</v>
      </c>
      <c r="I84" s="7">
        <f ca="1"/>
        <v>-0.38980049369870934</v>
      </c>
      <c r="J84" s="7">
        <f ca="1"/>
        <v>2.6730293295340033</v>
      </c>
      <c r="K84">
        <f ca="1"/>
        <v>0</v>
      </c>
      <c r="L84">
        <f ca="1"/>
        <v>0</v>
      </c>
    </row>
    <row r="85" spans="2:12" x14ac:dyDescent="0.35">
      <c r="B85">
        <v>7.4999999999999997E-2</v>
      </c>
      <c r="C85">
        <f ca="1"/>
        <v>0.13628795534023819</v>
      </c>
      <c r="D85">
        <f ca="1"/>
        <v>1</v>
      </c>
      <c r="E85" s="11">
        <f ca="1"/>
        <v>102.6092184412837</v>
      </c>
      <c r="F85" s="10">
        <f ca="1"/>
        <v>-2.7208606902315657</v>
      </c>
      <c r="G85" s="7">
        <f ca="1"/>
        <v>2.6516727556876674E-2</v>
      </c>
      <c r="H85" s="10">
        <f ca="1"/>
        <v>39.718069179326164</v>
      </c>
      <c r="I85" s="7">
        <f ca="1"/>
        <v>-0.36328376614183266</v>
      </c>
      <c r="J85" s="7">
        <f ca="1"/>
        <v>2.4418058631066302</v>
      </c>
      <c r="K85">
        <f ca="1"/>
        <v>0</v>
      </c>
      <c r="L85">
        <f ca="1"/>
        <v>0</v>
      </c>
    </row>
    <row r="86" spans="2:12" x14ac:dyDescent="0.35">
      <c r="B86">
        <v>7.5999999999999998E-2</v>
      </c>
      <c r="C86">
        <f ca="1"/>
        <v>0.13309752967416005</v>
      </c>
      <c r="D86">
        <f ca="1"/>
        <v>1</v>
      </c>
      <c r="E86" s="11">
        <f ca="1"/>
        <v>102.54171505402059</v>
      </c>
      <c r="F86" s="10">
        <f ca="1"/>
        <v>0.2745034307731109</v>
      </c>
      <c r="G86" s="7">
        <f ca="1"/>
        <v>-2.6769927792654746E-3</v>
      </c>
      <c r="H86" s="10">
        <f ca="1"/>
        <v>39.992572610099273</v>
      </c>
      <c r="I86" s="7">
        <f ca="1"/>
        <v>-0.36596075892109814</v>
      </c>
      <c r="J86" s="7">
        <f ca="1"/>
        <v>2.4663287478589027</v>
      </c>
      <c r="K86">
        <f ca="1"/>
        <v>0</v>
      </c>
      <c r="L86">
        <f ca="1"/>
        <v>0</v>
      </c>
    </row>
    <row r="87" spans="2:12" x14ac:dyDescent="0.35">
      <c r="B87">
        <v>7.6999999999999999E-2</v>
      </c>
      <c r="C87">
        <f ca="1"/>
        <v>0.17632558788685623</v>
      </c>
      <c r="D87">
        <f ca="1"/>
        <v>1</v>
      </c>
      <c r="E87" s="11">
        <f ca="1"/>
        <v>103.43002566882105</v>
      </c>
      <c r="F87" s="10">
        <f ca="1"/>
        <v>-3.9847886436554147</v>
      </c>
      <c r="G87" s="7">
        <f ca="1"/>
        <v>3.8526420329958677E-2</v>
      </c>
      <c r="H87" s="10">
        <f ca="1"/>
        <v>36.00778396644386</v>
      </c>
      <c r="I87" s="7">
        <f ca="1"/>
        <v>-0.32743433859113946</v>
      </c>
      <c r="J87" s="7">
        <f ca="1"/>
        <v>2.1412419211088647</v>
      </c>
      <c r="K87">
        <f ca="1"/>
        <v>0</v>
      </c>
      <c r="L87">
        <f ca="1"/>
        <v>0</v>
      </c>
    </row>
    <row r="88" spans="2:12" x14ac:dyDescent="0.35">
      <c r="B88">
        <v>7.8E-2</v>
      </c>
      <c r="C88">
        <f ca="1"/>
        <v>0.13616014379941602</v>
      </c>
      <c r="D88">
        <f ca="1"/>
        <v>1</v>
      </c>
      <c r="E88" s="11">
        <f ca="1"/>
        <v>102.60043933530056</v>
      </c>
      <c r="F88" s="10">
        <f ca="1"/>
        <v>3.6288324538707153</v>
      </c>
      <c r="G88" s="7">
        <f ca="1"/>
        <v>-3.5368585918151951E-2</v>
      </c>
      <c r="H88" s="10">
        <f ca="1"/>
        <v>39.636616420314574</v>
      </c>
      <c r="I88" s="7">
        <f ca="1"/>
        <v>-0.36280292450929141</v>
      </c>
      <c r="J88" s="7">
        <f ca="1"/>
        <v>2.4128769735293929</v>
      </c>
      <c r="K88">
        <f ca="1"/>
        <v>0</v>
      </c>
      <c r="L88">
        <f ca="1"/>
        <v>0</v>
      </c>
    </row>
    <row r="89" spans="2:12" x14ac:dyDescent="0.35">
      <c r="B89">
        <v>7.9000000000000001E-2</v>
      </c>
      <c r="C89">
        <f ca="1"/>
        <v>0.12101019938743678</v>
      </c>
      <c r="D89">
        <f ca="1"/>
        <v>1</v>
      </c>
      <c r="E89" s="11">
        <f ca="1"/>
        <v>102.28798586801442</v>
      </c>
      <c r="F89" s="10">
        <f ca="1"/>
        <v>1.3934634962655303</v>
      </c>
      <c r="G89" s="7">
        <f ca="1"/>
        <v>-1.3622943930713061E-2</v>
      </c>
      <c r="H89" s="10">
        <f ca="1"/>
        <v>41.030079916580107</v>
      </c>
      <c r="I89" s="7">
        <f ca="1"/>
        <v>-0.37642586844000447</v>
      </c>
      <c r="J89" s="7">
        <f ca="1"/>
        <v>2.5262360052338764</v>
      </c>
      <c r="K89">
        <f ca="1"/>
        <v>0</v>
      </c>
      <c r="L89">
        <f ca="1"/>
        <v>0</v>
      </c>
    </row>
    <row r="90" spans="2:12" x14ac:dyDescent="0.35">
      <c r="B90">
        <v>0.08</v>
      </c>
      <c r="C90">
        <f ca="1"/>
        <v>8.4288647811063433E-2</v>
      </c>
      <c r="D90">
        <f ca="1"/>
        <v>1</v>
      </c>
      <c r="E90" s="11">
        <f ca="1"/>
        <v>101.53747229785581</v>
      </c>
      <c r="F90" s="10">
        <f ca="1"/>
        <v>3.459831804501472</v>
      </c>
      <c r="G90" s="7">
        <f ca="1"/>
        <v>-3.407443307582253E-2</v>
      </c>
      <c r="H90" s="10">
        <f ca="1"/>
        <v>44.489911721081576</v>
      </c>
      <c r="I90" s="7">
        <f ca="1"/>
        <v>-0.410500301515827</v>
      </c>
      <c r="J90" s="7">
        <f ca="1"/>
        <v>2.8087487276568339</v>
      </c>
      <c r="K90">
        <f ca="1"/>
        <v>0</v>
      </c>
      <c r="L90">
        <f ca="1"/>
        <v>0</v>
      </c>
    </row>
    <row r="91" spans="2:12" x14ac:dyDescent="0.35">
      <c r="B91">
        <v>8.1000000000000003E-2</v>
      </c>
      <c r="C91">
        <f ca="1"/>
        <v>0.1209531054919554</v>
      </c>
      <c r="D91">
        <f ca="1"/>
        <v>1</v>
      </c>
      <c r="E91" s="11">
        <f ca="1"/>
        <v>102.2827264798817</v>
      </c>
      <c r="F91" s="10">
        <f ca="1"/>
        <v>-3.5141841799769749</v>
      </c>
      <c r="G91" s="7">
        <f ca="1"/>
        <v>3.4357552843179151E-2</v>
      </c>
      <c r="H91" s="10">
        <f ca="1"/>
        <v>40.975727541104604</v>
      </c>
      <c r="I91" s="7">
        <f ca="1"/>
        <v>-0.37614274867264785</v>
      </c>
      <c r="J91" s="7">
        <f ca="1"/>
        <v>2.5028216612292766</v>
      </c>
      <c r="K91">
        <f ca="1"/>
        <v>0</v>
      </c>
      <c r="L91">
        <f ca="1"/>
        <v>0</v>
      </c>
    </row>
    <row r="92" spans="2:12" x14ac:dyDescent="0.35">
      <c r="B92">
        <v>8.2000000000000003E-2</v>
      </c>
      <c r="C92">
        <f ca="1"/>
        <v>0.11766467732304105</v>
      </c>
      <c r="D92">
        <f ca="1"/>
        <v>1</v>
      </c>
      <c r="E92" s="11">
        <f ca="1"/>
        <v>102.21343442732834</v>
      </c>
      <c r="F92" s="10">
        <f ca="1"/>
        <v>0.29414677656019594</v>
      </c>
      <c r="G92" s="7">
        <f ca="1"/>
        <v>-2.8777702090553303E-3</v>
      </c>
      <c r="H92" s="10">
        <f ca="1"/>
        <v>41.269874317664801</v>
      </c>
      <c r="I92" s="7">
        <f ca="1"/>
        <v>-0.37902051888170318</v>
      </c>
      <c r="J92" s="7">
        <f ca="1"/>
        <v>2.5288853643378673</v>
      </c>
      <c r="K92">
        <f ca="1"/>
        <v>0</v>
      </c>
      <c r="L92">
        <f ca="1"/>
        <v>0</v>
      </c>
    </row>
    <row r="93" spans="2:12" x14ac:dyDescent="0.35">
      <c r="B93">
        <v>8.3000000000000004E-2</v>
      </c>
      <c r="C93">
        <f ca="1"/>
        <v>0.1297626943772969</v>
      </c>
      <c r="D93">
        <f ca="1"/>
        <v>1</v>
      </c>
      <c r="E93" s="11">
        <f ca="1"/>
        <v>102.45900064615027</v>
      </c>
      <c r="F93" s="10">
        <f ca="1"/>
        <v>-1.1652563943419896</v>
      </c>
      <c r="G93" s="7">
        <f ca="1"/>
        <v>1.1372904156720098E-2</v>
      </c>
      <c r="H93" s="10">
        <f ca="1"/>
        <v>40.104617923322813</v>
      </c>
      <c r="I93" s="7">
        <f ca="1"/>
        <v>-0.36764761472498309</v>
      </c>
      <c r="J93" s="7">
        <f ca="1"/>
        <v>2.4358107286601651</v>
      </c>
      <c r="K93">
        <f ca="1"/>
        <v>0</v>
      </c>
      <c r="L93">
        <f ca="1"/>
        <v>0</v>
      </c>
    </row>
    <row r="94" spans="2:12" x14ac:dyDescent="0.35">
      <c r="B94">
        <v>8.4000000000000005E-2</v>
      </c>
      <c r="C94">
        <f ca="1"/>
        <v>0.10119112599830091</v>
      </c>
      <c r="D94">
        <f ca="1"/>
        <v>1</v>
      </c>
      <c r="E94" s="11">
        <f ca="1"/>
        <v>101.87314992877164</v>
      </c>
      <c r="F94" s="10">
        <f ca="1"/>
        <v>2.7010124006361873</v>
      </c>
      <c r="G94" s="7">
        <f ca="1"/>
        <v>-2.6513486650061369E-2</v>
      </c>
      <c r="H94" s="10">
        <f ca="1"/>
        <v>42.805630323959001</v>
      </c>
      <c r="I94" s="7">
        <f ca="1"/>
        <v>-0.39416110137504445</v>
      </c>
      <c r="J94" s="7">
        <f ca="1"/>
        <v>2.6511973474893367</v>
      </c>
      <c r="K94">
        <f ca="1"/>
        <v>0</v>
      </c>
      <c r="L94">
        <f ca="1"/>
        <v>0</v>
      </c>
    </row>
    <row r="95" spans="2:12" x14ac:dyDescent="0.35">
      <c r="B95">
        <v>8.5000000000000006E-2</v>
      </c>
      <c r="C95">
        <f ca="1"/>
        <v>0.12096124385515979</v>
      </c>
      <c r="D95">
        <f ca="1"/>
        <v>1</v>
      </c>
      <c r="E95" s="11">
        <f ca="1"/>
        <v>102.27471065867222</v>
      </c>
      <c r="F95" s="10">
        <f ca="1"/>
        <v>-1.9147499153961505</v>
      </c>
      <c r="G95" s="7">
        <f ca="1"/>
        <v>1.8721636102069894E-2</v>
      </c>
      <c r="H95" s="10">
        <f ca="1"/>
        <v>40.89088040856285</v>
      </c>
      <c r="I95" s="7">
        <f ca="1"/>
        <v>-0.37543946527297456</v>
      </c>
      <c r="J95" s="7">
        <f ca="1"/>
        <v>2.4929177279227588</v>
      </c>
      <c r="K95">
        <f ca="1"/>
        <v>0</v>
      </c>
      <c r="L95">
        <f ca="1"/>
        <v>0</v>
      </c>
    </row>
    <row r="96" spans="2:12" x14ac:dyDescent="0.35">
      <c r="B96">
        <v>8.6000000000000007E-2</v>
      </c>
      <c r="C96">
        <f ca="1"/>
        <v>0.15703795327535222</v>
      </c>
      <c r="D96">
        <f ca="1"/>
        <v>1</v>
      </c>
      <c r="E96" s="11">
        <f ca="1"/>
        <v>103.01326606083232</v>
      </c>
      <c r="F96" s="10">
        <f ca="1"/>
        <v>-3.4457464370821693</v>
      </c>
      <c r="G96" s="7">
        <f ca="1"/>
        <v>3.3449540713012205E-2</v>
      </c>
      <c r="H96" s="10">
        <f ca="1"/>
        <v>37.445133971480679</v>
      </c>
      <c r="I96" s="7">
        <f ca="1"/>
        <v>-0.34198992455996235</v>
      </c>
      <c r="J96" s="7">
        <f ca="1"/>
        <v>2.2156348826613055</v>
      </c>
      <c r="K96">
        <f ca="1"/>
        <v>0</v>
      </c>
      <c r="L96">
        <f ca="1"/>
        <v>0</v>
      </c>
    </row>
    <row r="97" spans="2:12" x14ac:dyDescent="0.35">
      <c r="B97">
        <v>8.7000000000000008E-2</v>
      </c>
      <c r="C97">
        <f ca="1"/>
        <v>0.15341022614562833</v>
      </c>
      <c r="D97">
        <f ca="1"/>
        <v>1</v>
      </c>
      <c r="E97" s="11">
        <f ca="1"/>
        <v>102.93649361373849</v>
      </c>
      <c r="F97" s="10">
        <f ca="1"/>
        <v>0.31177803591814579</v>
      </c>
      <c r="G97" s="7">
        <f ca="1"/>
        <v>-3.0288387040661169E-3</v>
      </c>
      <c r="H97" s="10">
        <f ca="1"/>
        <v>37.756912007398824</v>
      </c>
      <c r="I97" s="7">
        <f ca="1"/>
        <v>-0.34501876326402847</v>
      </c>
      <c r="J97" s="7">
        <f ca="1"/>
        <v>2.241890286051202</v>
      </c>
      <c r="K97">
        <f ca="1"/>
        <v>0</v>
      </c>
      <c r="L97">
        <f ca="1"/>
        <v>0</v>
      </c>
    </row>
    <row r="98" spans="2:12" x14ac:dyDescent="0.35">
      <c r="B98">
        <v>8.7999999999999995E-2</v>
      </c>
      <c r="C98">
        <f ca="1"/>
        <v>0.20130260058881777</v>
      </c>
      <c r="D98">
        <f ca="1"/>
        <v>1</v>
      </c>
      <c r="E98" s="11">
        <f ca="1"/>
        <v>103.92512688908893</v>
      </c>
      <c r="F98" s="10">
        <f ca="1"/>
        <v>-4.4659770030945225</v>
      </c>
      <c r="G98" s="7">
        <f ca="1"/>
        <v>4.2973024299125528E-2</v>
      </c>
      <c r="H98" s="10">
        <f ca="1"/>
        <v>33.290935004304302</v>
      </c>
      <c r="I98" s="7">
        <f ca="1"/>
        <v>-0.30204573896490294</v>
      </c>
      <c r="J98" s="7">
        <f ca="1"/>
        <v>1.9007932560681304</v>
      </c>
      <c r="K98">
        <f ca="1"/>
        <v>0</v>
      </c>
      <c r="L98">
        <f ca="1"/>
        <v>0</v>
      </c>
    </row>
    <row r="99" spans="2:12" x14ac:dyDescent="0.35">
      <c r="B99">
        <v>8.8999999999999996E-2</v>
      </c>
      <c r="C99">
        <f ca="1"/>
        <v>0.21397255782581645</v>
      </c>
      <c r="D99">
        <f ca="1"/>
        <v>1</v>
      </c>
      <c r="E99" s="11">
        <f ca="1"/>
        <v>104.18672245598997</v>
      </c>
      <c r="F99" s="10">
        <f ca="1"/>
        <v>-1.1774562852035053</v>
      </c>
      <c r="G99" s="7">
        <f ca="1"/>
        <v>1.1301404415527905E-2</v>
      </c>
      <c r="H99" s="10">
        <f ca="1"/>
        <v>32.113478719100797</v>
      </c>
      <c r="I99" s="7">
        <f ca="1"/>
        <v>-0.29074433454937504</v>
      </c>
      <c r="J99">
        <f ca="1"/>
        <v>1.8217794297535654</v>
      </c>
      <c r="K99">
        <f ca="1"/>
        <v>0</v>
      </c>
      <c r="L99">
        <f ca="1"/>
        <v>0</v>
      </c>
    </row>
    <row r="100" spans="2:12" x14ac:dyDescent="0.35">
      <c r="B100">
        <v>0.09</v>
      </c>
      <c r="C100">
        <f ca="1"/>
        <v>0.22782899494291647</v>
      </c>
      <c r="D100">
        <f ca="1"/>
        <v>1</v>
      </c>
      <c r="E100" s="11">
        <f ca="1"/>
        <v>104.47376476204798</v>
      </c>
      <c r="F100" s="10">
        <f ca="1"/>
        <v>-1.2711137339951024</v>
      </c>
      <c r="G100" s="7">
        <f ca="1"/>
        <v>1.2166822329895188E-2</v>
      </c>
      <c r="H100" s="10">
        <f ca="1"/>
        <v>30.842364985105696</v>
      </c>
      <c r="I100" s="7">
        <f ca="1"/>
        <v>-0.27857751221947985</v>
      </c>
      <c r="J100">
        <f ca="1"/>
        <v>1.7383235054912127</v>
      </c>
      <c r="K100">
        <f ca="1"/>
        <v>0</v>
      </c>
      <c r="L100">
        <f ca="1"/>
        <v>0</v>
      </c>
    </row>
    <row r="101" spans="2:12" x14ac:dyDescent="0.35">
      <c r="B101">
        <v>9.0999999999999998E-2</v>
      </c>
      <c r="C101">
        <f ca="1"/>
        <v>0.15182793457347937</v>
      </c>
      <c r="D101">
        <f ca="1"/>
        <v>1</v>
      </c>
      <c r="E101" s="11">
        <f ca="1"/>
        <v>102.8956916736557</v>
      </c>
      <c r="F101" s="10">
        <f ca="1"/>
        <v>6.874027299062158</v>
      </c>
      <c r="G101" s="7">
        <f ca="1"/>
        <v>-6.6805783480846259E-2</v>
      </c>
      <c r="H101" s="10">
        <f ca="1"/>
        <v>37.716392284167853</v>
      </c>
      <c r="I101" s="7">
        <f ca="1"/>
        <v>-0.34538329570032611</v>
      </c>
      <c r="J101">
        <f ca="1"/>
        <v>2.177939180556038</v>
      </c>
      <c r="K101">
        <f ca="1"/>
        <v>0</v>
      </c>
      <c r="L101">
        <f ca="1"/>
        <v>0</v>
      </c>
    </row>
    <row r="102" spans="2:12" x14ac:dyDescent="0.35">
      <c r="B102">
        <v>9.1999999999999998E-2</v>
      </c>
      <c r="C102">
        <f ca="1"/>
        <v>0.13099243504810709</v>
      </c>
      <c r="D102">
        <f ca="1"/>
        <v>1</v>
      </c>
      <c r="E102" s="11">
        <f ca="1"/>
        <v>102.46575784888098</v>
      </c>
      <c r="F102" s="10">
        <f ca="1"/>
        <v>1.9705391102662928</v>
      </c>
      <c r="G102" s="7">
        <f ca="1"/>
        <v>-1.9231196368766357E-2</v>
      </c>
      <c r="H102" s="10">
        <f ca="1"/>
        <v>39.686931394434147</v>
      </c>
      <c r="I102" s="7">
        <f ca="1"/>
        <v>-0.36461449206909247</v>
      </c>
      <c r="J102">
        <f ca="1"/>
        <v>2.3264311418897847</v>
      </c>
      <c r="K102">
        <f ca="1"/>
        <v>0</v>
      </c>
      <c r="L102">
        <f ca="1"/>
        <v>0</v>
      </c>
    </row>
    <row r="103" spans="2:12" x14ac:dyDescent="0.35">
      <c r="B103">
        <v>9.2999999999999999E-2</v>
      </c>
      <c r="C103">
        <f ca="1"/>
        <v>0.1493337941975614</v>
      </c>
      <c r="D103">
        <f ca="1"/>
        <v>1</v>
      </c>
      <c r="E103" s="11">
        <f ca="1"/>
        <v>102.84026352063007</v>
      </c>
      <c r="F103" s="10">
        <f ca="1"/>
        <v>-1.7964427431486585</v>
      </c>
      <c r="G103" s="7">
        <f ca="1"/>
        <v>1.7468282184907924E-2</v>
      </c>
      <c r="H103" s="10">
        <f ca="1"/>
        <v>37.890488651285487</v>
      </c>
      <c r="I103" s="7">
        <f ca="1"/>
        <v>-0.34714620988418454</v>
      </c>
      <c r="J103">
        <f ca="1"/>
        <v>2.1898809466079925</v>
      </c>
      <c r="K103">
        <f ca="1"/>
        <v>0</v>
      </c>
      <c r="L103">
        <f ca="1"/>
        <v>0</v>
      </c>
    </row>
    <row r="104" spans="2:12" x14ac:dyDescent="0.35">
      <c r="B104">
        <v>9.4E-2</v>
      </c>
      <c r="C104">
        <f ca="1"/>
        <v>0.12413301969180635</v>
      </c>
      <c r="D104">
        <f ca="1"/>
        <v>1</v>
      </c>
      <c r="E104" s="11">
        <f ca="1"/>
        <v>102.32119026027107</v>
      </c>
      <c r="F104" s="10">
        <f ca="1"/>
        <v>2.4106896893990037</v>
      </c>
      <c r="G104" s="7">
        <f ca="1"/>
        <v>-2.3560023913590245E-2</v>
      </c>
      <c r="H104" s="10">
        <f ca="1"/>
        <v>40.301178340684494</v>
      </c>
      <c r="I104" s="7">
        <f ca="1"/>
        <v>-0.37070623379777479</v>
      </c>
      <c r="J104">
        <f ca="1"/>
        <v>2.3700752615938541</v>
      </c>
      <c r="K104">
        <f ca="1"/>
        <v>0</v>
      </c>
      <c r="L104">
        <f ca="1"/>
        <v>0</v>
      </c>
    </row>
    <row r="105" spans="2:12" x14ac:dyDescent="0.35">
      <c r="B105">
        <v>9.5000000000000001E-2</v>
      </c>
      <c r="C105">
        <f ca="1"/>
        <v>0.10648111257495343</v>
      </c>
      <c r="D105">
        <f ca="1"/>
        <v>1</v>
      </c>
      <c r="E105" s="11">
        <f ca="1"/>
        <v>101.9585551345849</v>
      </c>
      <c r="F105" s="10">
        <f ca="1"/>
        <v>1.7176787735912642</v>
      </c>
      <c r="G105" s="7">
        <f ca="1"/>
        <v>-1.6846833218889135E-2</v>
      </c>
      <c r="H105" s="10">
        <f ca="1"/>
        <v>42.018857114275761</v>
      </c>
      <c r="I105" s="7">
        <f ca="1"/>
        <v>-0.38755306701666392</v>
      </c>
      <c r="J105">
        <f ca="1"/>
        <v>2.5045063632797593</v>
      </c>
      <c r="K105">
        <f ca="1"/>
        <v>0</v>
      </c>
      <c r="L105">
        <f ca="1"/>
        <v>0</v>
      </c>
    </row>
    <row r="106" spans="2:12" x14ac:dyDescent="0.35">
      <c r="B106">
        <v>9.6000000000000002E-2</v>
      </c>
      <c r="C106">
        <f ca="1"/>
        <v>9.1806533880133281E-2</v>
      </c>
      <c r="D106">
        <f ca="1"/>
        <v>1</v>
      </c>
      <c r="E106" s="11">
        <f ca="1"/>
        <v>101.65772088412159</v>
      </c>
      <c r="F106" s="10">
        <f ca="1"/>
        <v>1.4469847152911606</v>
      </c>
      <c r="G106" s="7">
        <f ca="1"/>
        <v>-1.4233889002297828E-2</v>
      </c>
      <c r="H106" s="10">
        <f ca="1"/>
        <v>43.465841829566919</v>
      </c>
      <c r="I106" s="7">
        <f ca="1"/>
        <v>-0.40178695601896175</v>
      </c>
      <c r="J106">
        <f ca="1"/>
        <v>2.6210955997104719</v>
      </c>
      <c r="K106">
        <f ca="1"/>
        <v>0</v>
      </c>
      <c r="L106">
        <f ca="1"/>
        <v>0</v>
      </c>
    </row>
    <row r="107" spans="2:12" x14ac:dyDescent="0.35">
      <c r="B107">
        <v>9.7000000000000003E-2</v>
      </c>
      <c r="C107">
        <f ca="1"/>
        <v>0.10576172362630974</v>
      </c>
      <c r="D107">
        <f ca="1"/>
        <v>1</v>
      </c>
      <c r="E107" s="11">
        <f ca="1"/>
        <v>101.93980894437964</v>
      </c>
      <c r="F107" s="10">
        <f ca="1"/>
        <v>-1.4119330484570134</v>
      </c>
      <c r="G107" s="7">
        <f ca="1"/>
        <v>1.3850654254486505E-2</v>
      </c>
      <c r="H107" s="10">
        <f ca="1"/>
        <v>42.053908781109904</v>
      </c>
      <c r="I107" s="7">
        <f ca="1"/>
        <v>-0.38793630176447524</v>
      </c>
      <c r="J107">
        <f ca="1"/>
        <v>2.5077562966500935</v>
      </c>
      <c r="K107">
        <f ca="1"/>
        <v>0</v>
      </c>
      <c r="L107">
        <f ca="1"/>
        <v>0</v>
      </c>
    </row>
    <row r="108" spans="2:12" x14ac:dyDescent="0.35">
      <c r="B108">
        <v>9.8000000000000004E-2</v>
      </c>
      <c r="C108">
        <f ca="1"/>
        <v>0.11498618760004466</v>
      </c>
      <c r="D108">
        <f ca="1"/>
        <v>1</v>
      </c>
      <c r="E108" s="11">
        <f ca="1"/>
        <v>102.1260080122149</v>
      </c>
      <c r="F108" s="10">
        <f ca="1"/>
        <v>-0.93888550425841366</v>
      </c>
      <c r="G108" s="7">
        <f ca="1"/>
        <v>9.1934025674059172E-3</v>
      </c>
      <c r="H108" s="10">
        <f ca="1"/>
        <v>41.115023276851488</v>
      </c>
      <c r="I108" s="7">
        <f ca="1"/>
        <v>-0.37874289919706933</v>
      </c>
      <c r="J108">
        <f ca="1"/>
        <v>2.4355229188820857</v>
      </c>
      <c r="K108">
        <f ca="1"/>
        <v>0</v>
      </c>
      <c r="L108">
        <f ca="1"/>
        <v>0</v>
      </c>
    </row>
    <row r="109" spans="2:12" x14ac:dyDescent="0.35">
      <c r="B109">
        <v>9.9000000000000005E-2</v>
      </c>
      <c r="C109">
        <f ca="1"/>
        <v>0.14421718968718686</v>
      </c>
      <c r="D109">
        <f ca="1"/>
        <v>1</v>
      </c>
      <c r="E109" s="11">
        <f ca="1"/>
        <v>102.72275128766897</v>
      </c>
      <c r="F109" s="10">
        <f ca="1"/>
        <v>-2.9218579081789686</v>
      </c>
      <c r="G109" s="7">
        <f ca="1"/>
        <v>2.8444116532631403E-2</v>
      </c>
      <c r="H109" s="10">
        <f ca="1"/>
        <v>38.193165368672517</v>
      </c>
      <c r="I109" s="7">
        <f ca="1"/>
        <v>-0.35029878266443792</v>
      </c>
      <c r="J109">
        <f ca="1"/>
        <v>2.2095106406602554</v>
      </c>
      <c r="K109">
        <f ca="1"/>
        <v>0</v>
      </c>
      <c r="L109">
        <f ca="1"/>
        <v>0</v>
      </c>
    </row>
    <row r="110" spans="2:12" x14ac:dyDescent="0.35">
      <c r="B110">
        <v>0.1</v>
      </c>
      <c r="C110">
        <f ca="1"/>
        <v>0.16262997118589548</v>
      </c>
      <c r="D110">
        <f ca="1"/>
        <v>1</v>
      </c>
      <c r="E110" s="11">
        <f ca="1"/>
        <v>103.09966896729436</v>
      </c>
      <c r="F110" s="10">
        <f ca="1"/>
        <v>-1.8274981405410093</v>
      </c>
      <c r="G110" s="7">
        <f ca="1"/>
        <v>1.772554809192195E-2</v>
      </c>
      <c r="H110" s="10">
        <f ca="1"/>
        <v>36.365667228131507</v>
      </c>
      <c r="I110" s="7">
        <f ca="1"/>
        <v>-0.33257323457251597</v>
      </c>
      <c r="J110">
        <f ca="1"/>
        <v>2.0774768363227736</v>
      </c>
      <c r="K110">
        <f ca="1"/>
        <v>0</v>
      </c>
      <c r="L110">
        <f ca="1"/>
        <v>0</v>
      </c>
    </row>
    <row r="111" spans="2:12" x14ac:dyDescent="0.35">
      <c r="B111">
        <v>0.10100000000000001</v>
      </c>
      <c r="C111">
        <f ca="1"/>
        <v>0.14396228660844568</v>
      </c>
      <c r="D111">
        <f ca="1"/>
        <v>1</v>
      </c>
      <c r="E111">
        <f ca="1"/>
        <v>102.71340593363493</v>
      </c>
      <c r="F111" s="10">
        <f ca="1"/>
        <v>1.7873417262815838</v>
      </c>
      <c r="G111" s="7">
        <f ca="1"/>
        <v>-1.7401250693959258E-2</v>
      </c>
      <c r="H111" s="10">
        <f ca="1"/>
        <v>38.153008954413089</v>
      </c>
      <c r="I111" s="7">
        <f ca="1"/>
        <v>-0.34997448526647523</v>
      </c>
      <c r="J111">
        <f ca="1"/>
        <v>2.2059375828226777</v>
      </c>
      <c r="K111">
        <f ca="1"/>
        <v>0</v>
      </c>
      <c r="L111">
        <f ca="1"/>
        <v>0</v>
      </c>
    </row>
    <row r="112" spans="2:12" x14ac:dyDescent="0.35">
      <c r="B112">
        <v>0.10200000000000001</v>
      </c>
      <c r="C112">
        <f ca="1"/>
        <v>0.14115535420090125</v>
      </c>
      <c r="D112">
        <f ca="1"/>
        <v>1</v>
      </c>
      <c r="E112">
        <f ca="1"/>
        <v>102.65370710368332</v>
      </c>
      <c r="F112" s="10">
        <f ca="1"/>
        <v>0.24807308882642395</v>
      </c>
      <c r="G112" s="7">
        <f ca="1"/>
        <v>-2.4166013661431895E-3</v>
      </c>
      <c r="H112" s="10">
        <f ca="1"/>
        <v>38.401082043239512</v>
      </c>
      <c r="I112" s="7">
        <f ca="1"/>
        <v>-0.35239108663261842</v>
      </c>
      <c r="J112">
        <f ca="1"/>
        <v>2.2268306501060096</v>
      </c>
      <c r="K112">
        <f ca="1"/>
        <v>0</v>
      </c>
      <c r="L112">
        <f ca="1"/>
        <v>0</v>
      </c>
    </row>
    <row r="113" spans="2:12" x14ac:dyDescent="0.35">
      <c r="B113">
        <v>0.10300000000000001</v>
      </c>
      <c r="C113">
        <f ca="1"/>
        <v>0.19130111934314775</v>
      </c>
      <c r="D113">
        <f ca="1"/>
        <v>1</v>
      </c>
      <c r="E113">
        <f ca="1"/>
        <v>103.68634305158903</v>
      </c>
      <c r="F113" s="10">
        <f ca="1"/>
        <v>-4.9266904941741858</v>
      </c>
      <c r="G113" s="7">
        <f ca="1"/>
        <v>4.7515326986919737E-2</v>
      </c>
      <c r="H113" s="10">
        <f ca="1"/>
        <v>33.474391549065324</v>
      </c>
      <c r="I113" s="7">
        <f ca="1"/>
        <v>-0.30487575964569869</v>
      </c>
      <c r="J113">
        <f ca="1"/>
        <v>1.8629389463276063</v>
      </c>
      <c r="K113">
        <f ca="1"/>
        <v>0</v>
      </c>
      <c r="L113">
        <f ca="1"/>
        <v>0</v>
      </c>
    </row>
    <row r="114" spans="2:12" x14ac:dyDescent="0.35">
      <c r="B114">
        <v>0.10400000000000001</v>
      </c>
      <c r="C114">
        <f ca="1"/>
        <v>0.2069607143158112</v>
      </c>
      <c r="D114">
        <f ca="1"/>
        <v>1</v>
      </c>
      <c r="E114">
        <f ca="1"/>
        <v>104.00950912452925</v>
      </c>
      <c r="F114" s="10">
        <f ca="1"/>
        <v>-1.5204460618891928</v>
      </c>
      <c r="G114" s="7">
        <f ca="1"/>
        <v>1.4618337060593012E-2</v>
      </c>
      <c r="H114" s="10">
        <f ca="1"/>
        <v>31.953945487176131</v>
      </c>
      <c r="I114" s="7">
        <f ca="1"/>
        <v>-0.29025742258510567</v>
      </c>
      <c r="J114">
        <f ca="1"/>
        <v>1.7644134443482429</v>
      </c>
      <c r="K114">
        <f ca="1"/>
        <v>0</v>
      </c>
      <c r="L114">
        <f ca="1"/>
        <v>0</v>
      </c>
    </row>
    <row r="115" spans="2:12" x14ac:dyDescent="0.35">
      <c r="B115">
        <v>0.105</v>
      </c>
      <c r="C115">
        <f ca="1"/>
        <v>0.20919665993422332</v>
      </c>
      <c r="D115">
        <f ca="1"/>
        <v>1</v>
      </c>
      <c r="E115">
        <f ca="1"/>
        <v>104.05395034731445</v>
      </c>
      <c r="F115" s="10">
        <f ca="1"/>
        <v>-0.25778436625355317</v>
      </c>
      <c r="G115" s="7">
        <f ca="1"/>
        <v>2.4774106643055127E-3</v>
      </c>
      <c r="H115" s="10">
        <f ca="1"/>
        <v>31.696161120922579</v>
      </c>
      <c r="I115" s="7">
        <f ca="1"/>
        <v>-0.28778001192080016</v>
      </c>
      <c r="J115">
        <f ca="1"/>
        <v>1.7515140495660759</v>
      </c>
      <c r="K115">
        <f ca="1"/>
        <v>0</v>
      </c>
      <c r="L115">
        <f ca="1"/>
        <v>0</v>
      </c>
    </row>
    <row r="116" spans="2:12" x14ac:dyDescent="0.35">
      <c r="B116">
        <v>0.106</v>
      </c>
      <c r="C116">
        <f ca="1"/>
        <v>0.23924402652105109</v>
      </c>
      <c r="D116">
        <f ca="1"/>
        <v>1</v>
      </c>
      <c r="E116">
        <f ca="1"/>
        <v>104.679048843147</v>
      </c>
      <c r="F116" s="10">
        <f ca="1"/>
        <v>-2.8105092835443077</v>
      </c>
      <c r="G116" s="7">
        <f ca="1"/>
        <v>2.6848823280345491E-2</v>
      </c>
      <c r="H116" s="10">
        <f ca="1"/>
        <v>28.885651837378269</v>
      </c>
      <c r="I116" s="7">
        <f ca="1"/>
        <v>-0.26093118864045467</v>
      </c>
      <c r="J116">
        <f ca="1"/>
        <v>1.5716231969837118</v>
      </c>
      <c r="K116">
        <f ca="1"/>
        <v>0</v>
      </c>
      <c r="L116">
        <f ca="1"/>
        <v>0</v>
      </c>
    </row>
    <row r="117" spans="2:12" x14ac:dyDescent="0.35">
      <c r="B117">
        <v>0.107</v>
      </c>
      <c r="C117">
        <f ca="1"/>
        <v>0.19248083237296776</v>
      </c>
      <c r="D117">
        <f ca="1"/>
        <v>1</v>
      </c>
      <c r="E117">
        <f ca="1"/>
        <v>103.70251343092016</v>
      </c>
      <c r="F117" s="10">
        <f ca="1"/>
        <v>4.2638216989517126</v>
      </c>
      <c r="G117" s="7">
        <f ca="1"/>
        <v>-4.1115895438657735E-2</v>
      </c>
      <c r="H117" s="10">
        <f ca="1"/>
        <v>33.149473536329978</v>
      </c>
      <c r="I117" s="7">
        <f ca="1"/>
        <v>-0.3020470840791124</v>
      </c>
      <c r="J117">
        <f ca="1"/>
        <v>1.8264317428455534</v>
      </c>
      <c r="K117">
        <f ca="1"/>
        <v>0</v>
      </c>
      <c r="L117">
        <f ca="1"/>
        <v>0</v>
      </c>
    </row>
    <row r="118" spans="2:12" x14ac:dyDescent="0.35">
      <c r="B118">
        <v>0.108</v>
      </c>
      <c r="C118">
        <f ca="1"/>
        <v>0.20439685986049067</v>
      </c>
      <c r="D118">
        <f ca="1"/>
        <v>1</v>
      </c>
      <c r="E118">
        <f ca="1"/>
        <v>103.94787358480804</v>
      </c>
      <c r="F118" s="10">
        <f ca="1"/>
        <v>-1.1828786205727451</v>
      </c>
      <c r="G118" s="7">
        <f ca="1"/>
        <v>1.1379536490543685E-2</v>
      </c>
      <c r="H118" s="10">
        <f ca="1"/>
        <v>31.966594915757234</v>
      </c>
      <c r="I118" s="7">
        <f ca="1"/>
        <v>-0.29066754758856872</v>
      </c>
      <c r="J118">
        <f ca="1"/>
        <v>1.7523214238145179</v>
      </c>
      <c r="K118">
        <f ca="1"/>
        <v>0</v>
      </c>
      <c r="L118">
        <f ca="1"/>
        <v>0</v>
      </c>
    </row>
    <row r="119" spans="2:12" x14ac:dyDescent="0.35">
      <c r="B119">
        <v>0.109</v>
      </c>
      <c r="C119">
        <f ca="1"/>
        <v>0.16789349376611656</v>
      </c>
      <c r="D119">
        <f ca="1"/>
        <v>1</v>
      </c>
      <c r="E119">
        <f ca="1"/>
        <v>103.18968378646134</v>
      </c>
      <c r="F119" s="10">
        <f ca="1"/>
        <v>3.4729622184490667</v>
      </c>
      <c r="G119" s="7">
        <f ca="1"/>
        <v>-3.3656099049939381E-2</v>
      </c>
      <c r="H119" s="10">
        <f ca="1"/>
        <v>35.439557134206304</v>
      </c>
      <c r="I119" s="7">
        <f ca="1"/>
        <v>-0.3243236466385081</v>
      </c>
      <c r="J119">
        <f ca="1"/>
        <v>1.9727025931066251</v>
      </c>
      <c r="K119">
        <f ca="1"/>
        <v>0</v>
      </c>
      <c r="L119">
        <f ca="1"/>
        <v>0</v>
      </c>
    </row>
    <row r="120" spans="2:12" x14ac:dyDescent="0.35">
      <c r="B120">
        <v>0.11</v>
      </c>
      <c r="C120">
        <f ca="1"/>
        <v>0.11425700752766355</v>
      </c>
      <c r="D120">
        <f ca="1"/>
        <v>1</v>
      </c>
      <c r="E120">
        <f ca="1"/>
        <v>102.08661172105182</v>
      </c>
      <c r="F120" s="10">
        <f ca="1"/>
        <v>5.377042645539972</v>
      </c>
      <c r="G120" s="7">
        <f ca="1"/>
        <v>-5.2671379281668762E-2</v>
      </c>
      <c r="H120" s="10">
        <f ca="1"/>
        <v>40.816599779746277</v>
      </c>
      <c r="I120" s="7">
        <f ca="1"/>
        <v>-0.37699502592017686</v>
      </c>
      <c r="J120">
        <f ca="1"/>
        <v>2.3304549478653129</v>
      </c>
      <c r="K120">
        <f ca="1"/>
        <v>0</v>
      </c>
      <c r="L120">
        <f ca="1"/>
        <v>0</v>
      </c>
    </row>
    <row r="121" spans="2:12" x14ac:dyDescent="0.35">
      <c r="B121">
        <v>0.111</v>
      </c>
      <c r="C121">
        <f ca="1"/>
        <v>8.8717043630814077E-2</v>
      </c>
      <c r="D121">
        <f ca="1"/>
        <v>1</v>
      </c>
      <c r="E121">
        <f ca="1"/>
        <v>101.56445227245537</v>
      </c>
      <c r="F121" s="10">
        <f ca="1"/>
        <v>2.6459653860550172</v>
      </c>
      <c r="G121" s="7">
        <f ca="1"/>
        <v>-2.6052081479817246E-2</v>
      </c>
      <c r="H121" s="10">
        <f ca="1"/>
        <v>43.462565165801294</v>
      </c>
      <c r="I121" s="7">
        <f ca="1"/>
        <v>-0.40304710739999411</v>
      </c>
      <c r="J121">
        <f ca="1"/>
        <v>2.5273064627234021</v>
      </c>
      <c r="K121">
        <f ca="1"/>
        <v>0</v>
      </c>
      <c r="L121">
        <f ca="1"/>
        <v>0</v>
      </c>
    </row>
    <row r="122" spans="2:12" x14ac:dyDescent="0.35">
      <c r="B122">
        <v>0.112</v>
      </c>
      <c r="C122">
        <f ca="1"/>
        <v>0.10962003144210591</v>
      </c>
      <c r="D122">
        <f ca="1"/>
        <v>1</v>
      </c>
      <c r="E122">
        <f ca="1"/>
        <v>101.98790137479838</v>
      </c>
      <c r="F122" s="10">
        <f ca="1"/>
        <v>-2.2186366334890879</v>
      </c>
      <c r="G122" s="7">
        <f ca="1"/>
        <v>2.1753919862864457E-2</v>
      </c>
      <c r="H122" s="10">
        <f ca="1"/>
        <v>41.243928532312204</v>
      </c>
      <c r="I122" s="7">
        <f ca="1"/>
        <v>-0.38129318753712965</v>
      </c>
      <c r="J122">
        <f ca="1"/>
        <v>2.3566365268929204</v>
      </c>
      <c r="K122">
        <f ca="1"/>
        <v>0</v>
      </c>
      <c r="L122">
        <f ca="1"/>
        <v>0</v>
      </c>
    </row>
    <row r="123" spans="2:12" x14ac:dyDescent="0.35">
      <c r="B123">
        <v>0.113</v>
      </c>
      <c r="C123">
        <f ca="1"/>
        <v>0.12443421087076084</v>
      </c>
      <c r="D123">
        <f ca="1"/>
        <v>1</v>
      </c>
      <c r="E123">
        <f ca="1"/>
        <v>102.2884770864473</v>
      </c>
      <c r="F123" s="10">
        <f ca="1"/>
        <v>-1.5721568292880257</v>
      </c>
      <c r="G123" s="7">
        <f ca="1"/>
        <v>1.5369833182278636E-2</v>
      </c>
      <c r="H123" s="10">
        <f ca="1"/>
        <v>39.671771703024177</v>
      </c>
      <c r="I123" s="7">
        <f ca="1"/>
        <v>-0.36592335435485102</v>
      </c>
      <c r="J123">
        <f ca="1"/>
        <v>2.2420290557020621</v>
      </c>
      <c r="K123">
        <f ca="1"/>
        <v>0</v>
      </c>
      <c r="L123">
        <f ca="1"/>
        <v>0</v>
      </c>
    </row>
    <row r="124" spans="2:12" x14ac:dyDescent="0.35">
      <c r="B124">
        <v>0.114</v>
      </c>
      <c r="C124">
        <f ca="1"/>
        <v>0.14900703756841593</v>
      </c>
      <c r="D124">
        <f ca="1"/>
        <v>1</v>
      </c>
      <c r="E124">
        <f ca="1"/>
        <v>102.7903619732524</v>
      </c>
      <c r="F124" s="10">
        <f ca="1"/>
        <v>-2.5725193538296507</v>
      </c>
      <c r="G124" s="7">
        <f ca="1"/>
        <v>2.5026853728748022E-2</v>
      </c>
      <c r="H124" s="10">
        <f ca="1"/>
        <v>37.099252349194529</v>
      </c>
      <c r="I124" s="7">
        <f ca="1"/>
        <v>-0.34089650062610299</v>
      </c>
      <c r="J124">
        <f ca="1"/>
        <v>2.0583776544223369</v>
      </c>
      <c r="K124">
        <f ca="1"/>
        <v>0</v>
      </c>
      <c r="L124">
        <f ca="1"/>
        <v>0</v>
      </c>
    </row>
    <row r="125" spans="2:12" x14ac:dyDescent="0.35">
      <c r="B125">
        <v>0.115</v>
      </c>
      <c r="C125">
        <f ca="1"/>
        <v>0.10106370964718811</v>
      </c>
      <c r="D125">
        <f ca="1"/>
        <v>1</v>
      </c>
      <c r="E125">
        <f ca="1"/>
        <v>101.80741373289747</v>
      </c>
      <c r="F125" s="10">
        <f ca="1"/>
        <v>4.9528258845977238</v>
      </c>
      <c r="G125" s="7">
        <f ca="1"/>
        <v>-4.8648970669189051E-2</v>
      </c>
      <c r="H125" s="10">
        <f ca="1"/>
        <v>42.052078233792251</v>
      </c>
      <c r="I125" s="7">
        <f ca="1"/>
        <v>-0.38954547129529205</v>
      </c>
      <c r="J125">
        <f ca="1"/>
        <v>2.3934612698559192</v>
      </c>
      <c r="K125">
        <f ca="1"/>
        <v>0</v>
      </c>
      <c r="L125">
        <f ca="1"/>
        <v>0</v>
      </c>
    </row>
    <row r="126" spans="2:12" x14ac:dyDescent="0.35">
      <c r="B126">
        <v>0.11600000000000001</v>
      </c>
      <c r="C126">
        <f ca="1"/>
        <v>0.1797186593924594</v>
      </c>
      <c r="D126">
        <f ca="1"/>
        <v>1</v>
      </c>
      <c r="E126">
        <f ca="1"/>
        <v>103.41953987494725</v>
      </c>
      <c r="F126" s="10">
        <f ca="1"/>
        <v>-8.2273164797677332</v>
      </c>
      <c r="G126" s="7">
        <f ca="1"/>
        <v>7.9552824250775367E-2</v>
      </c>
      <c r="H126" s="10">
        <f ca="1"/>
        <v>33.824761754024522</v>
      </c>
      <c r="I126" s="7">
        <f ca="1"/>
        <v>-0.30999264704451668</v>
      </c>
      <c r="J126">
        <f ca="1"/>
        <v>1.7654648320636781</v>
      </c>
      <c r="K126">
        <f ca="1"/>
        <v>0</v>
      </c>
      <c r="L126">
        <f ca="1"/>
        <v>0</v>
      </c>
    </row>
    <row r="127" spans="2:12" x14ac:dyDescent="0.35">
      <c r="B127">
        <v>0.11700000000000001</v>
      </c>
      <c r="C127">
        <f ca="1"/>
        <v>0.18882858197241376</v>
      </c>
      <c r="D127">
        <f ca="1"/>
        <v>1</v>
      </c>
      <c r="E127">
        <f ca="1"/>
        <v>103.60606829464108</v>
      </c>
      <c r="F127" s="10">
        <f ca="1"/>
        <v>-0.95465902584606488</v>
      </c>
      <c r="G127" s="7">
        <f ca="1"/>
        <v>9.2143157399926512E-3</v>
      </c>
      <c r="H127" s="10">
        <f ca="1"/>
        <v>32.870102728178459</v>
      </c>
      <c r="I127" s="7">
        <f ca="1"/>
        <v>-0.30077833130452403</v>
      </c>
      <c r="J127">
        <f ca="1"/>
        <v>1.7076423934937637</v>
      </c>
      <c r="K127">
        <f ca="1"/>
        <v>0</v>
      </c>
      <c r="L127">
        <f ca="1"/>
        <v>0</v>
      </c>
    </row>
    <row r="128" spans="2:12" x14ac:dyDescent="0.35">
      <c r="B128">
        <v>0.11800000000000001</v>
      </c>
      <c r="C128">
        <f ca="1"/>
        <v>0.17860473822702164</v>
      </c>
      <c r="D128">
        <f ca="1"/>
        <v>1</v>
      </c>
      <c r="E128">
        <f ca="1"/>
        <v>103.39236642100896</v>
      </c>
      <c r="F128" s="10">
        <f ca="1"/>
        <v>0.96817381813569869</v>
      </c>
      <c r="G128" s="7">
        <f ca="1"/>
        <v>-9.3640744636150353E-3</v>
      </c>
      <c r="H128" s="10">
        <f ca="1"/>
        <v>33.838276546314155</v>
      </c>
      <c r="I128" s="7">
        <f ca="1"/>
        <v>-0.31014240576813906</v>
      </c>
      <c r="J128">
        <f ca="1"/>
        <v>1.7719192864414808</v>
      </c>
      <c r="K128">
        <f ca="1"/>
        <v>0</v>
      </c>
      <c r="L128">
        <f ca="1"/>
        <v>0</v>
      </c>
    </row>
    <row r="129" spans="2:12" x14ac:dyDescent="0.35">
      <c r="B129">
        <v>0.11900000000000001</v>
      </c>
      <c r="C129">
        <f ca="1"/>
        <v>0.1421874455798886</v>
      </c>
      <c r="D129">
        <f ca="1"/>
        <v>1</v>
      </c>
      <c r="E129">
        <f ca="1"/>
        <v>102.63999536033216</v>
      </c>
      <c r="F129" s="10">
        <f ca="1"/>
        <v>3.67958829947304</v>
      </c>
      <c r="G129" s="7">
        <f ca="1"/>
        <v>-3.5849458941958512E-2</v>
      </c>
      <c r="H129" s="10">
        <f ca="1"/>
        <v>37.517864845787194</v>
      </c>
      <c r="I129" s="7">
        <f ca="1"/>
        <v>-0.34599186471009757</v>
      </c>
      <c r="J129">
        <f ca="1"/>
        <v>2.0052614572301053</v>
      </c>
      <c r="K129">
        <f ca="1"/>
        <v>0</v>
      </c>
      <c r="L129">
        <f ca="1"/>
        <v>0</v>
      </c>
    </row>
    <row r="130" spans="2:12" x14ac:dyDescent="0.35">
      <c r="B130">
        <v>0.12</v>
      </c>
      <c r="C130">
        <f ca="1"/>
        <v>8.0618562745086553E-2</v>
      </c>
      <c r="D130">
        <f ca="1"/>
        <v>1</v>
      </c>
      <c r="E130">
        <f ca="1"/>
        <v>101.38183149621413</v>
      </c>
      <c r="F130" s="10">
        <f ca="1"/>
        <v>6.5356091547763011</v>
      </c>
      <c r="G130" s="7">
        <f ca="1"/>
        <v>-6.4465289868237963E-2</v>
      </c>
      <c r="H130" s="10">
        <f ca="1"/>
        <v>44.053474000563497</v>
      </c>
      <c r="I130" s="7">
        <f ca="1"/>
        <v>-0.41045715457833554</v>
      </c>
      <c r="J130">
        <f ca="1"/>
        <v>2.4405759186871663</v>
      </c>
      <c r="K130">
        <f ca="1"/>
        <v>0</v>
      </c>
      <c r="L130">
        <f ca="1"/>
        <v>0</v>
      </c>
    </row>
    <row r="131" spans="2:12" x14ac:dyDescent="0.35">
      <c r="B131">
        <v>0.121</v>
      </c>
      <c r="C131">
        <f ca="1"/>
        <v>8.8059154484483385E-2</v>
      </c>
      <c r="D131">
        <f ca="1"/>
        <v>1</v>
      </c>
      <c r="E131">
        <f ca="1"/>
        <v>101.53078133441701</v>
      </c>
      <c r="F131" s="10">
        <f ca="1"/>
        <v>-0.82844024518887316</v>
      </c>
      <c r="G131" s="7">
        <f ca="1"/>
        <v>8.1594983738005333E-3</v>
      </c>
      <c r="H131" s="10">
        <f ca="1"/>
        <v>43.225033755374625</v>
      </c>
      <c r="I131" s="7">
        <f ca="1"/>
        <v>-0.402297656204535</v>
      </c>
      <c r="J131">
        <f ca="1"/>
        <v>2.3794383919235074</v>
      </c>
      <c r="K131">
        <f ca="1"/>
        <v>0</v>
      </c>
      <c r="L131">
        <f ca="1"/>
        <v>0</v>
      </c>
    </row>
    <row r="132" spans="2:12" x14ac:dyDescent="0.35">
      <c r="B132">
        <v>0.122</v>
      </c>
      <c r="C132">
        <f ca="1"/>
        <v>8.1371174051594317E-2</v>
      </c>
      <c r="D132">
        <f ca="1"/>
        <v>1</v>
      </c>
      <c r="E132">
        <f ca="1"/>
        <v>101.39303706470697</v>
      </c>
      <c r="F132" s="10">
        <f ca="1"/>
        <v>0.71903568082745117</v>
      </c>
      <c r="G132" s="7">
        <f ca="1"/>
        <v>-7.0915686288061108E-3</v>
      </c>
      <c r="H132" s="10">
        <f ca="1"/>
        <v>43.944069436202078</v>
      </c>
      <c r="I132" s="7">
        <f ca="1"/>
        <v>-0.40938922483334111</v>
      </c>
      <c r="J132">
        <f ca="1"/>
        <v>2.434852588783464</v>
      </c>
      <c r="K132">
        <f ca="1"/>
        <v>0</v>
      </c>
      <c r="L132">
        <f ca="1"/>
        <v>0</v>
      </c>
    </row>
    <row r="133" spans="2:12" x14ac:dyDescent="0.35">
      <c r="B133">
        <v>0.123</v>
      </c>
      <c r="C133">
        <f ca="1"/>
        <v>0.1023849042249919</v>
      </c>
      <c r="D133">
        <f ca="1"/>
        <v>1</v>
      </c>
      <c r="E133">
        <f ca="1"/>
        <v>101.81802658042729</v>
      </c>
      <c r="F133" s="10">
        <f ca="1"/>
        <v>-2.3293041429356056</v>
      </c>
      <c r="G133" s="7">
        <f ca="1"/>
        <v>2.287712914073875E-2</v>
      </c>
      <c r="H133" s="10">
        <f ca="1"/>
        <v>41.614765293266473</v>
      </c>
      <c r="I133" s="7">
        <f ca="1"/>
        <v>-0.38651209569260236</v>
      </c>
      <c r="J133">
        <f ca="1"/>
        <v>2.2608664603804272</v>
      </c>
      <c r="K133">
        <f ca="1"/>
        <v>0</v>
      </c>
      <c r="L133">
        <f ca="1"/>
        <v>0</v>
      </c>
    </row>
    <row r="134" spans="2:12" x14ac:dyDescent="0.35">
      <c r="B134">
        <v>0.124</v>
      </c>
      <c r="C134">
        <f ca="1"/>
        <v>0.11386016331219058</v>
      </c>
      <c r="D134">
        <f ca="1"/>
        <v>1</v>
      </c>
      <c r="E134">
        <f ca="1"/>
        <v>102.0499315647496</v>
      </c>
      <c r="F134" s="10">
        <f ca="1"/>
        <v>-1.278809805053214</v>
      </c>
      <c r="G134" s="7">
        <f ca="1"/>
        <v>1.2531216684274038E-2</v>
      </c>
      <c r="H134" s="10">
        <f ca="1"/>
        <v>40.335955488213258</v>
      </c>
      <c r="I134" s="7">
        <f ca="1"/>
        <v>-0.37398087900832833</v>
      </c>
      <c r="J134">
        <f ca="1"/>
        <v>2.1712323788884547</v>
      </c>
      <c r="K134">
        <f ca="1"/>
        <v>0</v>
      </c>
      <c r="L134">
        <f ca="1"/>
        <v>0</v>
      </c>
    </row>
    <row r="135" spans="2:12" x14ac:dyDescent="0.35">
      <c r="B135">
        <v>0.125</v>
      </c>
      <c r="C135">
        <f ca="1"/>
        <v>8.3551008700863572E-2</v>
      </c>
      <c r="D135">
        <f ca="1"/>
        <v>1</v>
      </c>
      <c r="E135">
        <f ca="1"/>
        <v>101.43116466046919</v>
      </c>
      <c r="F135" s="10">
        <f ca="1"/>
        <v>3.3078837689436846</v>
      </c>
      <c r="G135" s="7">
        <f ca="1"/>
        <v>-3.2612104770920247E-2</v>
      </c>
      <c r="H135" s="10">
        <f ca="1"/>
        <v>43.643839257156941</v>
      </c>
      <c r="I135" s="7">
        <f ca="1"/>
        <v>-0.40659298377924857</v>
      </c>
      <c r="J135">
        <f ca="1"/>
        <v>2.4026393696524977</v>
      </c>
      <c r="K135">
        <f ca="1"/>
        <v>0</v>
      </c>
      <c r="L135">
        <f ca="1"/>
        <v>0</v>
      </c>
    </row>
    <row r="136" spans="2:12" x14ac:dyDescent="0.35">
      <c r="B136">
        <v>0.126</v>
      </c>
      <c r="C136">
        <f ca="1"/>
        <v>8.2649903994106003E-2</v>
      </c>
      <c r="D136">
        <f ca="1"/>
        <v>1</v>
      </c>
      <c r="E136">
        <f ca="1"/>
        <v>101.41085805017065</v>
      </c>
      <c r="F136" s="10">
        <f ca="1"/>
        <v>8.5630222706808493E-2</v>
      </c>
      <c r="G136" s="7">
        <f ca="1"/>
        <v>-8.4438909553891106E-4</v>
      </c>
      <c r="H136" s="10">
        <f ca="1"/>
        <v>43.729469479863752</v>
      </c>
      <c r="I136" s="7">
        <f ca="1"/>
        <v>-0.40743737287478748</v>
      </c>
      <c r="J136">
        <f ca="1"/>
        <v>2.4108958949242307</v>
      </c>
      <c r="K136">
        <f ca="1"/>
        <v>0</v>
      </c>
      <c r="L136">
        <f ca="1"/>
        <v>0</v>
      </c>
    </row>
    <row r="137" spans="2:12" x14ac:dyDescent="0.35">
      <c r="B137">
        <v>0.127</v>
      </c>
      <c r="C137">
        <f ca="1"/>
        <v>3.9004613870230902E-2</v>
      </c>
      <c r="D137">
        <f ca="1"/>
        <v>1</v>
      </c>
      <c r="E137">
        <f ca="1"/>
        <v>100.52747857282456</v>
      </c>
      <c r="F137" s="10">
        <f ca="1"/>
        <v>4.8994860569063565</v>
      </c>
      <c r="G137" s="7">
        <f ca="1"/>
        <v>-4.8737779226771805E-2</v>
      </c>
      <c r="H137" s="10">
        <f ca="1"/>
        <v>48.628955536770107</v>
      </c>
      <c r="I137" s="7">
        <f ca="1"/>
        <v>-0.45617515210155929</v>
      </c>
      <c r="J137">
        <f ca="1"/>
        <v>2.7708177084256178</v>
      </c>
      <c r="K137">
        <f ca="1"/>
        <v>0</v>
      </c>
      <c r="L137">
        <f ca="1"/>
        <v>0</v>
      </c>
    </row>
    <row r="138" spans="2:12" x14ac:dyDescent="0.35">
      <c r="B138">
        <v>0.128</v>
      </c>
      <c r="C138">
        <f ca="1"/>
        <v>1.6452118996944418E-2</v>
      </c>
      <c r="D138">
        <f ca="1"/>
        <v>1</v>
      </c>
      <c r="E138">
        <f ca="1"/>
        <v>100.07306906238131</v>
      </c>
      <c r="F138" s="10">
        <f ca="1"/>
        <v>2.5744068957429396</v>
      </c>
      <c r="G138" s="7">
        <f ca="1"/>
        <v>-2.5725271742572053E-2</v>
      </c>
      <c r="H138" s="10">
        <f ca="1"/>
        <v>51.203362432513046</v>
      </c>
      <c r="I138" s="7">
        <f ca="1"/>
        <v>-0.48190042384413134</v>
      </c>
      <c r="J138">
        <f ca="1"/>
        <v>2.978108035968468</v>
      </c>
      <c r="K138">
        <f ca="1"/>
        <v>0</v>
      </c>
      <c r="L138">
        <f ca="1"/>
        <v>0</v>
      </c>
    </row>
    <row r="139" spans="2:12" x14ac:dyDescent="0.35">
      <c r="B139">
        <v>0.129</v>
      </c>
      <c r="C139">
        <f ca="1"/>
        <v>5.2251201582960927E-2</v>
      </c>
      <c r="D139">
        <f ca="1"/>
        <v>1</v>
      </c>
      <c r="E139">
        <f ca="1"/>
        <v>100.79012920660347</v>
      </c>
      <c r="F139" s="10">
        <f ca="1"/>
        <v>-4.1015775029497528</v>
      </c>
      <c r="G139" s="7">
        <f ca="1"/>
        <v>4.0694237969892688E-2</v>
      </c>
      <c r="H139" s="10">
        <f ca="1"/>
        <v>47.101784929563294</v>
      </c>
      <c r="I139" s="7">
        <f ca="1"/>
        <v>-0.44120618587423865</v>
      </c>
      <c r="J139">
        <f ca="1"/>
        <v>2.632556448546076</v>
      </c>
      <c r="K139">
        <f ca="1"/>
        <v>0</v>
      </c>
      <c r="L139">
        <f ca="1"/>
        <v>0</v>
      </c>
    </row>
    <row r="140" spans="2:12" x14ac:dyDescent="0.35">
      <c r="B140">
        <v>0.13</v>
      </c>
      <c r="C140">
        <f ca="1"/>
        <v>4.4459210425791609E-3</v>
      </c>
      <c r="D140">
        <f ca="1"/>
        <v>1</v>
      </c>
      <c r="E140">
        <f ca="1"/>
        <v>99.829064681964709</v>
      </c>
      <c r="F140" s="10">
        <f ca="1"/>
        <v>5.4731678412365596</v>
      </c>
      <c r="G140" s="7">
        <f ca="1"/>
        <v>-5.4825394374603931E-2</v>
      </c>
      <c r="H140" s="10">
        <f ca="1"/>
        <v>52.574952770799854</v>
      </c>
      <c r="I140" s="7">
        <f ca="1"/>
        <v>-0.49603158024884259</v>
      </c>
      <c r="J140">
        <f ca="1"/>
        <v>3.0565840618409794</v>
      </c>
      <c r="K140">
        <f ca="1"/>
        <v>0</v>
      </c>
      <c r="L140">
        <f ca="1"/>
        <v>0.17093531803529061</v>
      </c>
    </row>
    <row r="141" spans="2:12" x14ac:dyDescent="0.35">
      <c r="B141">
        <v>0.13100000000000001</v>
      </c>
      <c r="C141">
        <f ca="1"/>
        <v>-2.0923617444710371E-2</v>
      </c>
      <c r="D141">
        <f ca="1"/>
        <v>1</v>
      </c>
      <c r="E141">
        <f ca="1"/>
        <v>99.321837621653756</v>
      </c>
      <c r="F141" s="10">
        <f ca="1"/>
        <v>2.9336017558293133</v>
      </c>
      <c r="G141" s="7">
        <f ca="1"/>
        <v>-2.9536321780556152E-2</v>
      </c>
      <c r="H141" s="10">
        <f ca="1"/>
        <v>55.508554526629169</v>
      </c>
      <c r="I141" s="7">
        <f ca="1"/>
        <v>-0.52556790202939874</v>
      </c>
      <c r="J141">
        <f ca="1"/>
        <v>3.3081847021120012</v>
      </c>
      <c r="K141">
        <f ca="1"/>
        <v>0</v>
      </c>
      <c r="L141">
        <f ca="1"/>
        <v>0.6781623783462436</v>
      </c>
    </row>
    <row r="142" spans="2:12" x14ac:dyDescent="0.35">
      <c r="B142">
        <v>0.13200000000000001</v>
      </c>
      <c r="C142">
        <f ca="1"/>
        <v>-5.3532623864978507E-2</v>
      </c>
      <c r="D142">
        <f ca="1"/>
        <v>1</v>
      </c>
      <c r="E142">
        <f ca="1"/>
        <v>98.674214517187139</v>
      </c>
      <c r="F142" s="10">
        <f ca="1"/>
        <v>3.7454858776837043</v>
      </c>
      <c r="G142" s="7">
        <f ca="1"/>
        <v>-3.7958101779784759E-2</v>
      </c>
      <c r="H142" s="10">
        <f ca="1"/>
        <v>59.254040404312875</v>
      </c>
      <c r="I142" s="7">
        <f ca="1"/>
        <v>-0.5635260038091835</v>
      </c>
      <c r="J142">
        <f ca="1"/>
        <v>3.6485546184322857</v>
      </c>
      <c r="K142">
        <f ca="1"/>
        <v>0</v>
      </c>
      <c r="L142">
        <f ca="1"/>
        <v>1.3257854828128615</v>
      </c>
    </row>
    <row r="143" spans="2:12" x14ac:dyDescent="0.35">
      <c r="B143">
        <v>0.13300000000000001</v>
      </c>
      <c r="C143">
        <f ca="1"/>
        <v>-2.9414417350153179E-2</v>
      </c>
      <c r="D143">
        <f ca="1"/>
        <v>1</v>
      </c>
      <c r="E143">
        <f ca="1"/>
        <v>99.149350326934638</v>
      </c>
      <c r="F143" s="10">
        <f ca="1"/>
        <v>-2.7169718990078935</v>
      </c>
      <c r="G143" s="7">
        <f ca="1"/>
        <v>2.7402820997303179E-2</v>
      </c>
      <c r="H143">
        <f ca="1"/>
        <v>56.53706850530498</v>
      </c>
      <c r="I143" s="7">
        <f ca="1"/>
        <v>-0.53612318281188032</v>
      </c>
      <c r="J143">
        <f ca="1"/>
        <v>3.3808032342986323</v>
      </c>
      <c r="K143">
        <f ca="1"/>
        <v>0</v>
      </c>
      <c r="L143">
        <f ca="1"/>
        <v>0.85064967306536232</v>
      </c>
    </row>
    <row r="144" spans="2:12" x14ac:dyDescent="0.35">
      <c r="B144">
        <v>0.13400000000000001</v>
      </c>
      <c r="C144">
        <f ca="1"/>
        <v>4.5539042998635447E-3</v>
      </c>
      <c r="D144">
        <f ca="1"/>
        <v>1</v>
      </c>
      <c r="E144">
        <f ca="1"/>
        <v>99.823234500558073</v>
      </c>
      <c r="F144" s="10">
        <f ca="1"/>
        <v>-3.9279336525480506</v>
      </c>
      <c r="G144" s="7">
        <f ca="1"/>
        <v>3.9348891790578988E-2</v>
      </c>
      <c r="H144">
        <f ca="1"/>
        <v>52.609134852756931</v>
      </c>
      <c r="I144" s="7">
        <f ca="1"/>
        <v>-0.49677429102130133</v>
      </c>
      <c r="J144">
        <f ca="1"/>
        <v>3.0195183062890862</v>
      </c>
      <c r="K144">
        <f ca="1"/>
        <v>0</v>
      </c>
      <c r="L144">
        <f ca="1"/>
        <v>0.17676549944192743</v>
      </c>
    </row>
    <row r="145" spans="2:12" x14ac:dyDescent="0.35">
      <c r="B145">
        <v>0.13500000000000001</v>
      </c>
      <c r="C145">
        <f ca="1"/>
        <v>1.625674144846339E-2</v>
      </c>
      <c r="D145">
        <f ca="1"/>
        <v>1</v>
      </c>
      <c r="E145">
        <f ca="1"/>
        <v>100.05515003100984</v>
      </c>
      <c r="F145" s="10">
        <f ca="1"/>
        <v>-1.3548687158235571</v>
      </c>
      <c r="G145" s="7">
        <f ca="1"/>
        <v>1.3541219171663288E-2</v>
      </c>
      <c r="H145">
        <f ca="1"/>
        <v>51.254266136933374</v>
      </c>
      <c r="I145" s="7">
        <f ca="1"/>
        <v>-0.48323307184963804</v>
      </c>
      <c r="J145">
        <f ca="1"/>
        <v>2.9043086330720769</v>
      </c>
      <c r="K145">
        <f ca="1"/>
        <v>0</v>
      </c>
      <c r="L145">
        <f ca="1"/>
        <v>0</v>
      </c>
    </row>
    <row r="146" spans="2:12" x14ac:dyDescent="0.35">
      <c r="B146">
        <v>0.13600000000000001</v>
      </c>
      <c r="C146">
        <f ca="1"/>
        <v>-7.8832314712701662E-3</v>
      </c>
      <c r="D146">
        <f ca="1"/>
        <v>1</v>
      </c>
      <c r="E146">
        <f ca="1"/>
        <v>99.57125710844376</v>
      </c>
      <c r="F146" s="10">
        <f ca="1"/>
        <v>2.855619163932912</v>
      </c>
      <c r="G146" s="7">
        <f ca="1"/>
        <v>-2.8679151462583596E-2</v>
      </c>
      <c r="H146">
        <f ca="1"/>
        <v>54.109885300866289</v>
      </c>
      <c r="I146" s="7">
        <f ca="1"/>
        <v>-0.51191222331222164</v>
      </c>
      <c r="J146">
        <f ca="1"/>
        <v>3.1381416964899884</v>
      </c>
      <c r="K146">
        <f ca="1"/>
        <v>0</v>
      </c>
      <c r="L146">
        <f ca="1"/>
        <v>0.42874289155624012</v>
      </c>
    </row>
    <row r="147" spans="2:12" x14ac:dyDescent="0.35">
      <c r="B147">
        <v>0.13700000000000001</v>
      </c>
      <c r="C147">
        <f ca="1"/>
        <v>4.6308277271297278E-2</v>
      </c>
      <c r="D147">
        <f ca="1"/>
        <v>1</v>
      </c>
      <c r="E147">
        <f ca="1"/>
        <v>100.65429677544944</v>
      </c>
      <c r="F147" s="10">
        <f ca="1"/>
        <v>-6.42918905291448</v>
      </c>
      <c r="G147" s="7">
        <f ca="1"/>
        <v>6.3873965234265306E-2</v>
      </c>
      <c r="H147">
        <f ca="1"/>
        <v>47.680696247951808</v>
      </c>
      <c r="I147" s="7">
        <f ca="1"/>
        <v>-0.44803825807795633</v>
      </c>
      <c r="J147">
        <f ca="1"/>
        <v>2.5837204526177828</v>
      </c>
      <c r="K147">
        <f ca="1"/>
        <v>0</v>
      </c>
      <c r="L147">
        <f ca="1"/>
        <v>0</v>
      </c>
    </row>
    <row r="148" spans="2:12" x14ac:dyDescent="0.35">
      <c r="B148">
        <v>0.13800000000000001</v>
      </c>
      <c r="C148">
        <f ca="1"/>
        <v>4.3633328388517467E-2</v>
      </c>
      <c r="D148">
        <f ca="1"/>
        <v>1</v>
      </c>
      <c r="E148">
        <f ca="1"/>
        <v>100.59845016835408</v>
      </c>
      <c r="F148" s="10">
        <f ca="1"/>
        <v>0.31884715711183542</v>
      </c>
      <c r="G148" s="7">
        <f ca="1"/>
        <v>-3.1695036710628899E-3</v>
      </c>
      <c r="H148">
        <f ca="1"/>
        <v>47.99954340506364</v>
      </c>
      <c r="I148" s="7">
        <f ca="1"/>
        <v>-0.45120776174901922</v>
      </c>
      <c r="J148">
        <f ca="1"/>
        <v>2.6087418691803492</v>
      </c>
      <c r="K148">
        <f ca="1"/>
        <v>0</v>
      </c>
      <c r="L148">
        <f ca="1"/>
        <v>0</v>
      </c>
    </row>
    <row r="149" spans="2:12" x14ac:dyDescent="0.35">
      <c r="B149">
        <v>0.13900000000000001</v>
      </c>
      <c r="C149">
        <f ca="1"/>
        <v>4.598981678745747E-2</v>
      </c>
      <c r="D149">
        <f ca="1"/>
        <v>1</v>
      </c>
      <c r="E149">
        <f ca="1"/>
        <v>100.64386026146943</v>
      </c>
      <c r="F149" s="10">
        <f ca="1"/>
        <v>-0.27977714349695454</v>
      </c>
      <c r="G149" s="7">
        <f ca="1"/>
        <v>2.7798729378036846E-3</v>
      </c>
      <c r="H149">
        <f ca="1"/>
        <v>47.719766261566683</v>
      </c>
      <c r="I149" s="7">
        <f ca="1"/>
        <v>-0.44842788881121554</v>
      </c>
      <c r="J149">
        <f ca="1"/>
        <v>2.5882524827049593</v>
      </c>
      <c r="K149">
        <f ca="1"/>
        <v>0</v>
      </c>
      <c r="L149">
        <f ca="1"/>
        <v>0</v>
      </c>
    </row>
    <row r="150" spans="2:12" x14ac:dyDescent="0.35">
      <c r="B150">
        <v>0.14000000000000001</v>
      </c>
      <c r="C150">
        <f ca="1"/>
        <v>1.1167608280707952E-2</v>
      </c>
      <c r="D150">
        <f ca="1"/>
        <v>1</v>
      </c>
      <c r="E150">
        <f ca="1"/>
        <v>99.943368207470598</v>
      </c>
      <c r="F150" s="10">
        <f ca="1"/>
        <v>4.1725002569002285</v>
      </c>
      <c r="G150" s="7">
        <f ca="1"/>
        <v>-4.1748645575348353E-2</v>
      </c>
      <c r="H150">
        <f ca="1"/>
        <v>51.892266518466911</v>
      </c>
      <c r="I150" s="7">
        <f ca="1"/>
        <v>-0.49017653438656389</v>
      </c>
      <c r="J150">
        <f ca="1"/>
        <v>2.90237265560868</v>
      </c>
      <c r="K150">
        <f ca="1"/>
        <v>0</v>
      </c>
      <c r="L150">
        <f ca="1"/>
        <v>5.6631792529401537E-2</v>
      </c>
    </row>
    <row r="151" spans="2:12" x14ac:dyDescent="0.35">
      <c r="B151">
        <v>0.14100000000000001</v>
      </c>
      <c r="C151">
        <f ca="1"/>
        <v>5.9164542314951905E-2</v>
      </c>
      <c r="D151">
        <f ca="1"/>
        <v>1</v>
      </c>
      <c r="E151">
        <f ca="1"/>
        <v>100.90536470214575</v>
      </c>
      <c r="F151" s="10">
        <f ca="1"/>
        <v>-5.7999852247163988</v>
      </c>
      <c r="G151" s="7">
        <f ca="1"/>
        <v>5.7479453563612781E-2</v>
      </c>
      <c r="H151">
        <f ca="1"/>
        <v>46.09228129375051</v>
      </c>
      <c r="I151" s="7">
        <f ca="1"/>
        <v>-0.43269708082295111</v>
      </c>
      <c r="J151">
        <f ca="1"/>
        <v>2.4308245477567922</v>
      </c>
      <c r="K151">
        <f ca="1"/>
        <v>0</v>
      </c>
      <c r="L151">
        <f ca="1"/>
        <v>0</v>
      </c>
    </row>
    <row r="152" spans="2:12" x14ac:dyDescent="0.35">
      <c r="B152">
        <v>0.14200000000000002</v>
      </c>
      <c r="C152">
        <f ca="1"/>
        <v>3.8881748401242935E-2</v>
      </c>
      <c r="D152">
        <f ca="1"/>
        <v>1</v>
      </c>
      <c r="E152">
        <f ca="1"/>
        <v>100.49485535268863</v>
      </c>
      <c r="F152" s="10">
        <f ca="1"/>
        <v>2.443396414829325</v>
      </c>
      <c r="G152" s="7">
        <f ca="1"/>
        <v>-2.4313646765838692E-2</v>
      </c>
      <c r="H152">
        <f ca="1"/>
        <v>48.535677708579833</v>
      </c>
      <c r="I152" s="7">
        <f ca="1"/>
        <v>-0.4570107275887898</v>
      </c>
      <c r="J152">
        <f ca="1"/>
        <v>2.6084507449174126</v>
      </c>
      <c r="K152">
        <f ca="1"/>
        <v>0</v>
      </c>
      <c r="L152">
        <f ca="1"/>
        <v>0</v>
      </c>
    </row>
    <row r="153" spans="2:12" x14ac:dyDescent="0.35">
      <c r="B153">
        <v>0.14300000000000002</v>
      </c>
      <c r="C153">
        <f ca="1"/>
        <v>-2.6836290706052743E-2</v>
      </c>
      <c r="D153">
        <f ca="1"/>
        <v>1</v>
      </c>
      <c r="E153">
        <f ca="1"/>
        <v>99.180649312350326</v>
      </c>
      <c r="F153" s="10">
        <f ca="1"/>
        <v>7.9400005987320847</v>
      </c>
      <c r="G153" s="7">
        <f ca="1"/>
        <v>-8.0055944922548194E-2</v>
      </c>
      <c r="H153">
        <f ca="1"/>
        <v>56.475678307311917</v>
      </c>
      <c r="I153" s="7">
        <f ca="1"/>
        <v>-0.53706667251133799</v>
      </c>
      <c r="J153">
        <f ca="1"/>
        <v>3.2090570036140065</v>
      </c>
      <c r="K153">
        <f ca="1"/>
        <v>0</v>
      </c>
      <c r="L153">
        <f ca="1"/>
        <v>0.81935068764967411</v>
      </c>
    </row>
    <row r="154" spans="2:12" x14ac:dyDescent="0.35">
      <c r="B154">
        <v>0.14400000000000002</v>
      </c>
      <c r="C154">
        <f ca="1"/>
        <v>-9.5766440442132922E-2</v>
      </c>
      <c r="D154">
        <f ca="1"/>
        <v>1</v>
      </c>
      <c r="E154">
        <f ca="1"/>
        <v>97.820767184574962</v>
      </c>
      <c r="F154" s="10">
        <f ca="1"/>
        <v>8.1250822490293118</v>
      </c>
      <c r="G154" s="7">
        <f ca="1"/>
        <v>-8.3060913166816075E-2</v>
      </c>
      <c r="H154">
        <f ca="1"/>
        <v>64.600760556341228</v>
      </c>
      <c r="I154" s="7">
        <f ca="1"/>
        <v>-0.62012758567815407</v>
      </c>
      <c r="J154">
        <f ca="1"/>
        <v>3.9394043729859547</v>
      </c>
      <c r="K154">
        <f ca="1"/>
        <v>0</v>
      </c>
      <c r="L154">
        <f ca="1"/>
        <v>2.1792328154250384</v>
      </c>
    </row>
    <row r="155" spans="2:12" x14ac:dyDescent="0.35">
      <c r="B155">
        <v>0.14499999999999999</v>
      </c>
      <c r="C155">
        <f ca="1"/>
        <v>-0.10828332592767785</v>
      </c>
      <c r="D155">
        <f ca="1"/>
        <v>1</v>
      </c>
      <c r="E155">
        <f ca="1"/>
        <v>97.574239672790554</v>
      </c>
      <c r="F155" s="10">
        <f ca="1"/>
        <v>1.5020707155558068</v>
      </c>
      <c r="G155" s="7">
        <f ca="1"/>
        <v>-1.539413189990424E-2</v>
      </c>
      <c r="H155">
        <f ca="1"/>
        <v>66.102831271897031</v>
      </c>
      <c r="I155" s="7">
        <f ca="1"/>
        <v>-0.63552171757805831</v>
      </c>
      <c r="J155">
        <f ca="1"/>
        <v>4.0922828836720626</v>
      </c>
      <c r="K155">
        <f ca="1"/>
        <v>0</v>
      </c>
      <c r="L155">
        <f ca="1"/>
        <v>2.4257603272094457</v>
      </c>
    </row>
    <row r="156" spans="2:12" x14ac:dyDescent="0.35">
      <c r="B156">
        <v>0.14599999999999999</v>
      </c>
      <c r="C156">
        <f ca="1"/>
        <v>-0.15493818058440709</v>
      </c>
      <c r="D156">
        <f ca="1"/>
        <v>1</v>
      </c>
      <c r="E156">
        <f ca="1"/>
        <v>96.666078505806638</v>
      </c>
      <c r="F156" s="10">
        <f ca="1"/>
        <v>5.1848588935908282</v>
      </c>
      <c r="G156" s="7">
        <f ca="1"/>
        <v>-5.3636797661957281E-2</v>
      </c>
      <c r="H156">
        <f ca="1"/>
        <v>71.287690165487859</v>
      </c>
      <c r="I156" s="7">
        <f ca="1"/>
        <v>-0.68915851524001559</v>
      </c>
      <c r="J156">
        <f ca="1"/>
        <v>4.6694390283513769</v>
      </c>
      <c r="K156">
        <f ca="1"/>
        <v>0</v>
      </c>
      <c r="L156">
        <f ca="1"/>
        <v>3.3339214941933619</v>
      </c>
    </row>
    <row r="157" spans="2:12" x14ac:dyDescent="0.35">
      <c r="B157">
        <v>0.14699999999999999</v>
      </c>
      <c r="C157">
        <f ca="1"/>
        <v>-0.18502513597433812</v>
      </c>
      <c r="D157">
        <f ca="1"/>
        <v>1</v>
      </c>
      <c r="E157">
        <f ca="1"/>
        <v>96.084225789471887</v>
      </c>
      <c r="F157" s="10">
        <f ca="1"/>
        <v>3.201739053433553</v>
      </c>
      <c r="G157" s="7">
        <f ca="1"/>
        <v>-3.3322213163780035E-2</v>
      </c>
      <c r="H157">
        <f ca="1"/>
        <v>74.489429218921416</v>
      </c>
      <c r="I157" s="7">
        <f ca="1"/>
        <v>-0.72248072840379562</v>
      </c>
      <c r="J157">
        <f ca="1"/>
        <v>5.0704277824290074</v>
      </c>
      <c r="K157">
        <f ca="1"/>
        <v>0</v>
      </c>
      <c r="L157">
        <f ca="1"/>
        <v>3.915774210528113</v>
      </c>
    </row>
    <row r="158" spans="2:12" x14ac:dyDescent="0.35">
      <c r="B158">
        <v>0.14799999999999999</v>
      </c>
      <c r="C158">
        <f ca="1"/>
        <v>-0.16658485503917178</v>
      </c>
      <c r="D158">
        <f ca="1"/>
        <v>1</v>
      </c>
      <c r="E158">
        <f ca="1"/>
        <v>96.437315308561963</v>
      </c>
      <c r="F158" s="10">
        <f ca="1"/>
        <v>-1.7802141133735001</v>
      </c>
      <c r="G158" s="7">
        <f ca="1"/>
        <v>1.8459805809374785E-2</v>
      </c>
      <c r="H158">
        <f ca="1"/>
        <v>72.709215105547912</v>
      </c>
      <c r="I158" s="7">
        <f ca="1"/>
        <v>-0.70402092259442084</v>
      </c>
      <c r="J158">
        <f ca="1"/>
        <v>4.8153274094850502</v>
      </c>
      <c r="K158">
        <f ca="1"/>
        <v>0</v>
      </c>
      <c r="L158">
        <f ca="1"/>
        <v>3.5626846914380366</v>
      </c>
    </row>
    <row r="159" spans="2:12" x14ac:dyDescent="0.35">
      <c r="B159">
        <v>0.14899999999999999</v>
      </c>
      <c r="C159">
        <f ca="1"/>
        <v>-0.16310522433865732</v>
      </c>
      <c r="D159">
        <f ca="1"/>
        <v>1</v>
      </c>
      <c r="E159">
        <f ca="1"/>
        <v>96.50252184577927</v>
      </c>
      <c r="F159" s="10">
        <f ca="1"/>
        <v>-0.25638958910693793</v>
      </c>
      <c r="G159" s="7">
        <f ca="1"/>
        <v>2.6568175028283125E-3</v>
      </c>
      <c r="H159">
        <f ca="1"/>
        <v>72.452825516440967</v>
      </c>
      <c r="I159" s="7">
        <f ca="1"/>
        <v>-0.70136410509159253</v>
      </c>
      <c r="J159">
        <f ca="1"/>
        <v>4.7694206429941346</v>
      </c>
      <c r="K159">
        <f ca="1"/>
        <v>0</v>
      </c>
      <c r="L159">
        <f ca="1"/>
        <v>3.4974781542207296</v>
      </c>
    </row>
    <row r="160" spans="2:12" x14ac:dyDescent="0.35">
      <c r="B160">
        <v>0.15</v>
      </c>
      <c r="C160">
        <f ca="1"/>
        <v>-0.11864350038005218</v>
      </c>
      <c r="D160">
        <f ca="1"/>
        <v>1</v>
      </c>
      <c r="E160">
        <f ca="1"/>
        <v>97.362535017988577</v>
      </c>
      <c r="F160" s="10">
        <f ca="1"/>
        <v>-4.7965206677312642</v>
      </c>
      <c r="G160" s="7">
        <f ca="1"/>
        <v>4.9264541713556098E-2</v>
      </c>
      <c r="H160">
        <f ca="1"/>
        <v>67.656304848709709</v>
      </c>
      <c r="I160" s="7">
        <f ca="1"/>
        <v>-0.65209956337803643</v>
      </c>
      <c r="J160">
        <f ca="1"/>
        <v>4.1662382741005786</v>
      </c>
      <c r="K160">
        <f ca="1"/>
        <v>0</v>
      </c>
      <c r="L160">
        <f ca="1"/>
        <v>2.6374649820114229</v>
      </c>
    </row>
    <row r="161" spans="2:12" x14ac:dyDescent="0.35">
      <c r="B161">
        <v>0.151</v>
      </c>
      <c r="C161">
        <f ca="1"/>
        <v>-0.13142011127566397</v>
      </c>
      <c r="D161">
        <f ca="1"/>
        <v>1</v>
      </c>
      <c r="E161">
        <f ca="1"/>
        <v>97.112117713163968</v>
      </c>
      <c r="F161" s="10">
        <f ca="1"/>
        <v>1.5374256512810431</v>
      </c>
      <c r="G161" s="7">
        <f ca="1"/>
        <v>-1.5831450157662852E-2</v>
      </c>
      <c r="H161">
        <f ca="1"/>
        <v>69.19373049999075</v>
      </c>
      <c r="I161" s="7">
        <f ca="1"/>
        <v>-0.66793101353569928</v>
      </c>
      <c r="J161">
        <f ca="1"/>
        <v>4.3295352892390042</v>
      </c>
      <c r="K161">
        <f ca="1"/>
        <v>0</v>
      </c>
      <c r="L161">
        <f ca="1"/>
        <v>2.8878822868360317</v>
      </c>
    </row>
    <row r="162" spans="2:12" x14ac:dyDescent="0.35">
      <c r="B162">
        <v>0.152</v>
      </c>
      <c r="C162">
        <f ca="1"/>
        <v>-9.8146844433683572E-2</v>
      </c>
      <c r="D162">
        <f ca="1"/>
        <v>1</v>
      </c>
      <c r="E162">
        <f ca="1"/>
        <v>97.758565057779364</v>
      </c>
      <c r="F162" s="10">
        <f ca="1"/>
        <v>-3.7481398042337726</v>
      </c>
      <c r="G162" s="7">
        <f ca="1"/>
        <v>3.8340781720951678E-2</v>
      </c>
      <c r="H162">
        <f ca="1"/>
        <v>65.445590695756977</v>
      </c>
      <c r="I162" s="7">
        <f ca="1"/>
        <v>-0.6295902318147476</v>
      </c>
      <c r="J162">
        <f ca="1"/>
        <v>3.8977530591525849</v>
      </c>
      <c r="K162">
        <f ca="1"/>
        <v>0</v>
      </c>
      <c r="L162">
        <f ca="1"/>
        <v>2.2414349422206357</v>
      </c>
    </row>
    <row r="163" spans="2:12" x14ac:dyDescent="0.35">
      <c r="B163">
        <v>0.153</v>
      </c>
      <c r="C163">
        <f ca="1"/>
        <v>-5.4780040108278194E-2</v>
      </c>
      <c r="D163">
        <f ca="1"/>
        <v>1</v>
      </c>
      <c r="E163">
        <f ca="1"/>
        <v>98.60817589183651</v>
      </c>
      <c r="F163" s="10">
        <f ca="1"/>
        <v>-5.199570403862662</v>
      </c>
      <c r="G163" s="7">
        <f ca="1"/>
        <v>5.2729607426934666E-2</v>
      </c>
      <c r="H163">
        <f ca="1"/>
        <v>60.246020291894311</v>
      </c>
      <c r="I163" s="7">
        <f ca="1"/>
        <v>-0.57686062438781294</v>
      </c>
      <c r="J163">
        <f ca="1"/>
        <v>3.3628463771862158</v>
      </c>
      <c r="K163">
        <f ca="1"/>
        <v>0</v>
      </c>
      <c r="L163">
        <f ca="1"/>
        <v>1.3918241081634903</v>
      </c>
    </row>
    <row r="164" spans="2:12" x14ac:dyDescent="0.35">
      <c r="B164">
        <v>0.154</v>
      </c>
      <c r="C164">
        <f ca="1"/>
        <v>-2.4295831523175271E-2</v>
      </c>
      <c r="D164">
        <f ca="1"/>
        <v>1</v>
      </c>
      <c r="E164">
        <f ca="1"/>
        <v>99.209226564002279</v>
      </c>
      <c r="F164" s="10">
        <f ca="1"/>
        <v>-3.7868819352346939</v>
      </c>
      <c r="G164" s="7">
        <f ca="1"/>
        <v>3.8170662814226097E-2</v>
      </c>
      <c r="H164">
        <f ca="1"/>
        <v>56.459138356659615</v>
      </c>
      <c r="I164" s="7">
        <f ca="1"/>
        <v>-0.53868996157358684</v>
      </c>
      <c r="J164">
        <f ca="1"/>
        <v>3.0161239111519578</v>
      </c>
      <c r="K164">
        <f ca="1"/>
        <v>0</v>
      </c>
      <c r="L164">
        <f ca="1"/>
        <v>0.79077343599772121</v>
      </c>
    </row>
    <row r="165" spans="2:12" x14ac:dyDescent="0.35">
      <c r="B165">
        <v>0.155</v>
      </c>
      <c r="C165">
        <f ca="1"/>
        <v>1.7330486896352797E-2</v>
      </c>
      <c r="D165">
        <f ca="1"/>
        <v>1</v>
      </c>
      <c r="E165">
        <f ca="1"/>
        <v>100.03661644010946</v>
      </c>
      <c r="F165" s="10">
        <f ca="1"/>
        <v>-5.3371693533925022</v>
      </c>
      <c r="G165" s="7">
        <f ca="1"/>
        <v>5.3352157872990358E-2</v>
      </c>
      <c r="H165">
        <f ca="1"/>
        <v>51.121969003267111</v>
      </c>
      <c r="I165">
        <f ca="1"/>
        <v>-0.48533780370059648</v>
      </c>
      <c r="J165">
        <f ca="1"/>
        <v>2.5704172905854037</v>
      </c>
      <c r="K165">
        <f ca="1"/>
        <v>0</v>
      </c>
      <c r="L165">
        <f ca="1"/>
        <v>0</v>
      </c>
    </row>
    <row r="166" spans="2:12" x14ac:dyDescent="0.35">
      <c r="B166">
        <v>0.156</v>
      </c>
      <c r="C166">
        <f ca="1"/>
        <v>-3.2172711190150076E-2</v>
      </c>
      <c r="D166">
        <f ca="1"/>
        <v>1</v>
      </c>
      <c r="E166">
        <f ca="1"/>
        <v>99.049095737602613</v>
      </c>
      <c r="F166" s="10">
        <f ca="1"/>
        <v>6.38499754306316</v>
      </c>
      <c r="G166" s="7">
        <f ca="1"/>
        <v>-6.4462956431001361E-2</v>
      </c>
      <c r="H166">
        <f ca="1"/>
        <v>57.506966546330268</v>
      </c>
      <c r="I166">
        <f ca="1"/>
        <v>-0.54980076013159784</v>
      </c>
      <c r="J166">
        <f ca="1"/>
        <v>3.0496984194489443</v>
      </c>
      <c r="K166">
        <f ca="1"/>
        <v>0</v>
      </c>
      <c r="L166">
        <f ca="1"/>
        <v>0.9509042623973869</v>
      </c>
    </row>
    <row r="167" spans="2:12" x14ac:dyDescent="0.35">
      <c r="B167">
        <v>0.157</v>
      </c>
      <c r="C167">
        <f ca="1"/>
        <v>3.3527721799242183E-3</v>
      </c>
      <c r="D167">
        <f ca="1"/>
        <v>1</v>
      </c>
      <c r="E167">
        <f ca="1"/>
        <v>99.753360100838407</v>
      </c>
      <c r="F167" s="10">
        <f ca="1"/>
        <v>-4.5701497183449735</v>
      </c>
      <c r="G167" s="7">
        <f ca="1"/>
        <v>4.5814494005265716E-2</v>
      </c>
      <c r="H167">
        <f ca="1"/>
        <v>52.936816827985297</v>
      </c>
      <c r="I167">
        <f ca="1"/>
        <v>-0.50398626612633213</v>
      </c>
      <c r="J167">
        <f ca="1"/>
        <v>2.6624933372083106</v>
      </c>
      <c r="K167">
        <f ca="1"/>
        <v>0</v>
      </c>
      <c r="L167">
        <f ca="1"/>
        <v>0.24663989916159323</v>
      </c>
    </row>
    <row r="168" spans="2:12" x14ac:dyDescent="0.35">
      <c r="B168">
        <v>0.158</v>
      </c>
      <c r="C168">
        <f ca="1"/>
        <v>3.5990027639884348E-2</v>
      </c>
      <c r="D168">
        <f ca="1"/>
        <v>1</v>
      </c>
      <c r="E168">
        <f ca="1"/>
        <v>100.40461692569946</v>
      </c>
      <c r="F168" s="10">
        <f ca="1"/>
        <v>-4.2754087097946014</v>
      </c>
      <c r="G168" s="7">
        <f ca="1"/>
        <v>4.2581793952348346E-2</v>
      </c>
      <c r="H168">
        <f ca="1"/>
        <v>48.661408118190693</v>
      </c>
      <c r="I168">
        <f ca="1"/>
        <v>-0.46140447217398378</v>
      </c>
      <c r="J168">
        <f ca="1"/>
        <v>2.334268841757293</v>
      </c>
      <c r="K168">
        <f ca="1"/>
        <v>0</v>
      </c>
      <c r="L168">
        <f ca="1"/>
        <v>0</v>
      </c>
    </row>
    <row r="169" spans="2:12" x14ac:dyDescent="0.35">
      <c r="B169">
        <v>0.159</v>
      </c>
      <c r="C169">
        <f ca="1"/>
        <v>2.9390361603203973E-2</v>
      </c>
      <c r="D169">
        <f ca="1"/>
        <v>1</v>
      </c>
      <c r="E169">
        <f ca="1"/>
        <v>100.27017153934523</v>
      </c>
      <c r="F169" s="10">
        <f ca="1"/>
        <v>0.87717434450409615</v>
      </c>
      <c r="G169" s="7">
        <f ca="1"/>
        <v>-8.7481085455199392E-3</v>
      </c>
      <c r="H169">
        <f ca="1"/>
        <v>49.538582462694791</v>
      </c>
      <c r="I169">
        <f ca="1"/>
        <v>-0.47015258071950372</v>
      </c>
      <c r="J169">
        <f ca="1"/>
        <v>2.3963025442842962</v>
      </c>
      <c r="K169">
        <f ca="1"/>
        <v>0</v>
      </c>
      <c r="L169">
        <f ca="1"/>
        <v>0</v>
      </c>
    </row>
    <row r="170" spans="2:12" x14ac:dyDescent="0.35">
      <c r="B170">
        <v>0.16</v>
      </c>
      <c r="C170">
        <f ca="1"/>
        <v>-1.9111304985710183E-3</v>
      </c>
      <c r="D170">
        <f ca="1"/>
        <v>1</v>
      </c>
      <c r="E170">
        <f ca="1"/>
        <v>99.642418241766393</v>
      </c>
      <c r="F170" s="10">
        <f ca="1"/>
        <v>4.1546669548478778</v>
      </c>
      <c r="G170" s="7">
        <f ca="1"/>
        <v>-4.1695766001656476E-2</v>
      </c>
      <c r="H170">
        <f ca="1"/>
        <v>53.693249417542667</v>
      </c>
      <c r="I170">
        <f ca="1"/>
        <v>-0.5118483467211602</v>
      </c>
      <c r="J170">
        <f ca="1"/>
        <v>2.691442377196168</v>
      </c>
      <c r="K170">
        <f ca="1"/>
        <v>0</v>
      </c>
      <c r="L170">
        <f ca="1"/>
        <v>0.35758175823360716</v>
      </c>
    </row>
    <row r="171" spans="2:12" x14ac:dyDescent="0.35">
      <c r="B171">
        <v>0.161</v>
      </c>
      <c r="C171">
        <f ca="1"/>
        <v>3.6335202380200243E-2</v>
      </c>
      <c r="D171">
        <f ca="1"/>
        <v>1</v>
      </c>
      <c r="E171">
        <f ca="1"/>
        <v>100.40552408029673</v>
      </c>
      <c r="F171" s="10">
        <f ca="1"/>
        <v>-5.0953565539171599</v>
      </c>
      <c r="G171" s="7">
        <f ca="1"/>
        <v>5.0747771107118367E-2</v>
      </c>
      <c r="H171">
        <f ca="1"/>
        <v>48.597892863625503</v>
      </c>
      <c r="I171">
        <f ca="1"/>
        <v>-0.46110057561404183</v>
      </c>
      <c r="J171">
        <f ca="1"/>
        <v>2.3008479153711434</v>
      </c>
      <c r="K171">
        <f ca="1"/>
        <v>0</v>
      </c>
      <c r="L171">
        <f ca="1"/>
        <v>0</v>
      </c>
    </row>
    <row r="172" spans="2:12" x14ac:dyDescent="0.35">
      <c r="B172">
        <v>0.16200000000000001</v>
      </c>
      <c r="C172">
        <f ca="1"/>
        <v>3.1426316760437556E-2</v>
      </c>
      <c r="D172">
        <f ca="1"/>
        <v>1</v>
      </c>
      <c r="E172">
        <f ca="1"/>
        <v>100.30499048768885</v>
      </c>
      <c r="F172" s="10">
        <f ca="1"/>
        <v>0.66435049118207123</v>
      </c>
      <c r="G172" s="7">
        <f ca="1"/>
        <v>-6.6233044632371674E-3</v>
      </c>
      <c r="H172">
        <f ca="1"/>
        <v>49.262243354807573</v>
      </c>
      <c r="I172">
        <f ca="1"/>
        <v>-0.467723880077279</v>
      </c>
      <c r="J172">
        <f ca="1"/>
        <v>2.3472040127911811</v>
      </c>
      <c r="K172">
        <f ca="1"/>
        <v>0</v>
      </c>
      <c r="L172">
        <f ca="1"/>
        <v>0</v>
      </c>
    </row>
    <row r="173" spans="2:12" x14ac:dyDescent="0.35">
      <c r="B173">
        <v>0.16300000000000001</v>
      </c>
      <c r="C173">
        <f ca="1"/>
        <v>4.3408555311810107E-2</v>
      </c>
      <c r="D173">
        <f ca="1"/>
        <v>1</v>
      </c>
      <c r="E173">
        <f ca="1"/>
        <v>100.54364351356473</v>
      </c>
      <c r="F173" s="10">
        <f ca="1"/>
        <v>-1.6124899103652945</v>
      </c>
      <c r="G173" s="7">
        <f ca="1"/>
        <v>1.6037711127384668E-2</v>
      </c>
      <c r="H173">
        <f ca="1"/>
        <v>47.649753444442275</v>
      </c>
      <c r="I173">
        <f ca="1"/>
        <v>-0.45168616894989433</v>
      </c>
      <c r="J173">
        <f ca="1"/>
        <v>2.23558029353633</v>
      </c>
      <c r="K173">
        <f ca="1"/>
        <v>0</v>
      </c>
      <c r="L173">
        <f ca="1"/>
        <v>0</v>
      </c>
    </row>
    <row r="174" spans="2:12" x14ac:dyDescent="0.35">
      <c r="B174">
        <v>0.16400000000000001</v>
      </c>
      <c r="C174">
        <f ca="1"/>
        <v>-1.029957919837278E-2</v>
      </c>
      <c r="D174">
        <f ca="1"/>
        <v>1</v>
      </c>
      <c r="E174">
        <f ca="1"/>
        <v>99.467431616707131</v>
      </c>
      <c r="F174" s="10">
        <f ca="1"/>
        <v>7.2532195792202572</v>
      </c>
      <c r="G174" s="7">
        <f ca="1"/>
        <v>-7.2920547573503081E-2</v>
      </c>
      <c r="H174">
        <f ca="1"/>
        <v>54.902973023662533</v>
      </c>
      <c r="I174">
        <f ca="1"/>
        <v>-0.52460671652339741</v>
      </c>
      <c r="J174">
        <f ca="1"/>
        <v>2.7216903222062356</v>
      </c>
      <c r="K174">
        <f ca="1"/>
        <v>0</v>
      </c>
      <c r="L174">
        <f ca="1"/>
        <v>0.53256838329286893</v>
      </c>
    </row>
    <row r="175" spans="2:12" x14ac:dyDescent="0.35">
      <c r="B175">
        <v>0.16500000000000001</v>
      </c>
      <c r="C175">
        <f ca="1"/>
        <v>3.0324743703170256E-3</v>
      </c>
      <c r="D175">
        <f ca="1"/>
        <v>1</v>
      </c>
      <c r="E175">
        <f ca="1"/>
        <v>99.731011910430396</v>
      </c>
      <c r="F175" s="10">
        <f ca="1"/>
        <v>-1.7761772474431401</v>
      </c>
      <c r="G175" s="7">
        <f ca="1"/>
        <v>1.7809678388086003E-2</v>
      </c>
      <c r="H175">
        <f ca="1"/>
        <v>53.126795776219396</v>
      </c>
      <c r="I175">
        <f ca="1"/>
        <v>-0.50679703813531141</v>
      </c>
      <c r="J175">
        <f ca="1"/>
        <v>2.5834143297758061</v>
      </c>
      <c r="K175">
        <f ca="1"/>
        <v>0</v>
      </c>
      <c r="L175">
        <f ca="1"/>
        <v>0.26898808956960352</v>
      </c>
    </row>
    <row r="176" spans="2:12" x14ac:dyDescent="0.35">
      <c r="B176">
        <v>0.16600000000000001</v>
      </c>
      <c r="C176">
        <f ca="1"/>
        <v>2.9667465064635003E-2</v>
      </c>
      <c r="D176">
        <f ca="1"/>
        <v>1</v>
      </c>
      <c r="E176">
        <f ca="1"/>
        <v>100.2616911162913</v>
      </c>
      <c r="F176" s="10">
        <f ca="1"/>
        <v>-3.6414657256732328</v>
      </c>
      <c r="G176" s="7">
        <f ca="1"/>
        <v>3.6319612058503759E-2</v>
      </c>
      <c r="H176">
        <f ca="1"/>
        <v>49.48533005054616</v>
      </c>
      <c r="I176">
        <f ca="1"/>
        <v>-0.47047742607680765</v>
      </c>
      <c r="J176">
        <f ca="1"/>
        <v>2.314467680045496</v>
      </c>
      <c r="K176">
        <f ca="1"/>
        <v>0</v>
      </c>
      <c r="L176">
        <f ca="1"/>
        <v>0</v>
      </c>
    </row>
    <row r="177" spans="2:12" x14ac:dyDescent="0.35">
      <c r="B177">
        <v>0.16700000000000001</v>
      </c>
      <c r="C177">
        <f ca="1"/>
        <v>1.4839667576545448E-2</v>
      </c>
      <c r="D177">
        <f ca="1"/>
        <v>1</v>
      </c>
      <c r="E177">
        <f ca="1"/>
        <v>99.962800272346001</v>
      </c>
      <c r="F177" s="10">
        <f ca="1"/>
        <v>2.0598328650537541</v>
      </c>
      <c r="G177" s="7">
        <f ca="1"/>
        <v>-2.060599402419494E-2</v>
      </c>
      <c r="H177">
        <f ca="1"/>
        <v>51.545162915599917</v>
      </c>
      <c r="I177">
        <f ca="1"/>
        <v>-0.49108342010100259</v>
      </c>
      <c r="J177">
        <f ca="1"/>
        <v>2.4550890749828085</v>
      </c>
      <c r="K177">
        <f ca="1"/>
        <v>0</v>
      </c>
      <c r="L177">
        <f ca="1"/>
        <v>3.7199727653998593E-2</v>
      </c>
    </row>
    <row r="178" spans="2:12" x14ac:dyDescent="0.35">
      <c r="B178">
        <v>0.16800000000000001</v>
      </c>
      <c r="C178">
        <f ca="1"/>
        <v>-1.7889206156720527E-2</v>
      </c>
      <c r="D178">
        <f ca="1"/>
        <v>1</v>
      </c>
      <c r="E178">
        <f ca="1"/>
        <v>99.308617002827333</v>
      </c>
      <c r="F178" s="10">
        <f ca="1"/>
        <v>4.5451469058671927</v>
      </c>
      <c r="G178" s="7">
        <f ca="1"/>
        <v>-4.5767900541176521E-2</v>
      </c>
      <c r="H178">
        <f ca="1"/>
        <v>56.090309821467109</v>
      </c>
      <c r="I178">
        <f ca="1"/>
        <v>-0.53685132064217911</v>
      </c>
      <c r="J178">
        <f ca="1"/>
        <v>2.7763476323508911</v>
      </c>
      <c r="K178">
        <f ca="1"/>
        <v>0</v>
      </c>
      <c r="L178">
        <f ca="1"/>
        <v>0.69138299717266705</v>
      </c>
    </row>
    <row r="179" spans="2:12" x14ac:dyDescent="0.35">
      <c r="B179">
        <v>0.16900000000000001</v>
      </c>
      <c r="C179">
        <f ca="1"/>
        <v>-6.9635798056960255E-2</v>
      </c>
      <c r="D179">
        <f ca="1"/>
        <v>1</v>
      </c>
      <c r="E179">
        <f ca="1"/>
        <v>98.284174897638835</v>
      </c>
      <c r="F179" s="10">
        <f ca="1"/>
        <v>7.048864381984961</v>
      </c>
      <c r="G179" s="7">
        <f ca="1"/>
        <v>-7.1719220203315781E-2</v>
      </c>
      <c r="H179">
        <f ca="1"/>
        <v>63.139174203452072</v>
      </c>
      <c r="I179">
        <f ca="1"/>
        <v>-0.60857054084549489</v>
      </c>
      <c r="J179">
        <f ca="1"/>
        <v>3.3263207294427914</v>
      </c>
      <c r="K179">
        <f ca="1"/>
        <v>0</v>
      </c>
      <c r="L179">
        <f ca="1"/>
        <v>1.7158251023611655</v>
      </c>
    </row>
    <row r="180" spans="2:12" x14ac:dyDescent="0.35">
      <c r="B180">
        <v>0.17</v>
      </c>
      <c r="C180">
        <f ca="1"/>
        <v>-4.5414006644701257E-2</v>
      </c>
      <c r="D180">
        <f ca="1"/>
        <v>1</v>
      </c>
      <c r="E180">
        <f ca="1"/>
        <v>98.759478566567878</v>
      </c>
      <c r="F180" s="10">
        <f ca="1"/>
        <v>-3.1891227999409781</v>
      </c>
      <c r="G180" s="7">
        <f ca="1"/>
        <v>3.2291814884293668E-2</v>
      </c>
      <c r="H180">
        <f ca="1"/>
        <v>59.950051403511097</v>
      </c>
      <c r="I180">
        <f ca="1"/>
        <v>-0.57627872596120122</v>
      </c>
      <c r="J180">
        <f ca="1"/>
        <v>3.0370649185768031</v>
      </c>
      <c r="K180">
        <f ca="1"/>
        <v>0</v>
      </c>
      <c r="L180">
        <f ca="1"/>
        <v>1.2405214334321215</v>
      </c>
    </row>
    <row r="181" spans="2:12" x14ac:dyDescent="0.35">
      <c r="B181">
        <v>0.17100000000000001</v>
      </c>
      <c r="C181">
        <f ca="1"/>
        <v>-5.1431162275057563E-2</v>
      </c>
      <c r="D181">
        <f ca="1"/>
        <v>1</v>
      </c>
      <c r="E181">
        <f ca="1"/>
        <v>98.63872702715247</v>
      </c>
      <c r="F181" s="10">
        <f ca="1"/>
        <v>0.89926043710465953</v>
      </c>
      <c r="G181" s="7">
        <f ca="1"/>
        <v>-9.1167076482761011E-3</v>
      </c>
      <c r="H181">
        <f ca="1"/>
        <v>60.849311840615755</v>
      </c>
      <c r="I181">
        <f ca="1"/>
        <v>-0.58539543360947732</v>
      </c>
      <c r="J181">
        <f ca="1"/>
        <v>3.1066514618689638</v>
      </c>
      <c r="K181">
        <f ca="1"/>
        <v>0</v>
      </c>
      <c r="L181">
        <f ca="1"/>
        <v>1.3612729728475301</v>
      </c>
    </row>
    <row r="182" spans="2:12" x14ac:dyDescent="0.35">
      <c r="B182">
        <v>0.17200000000000001</v>
      </c>
      <c r="C182">
        <f ca="1"/>
        <v>-7.2487535970823178E-2</v>
      </c>
      <c r="D182">
        <f ca="1"/>
        <v>1</v>
      </c>
      <c r="E182">
        <f ca="1"/>
        <v>98.222241227487658</v>
      </c>
      <c r="F182" s="10">
        <f ca="1"/>
        <v>2.9389676571980021</v>
      </c>
      <c r="G182" s="7">
        <f ca="1"/>
        <v>-2.9921610629828788E-2</v>
      </c>
      <c r="H182">
        <f ca="1"/>
        <v>63.788279497813754</v>
      </c>
      <c r="I182">
        <f ca="1"/>
        <v>-0.61531704423930611</v>
      </c>
      <c r="J182">
        <f ca="1"/>
        <v>3.3504603471559378</v>
      </c>
      <c r="K182">
        <f ca="1"/>
        <v>0</v>
      </c>
      <c r="L182">
        <f ca="1"/>
        <v>1.7777587725123425</v>
      </c>
    </row>
    <row r="183" spans="2:12" x14ac:dyDescent="0.35">
      <c r="B183">
        <v>0.17300000000000001</v>
      </c>
      <c r="C183">
        <f ca="1"/>
        <v>1.5950938212279511E-2</v>
      </c>
      <c r="D183">
        <f ca="1"/>
        <v>1</v>
      </c>
      <c r="E183">
        <f ca="1"/>
        <v>99.973022403853662</v>
      </c>
      <c r="F183" s="10">
        <f ca="1"/>
        <v>-12.441334319397162</v>
      </c>
      <c r="G183" s="7">
        <f ca="1"/>
        <v>0.12444691598038138</v>
      </c>
      <c r="H183">
        <f ca="1"/>
        <v>51.34694517841659</v>
      </c>
      <c r="I183">
        <f ca="1"/>
        <v>-0.49087012825892473</v>
      </c>
      <c r="J183">
        <f ca="1"/>
        <v>2.2731748486045902</v>
      </c>
      <c r="K183">
        <f ca="1"/>
        <v>0</v>
      </c>
      <c r="L183">
        <f ca="1"/>
        <v>2.6977596146338101E-2</v>
      </c>
    </row>
    <row r="184" spans="2:12" x14ac:dyDescent="0.35">
      <c r="B184">
        <v>0.17400000000000002</v>
      </c>
      <c r="C184">
        <f ca="1"/>
        <v>1.28984766902044E-4</v>
      </c>
      <c r="D184">
        <f ca="1"/>
        <v>1</v>
      </c>
      <c r="E184">
        <f ca="1"/>
        <v>99.655175584967026</v>
      </c>
      <c r="F184" s="10">
        <f ca="1"/>
        <v>2.3042349655053158</v>
      </c>
      <c r="G184" s="7">
        <f ca="1"/>
        <v>-2.3122080232959918E-2</v>
      </c>
      <c r="H184">
        <f ca="1"/>
        <v>53.651180143921906</v>
      </c>
      <c r="I184">
        <f ca="1"/>
        <v>-0.51399220849188465</v>
      </c>
      <c r="J184">
        <f ca="1"/>
        <v>2.4291963573581583</v>
      </c>
      <c r="K184">
        <f ca="1"/>
        <v>0</v>
      </c>
      <c r="L184">
        <f ca="1"/>
        <v>0.34482441503297423</v>
      </c>
    </row>
    <row r="185" spans="2:12" x14ac:dyDescent="0.35">
      <c r="B185">
        <v>0.17500000000000002</v>
      </c>
      <c r="C185">
        <f ca="1"/>
        <v>2.541634728629116E-2</v>
      </c>
      <c r="D185">
        <f ca="1"/>
        <v>1</v>
      </c>
      <c r="E185">
        <f ca="1"/>
        <v>100.1584523490082</v>
      </c>
      <c r="F185" s="10">
        <f ca="1"/>
        <v>-3.6495564704052477</v>
      </c>
      <c r="G185" s="7">
        <f ca="1"/>
        <v>3.6437828109485426E-2</v>
      </c>
      <c r="H185">
        <f ca="1"/>
        <v>50.001623673516661</v>
      </c>
      <c r="I185">
        <f ca="1"/>
        <v>-0.47755438038239922</v>
      </c>
      <c r="J185">
        <f ca="1"/>
        <v>2.1705160219259909</v>
      </c>
      <c r="K185">
        <f ca="1"/>
        <v>0</v>
      </c>
      <c r="L185">
        <f ca="1"/>
        <v>0</v>
      </c>
    </row>
    <row r="186" spans="2:12" x14ac:dyDescent="0.35">
      <c r="B186">
        <v>0.17599999999999999</v>
      </c>
      <c r="C186">
        <f ca="1"/>
        <v>4.6353376455766114E-2</v>
      </c>
      <c r="D186">
        <f ca="1"/>
        <v>1</v>
      </c>
      <c r="E186">
        <f ca="1"/>
        <v>100.57672421659869</v>
      </c>
      <c r="F186" s="10">
        <f ca="1"/>
        <v>-3.0594552157135206</v>
      </c>
      <c r="G186" s="7">
        <f ca="1"/>
        <v>3.0419117738660684E-2</v>
      </c>
      <c r="H186">
        <f ca="1"/>
        <v>46.942168457803142</v>
      </c>
      <c r="I186">
        <f ca="1"/>
        <v>-0.44713526264373854</v>
      </c>
      <c r="J186">
        <f ca="1"/>
        <v>1.9707684593674273</v>
      </c>
      <c r="K186">
        <f ca="1"/>
        <v>0</v>
      </c>
      <c r="L186">
        <f ca="1"/>
        <v>0</v>
      </c>
    </row>
    <row r="187" spans="2:12" x14ac:dyDescent="0.35">
      <c r="B187">
        <v>0.17699999999999999</v>
      </c>
      <c r="C187">
        <f ca="1"/>
        <v>4.8076664627230703E-2</v>
      </c>
      <c r="D187">
        <f ca="1"/>
        <v>1</v>
      </c>
      <c r="E187">
        <f ca="1"/>
        <v>100.60938251904452</v>
      </c>
      <c r="F187">
        <f ca="1"/>
        <v>-0.26027941970641966</v>
      </c>
      <c r="G187" s="7">
        <f ca="1"/>
        <v>2.5870292927913652E-3</v>
      </c>
      <c r="H187">
        <f ca="1"/>
        <v>46.68188903809672</v>
      </c>
      <c r="I187">
        <f ca="1"/>
        <v>-0.44454823335094718</v>
      </c>
      <c r="J187">
        <f ca="1"/>
        <v>1.9561657807258115</v>
      </c>
      <c r="K187">
        <f ca="1"/>
        <v>0</v>
      </c>
      <c r="L187">
        <f ca="1"/>
        <v>0</v>
      </c>
    </row>
    <row r="188" spans="2:12" x14ac:dyDescent="0.35">
      <c r="B188">
        <v>0.17799999999999999</v>
      </c>
      <c r="C188">
        <f ca="1"/>
        <v>5.5013197635006034E-2</v>
      </c>
      <c r="D188">
        <f ca="1"/>
        <v>1</v>
      </c>
      <c r="E188">
        <f ca="1"/>
        <v>100.74704048081486</v>
      </c>
      <c r="F188">
        <f ca="1"/>
        <v>-1.035697340228622</v>
      </c>
      <c r="G188" s="7">
        <f ca="1"/>
        <v>1.0280176323649415E-2</v>
      </c>
      <c r="H188">
        <f ca="1"/>
        <v>45.646191697868097</v>
      </c>
      <c r="I188">
        <f ca="1"/>
        <v>-0.43426805702729776</v>
      </c>
      <c r="J188">
        <f ca="1"/>
        <v>1.8949701770141161</v>
      </c>
      <c r="K188">
        <f ca="1"/>
        <v>0</v>
      </c>
      <c r="L188">
        <f ca="1"/>
        <v>0</v>
      </c>
    </row>
    <row r="189" spans="2:12" x14ac:dyDescent="0.35">
      <c r="B189">
        <v>0.17899999999999999</v>
      </c>
      <c r="C189">
        <f ca="1"/>
        <v>4.7272307303805952E-2</v>
      </c>
      <c r="D189">
        <f ca="1"/>
        <v>1</v>
      </c>
      <c r="E189">
        <f ca="1"/>
        <v>100.58917499464232</v>
      </c>
      <c r="F189">
        <f ca="1"/>
        <v>1.1362056098053868</v>
      </c>
      <c r="G189" s="7">
        <f ca="1"/>
        <v>-1.129550580234806E-2</v>
      </c>
      <c r="H189">
        <f ca="1"/>
        <v>46.782397307673484</v>
      </c>
      <c r="I189">
        <f ca="1"/>
        <v>-0.44556356282964582</v>
      </c>
      <c r="J189">
        <f ca="1"/>
        <v>1.96352611496593</v>
      </c>
      <c r="K189">
        <f ca="1"/>
        <v>0</v>
      </c>
      <c r="L189">
        <f ca="1"/>
        <v>0</v>
      </c>
    </row>
    <row r="190" spans="2:12" x14ac:dyDescent="0.35">
      <c r="B190">
        <v>0.18</v>
      </c>
      <c r="C190">
        <f ca="1"/>
        <v>2.2097476544258959E-2</v>
      </c>
      <c r="D190">
        <f ca="1"/>
        <v>1</v>
      </c>
      <c r="E190">
        <f ca="1"/>
        <v>100.08198311868763</v>
      </c>
      <c r="F190">
        <f ca="1"/>
        <v>3.7738814676042791</v>
      </c>
      <c r="G190" s="7">
        <f ca="1"/>
        <v>-3.7707900563169472E-2</v>
      </c>
      <c r="H190">
        <f ca="1"/>
        <v>50.556278775277761</v>
      </c>
      <c r="I190">
        <f ca="1"/>
        <v>-0.48327146339281529</v>
      </c>
      <c r="J190">
        <f ca="1"/>
        <v>2.1895123342545517</v>
      </c>
      <c r="K190">
        <f ca="1"/>
        <v>0</v>
      </c>
      <c r="L190">
        <f ca="1"/>
        <v>0</v>
      </c>
    </row>
    <row r="191" spans="2:12" x14ac:dyDescent="0.35">
      <c r="B191">
        <v>0.18099999999999999</v>
      </c>
      <c r="C191">
        <f ca="1"/>
        <v>-6.783009285592459E-3</v>
      </c>
      <c r="D191">
        <f ca="1"/>
        <v>1</v>
      </c>
      <c r="E191">
        <f ca="1"/>
        <v>99.503576090921271</v>
      </c>
      <c r="F191">
        <f ca="1"/>
        <v>4.3800344327788086</v>
      </c>
      <c r="G191" s="7">
        <f ca="1"/>
        <v>-4.4018864495649457E-2</v>
      </c>
      <c r="H191">
        <f ca="1"/>
        <v>54.936313208056568</v>
      </c>
      <c r="I191">
        <f ca="1"/>
        <v>-0.52729032788846475</v>
      </c>
      <c r="J191">
        <f ca="1"/>
        <v>2.4690399449998921</v>
      </c>
      <c r="K191">
        <f ca="1"/>
        <v>0</v>
      </c>
      <c r="L191">
        <f ca="1"/>
        <v>0.4964239090787288</v>
      </c>
    </row>
    <row r="192" spans="2:12" x14ac:dyDescent="0.35">
      <c r="B192">
        <v>0.182</v>
      </c>
      <c r="C192">
        <f ca="1"/>
        <v>-2.6101582956307389E-2</v>
      </c>
      <c r="D192">
        <f ca="1"/>
        <v>1</v>
      </c>
      <c r="E192">
        <f ca="1"/>
        <v>99.117882033995812</v>
      </c>
      <c r="F192">
        <f ca="1"/>
        <v>2.9621588197321689</v>
      </c>
      <c r="G192" s="7">
        <f ca="1"/>
        <v>-2.9885211012844248E-2</v>
      </c>
      <c r="H192">
        <f ca="1"/>
        <v>57.898472027788735</v>
      </c>
      <c r="I192">
        <f ca="1"/>
        <v>-0.557175538901309</v>
      </c>
      <c r="J192">
        <f ca="1"/>
        <v>2.6724126907407424</v>
      </c>
      <c r="K192">
        <f ca="1"/>
        <v>0</v>
      </c>
      <c r="L192">
        <f ca="1"/>
        <v>0.88211796600418779</v>
      </c>
    </row>
    <row r="193" spans="2:12" x14ac:dyDescent="0.35">
      <c r="B193">
        <v>0.183</v>
      </c>
      <c r="C193">
        <f ca="1"/>
        <v>-5.0000322173887154E-2</v>
      </c>
      <c r="D193">
        <f ca="1"/>
        <v>1</v>
      </c>
      <c r="E193">
        <f ca="1"/>
        <v>98.643281087022885</v>
      </c>
      <c r="F193">
        <f ca="1"/>
        <v>3.6376925822546458</v>
      </c>
      <c r="G193" s="7">
        <f ca="1"/>
        <v>-3.687724639902723E-2</v>
      </c>
      <c r="H193">
        <f ca="1"/>
        <v>61.536164610043379</v>
      </c>
      <c r="I193">
        <f ca="1"/>
        <v>-0.59405278530033623</v>
      </c>
      <c r="J193">
        <f ca="1"/>
        <v>2.9368487291334588</v>
      </c>
      <c r="K193">
        <f ca="1"/>
        <v>0</v>
      </c>
      <c r="L193">
        <f ca="1"/>
        <v>1.3567189129771151</v>
      </c>
    </row>
    <row r="194" spans="2:12" x14ac:dyDescent="0.35">
      <c r="B194">
        <v>0.184</v>
      </c>
      <c r="C194">
        <f ca="1"/>
        <v>-0.12220734497272336</v>
      </c>
      <c r="D194">
        <f ca="1"/>
        <v>1</v>
      </c>
      <c r="E194">
        <f ca="1"/>
        <v>97.227025893739167</v>
      </c>
      <c r="F194">
        <f ca="1"/>
        <v>10.206966181935561</v>
      </c>
      <c r="G194" s="7">
        <f ca="1"/>
        <v>-0.1049807508571835</v>
      </c>
      <c r="H194">
        <f ca="1"/>
        <v>71.743130791978942</v>
      </c>
      <c r="I194">
        <f ca="1"/>
        <v>-0.69903353615751973</v>
      </c>
      <c r="J194">
        <f ca="1"/>
        <v>3.7781790713997196</v>
      </c>
      <c r="K194">
        <f ca="1"/>
        <v>0</v>
      </c>
      <c r="L194">
        <f ca="1"/>
        <v>2.7729741062608326</v>
      </c>
    </row>
    <row r="195" spans="2:12" x14ac:dyDescent="0.35">
      <c r="B195">
        <v>0.185</v>
      </c>
      <c r="C195">
        <f ca="1"/>
        <v>-4.9347407666581924E-2</v>
      </c>
      <c r="D195">
        <f ca="1"/>
        <v>1</v>
      </c>
      <c r="E195">
        <f ca="1"/>
        <v>98.652216886342586</v>
      </c>
      <c r="F195">
        <f ca="1"/>
        <v>-10.255557137807527</v>
      </c>
      <c r="G195" s="7">
        <f ca="1"/>
        <v>0.10395668198336561</v>
      </c>
      <c r="H195">
        <f ca="1"/>
        <v>61.487573654171413</v>
      </c>
      <c r="I195">
        <f ca="1"/>
        <v>-0.59507685417415412</v>
      </c>
      <c r="J195">
        <f ca="1"/>
        <v>2.7819227721402982</v>
      </c>
      <c r="K195">
        <f ca="1"/>
        <v>0</v>
      </c>
      <c r="L195">
        <f ca="1"/>
        <v>1.3477831136574139</v>
      </c>
    </row>
    <row r="196" spans="2:12" x14ac:dyDescent="0.35">
      <c r="B196">
        <v>0.186</v>
      </c>
      <c r="C196">
        <f ca="1"/>
        <v>-4.9453674969271944E-2</v>
      </c>
      <c r="D196">
        <f ca="1"/>
        <v>1</v>
      </c>
      <c r="E196">
        <f ca="1"/>
        <v>98.648147224950662</v>
      </c>
      <c r="F196">
        <f ca="1"/>
        <v>0.11783349078061271</v>
      </c>
      <c r="G196" s="7">
        <f ca="1"/>
        <v>-1.1944825533510839E-3</v>
      </c>
      <c r="H196">
        <f ca="1"/>
        <v>61.605407144952025</v>
      </c>
      <c r="I196">
        <f ca="1"/>
        <v>-0.59627133672750521</v>
      </c>
      <c r="J196">
        <f ca="1"/>
        <v>2.7843445334389614</v>
      </c>
      <c r="K196">
        <f ca="1"/>
        <v>0</v>
      </c>
      <c r="L196">
        <f ca="1"/>
        <v>1.3518527750493377</v>
      </c>
    </row>
    <row r="197" spans="2:12" x14ac:dyDescent="0.35">
      <c r="B197">
        <v>0.187</v>
      </c>
      <c r="C197">
        <f ca="1"/>
        <v>-6.7110800728587092E-2</v>
      </c>
      <c r="D197">
        <f ca="1"/>
        <v>1</v>
      </c>
      <c r="E197">
        <f ca="1"/>
        <v>98.298427083737977</v>
      </c>
      <c r="F197">
        <f ca="1"/>
        <v>2.7546036896726016</v>
      </c>
      <c r="G197" s="7">
        <f ca="1"/>
        <v>-2.8022866401778979E-2</v>
      </c>
      <c r="H197">
        <f ca="1"/>
        <v>64.360010834624632</v>
      </c>
      <c r="I197">
        <f ca="1"/>
        <v>-0.62429420312928419</v>
      </c>
      <c r="J197">
        <f ca="1"/>
        <v>2.9928726295203845</v>
      </c>
      <c r="K197">
        <f ca="1"/>
        <v>0</v>
      </c>
      <c r="L197">
        <f ca="1"/>
        <v>1.7015729162620232</v>
      </c>
    </row>
    <row r="198" spans="2:12" x14ac:dyDescent="0.35">
      <c r="B198">
        <v>0.188</v>
      </c>
      <c r="C198">
        <f ca="1"/>
        <v>-9.4100104700943876E-2</v>
      </c>
      <c r="D198">
        <f ca="1"/>
        <v>1</v>
      </c>
      <c r="E198">
        <f ca="1"/>
        <v>97.767299975042405</v>
      </c>
      <c r="F198">
        <f ca="1"/>
        <v>4.0640650912118854</v>
      </c>
      <c r="G198" s="7">
        <f ca="1"/>
        <v>-4.1568756549984931E-2</v>
      </c>
      <c r="H198">
        <f ca="1"/>
        <v>68.424075925836519</v>
      </c>
      <c r="I198">
        <f ca="1"/>
        <v>-0.66586295967926912</v>
      </c>
      <c r="J198">
        <f ca="1"/>
        <v>3.3244522046038441</v>
      </c>
      <c r="K198">
        <f ca="1"/>
        <v>0</v>
      </c>
      <c r="L198">
        <f ca="1"/>
        <v>2.2327000249575946</v>
      </c>
    </row>
    <row r="199" spans="2:12" x14ac:dyDescent="0.35">
      <c r="B199">
        <v>0.189</v>
      </c>
      <c r="C199">
        <f ca="1"/>
        <v>-0.100303261270499</v>
      </c>
      <c r="D199">
        <f ca="1"/>
        <v>1</v>
      </c>
      <c r="E199">
        <f ca="1"/>
        <v>97.644129108055111</v>
      </c>
      <c r="F199">
        <f ca="1"/>
        <v>1.0389221864126268</v>
      </c>
      <c r="G199" s="7">
        <f ca="1"/>
        <v>-1.0639883789254068E-2</v>
      </c>
      <c r="H199">
        <f ca="1"/>
        <v>69.462998112249139</v>
      </c>
      <c r="I199">
        <f ca="1"/>
        <v>-0.67650284346852319</v>
      </c>
      <c r="J199">
        <f ca="1"/>
        <v>3.4064671226422689</v>
      </c>
      <c r="K199">
        <f ca="1"/>
        <v>0</v>
      </c>
      <c r="L199">
        <f ca="1"/>
        <v>2.355870891944889</v>
      </c>
    </row>
    <row r="200" spans="2:12" x14ac:dyDescent="0.35">
      <c r="B200">
        <v>0.19</v>
      </c>
      <c r="C200">
        <f ca="1"/>
        <v>-0.12142681363870567</v>
      </c>
      <c r="D200">
        <f ca="1"/>
        <v>1</v>
      </c>
      <c r="E200">
        <f ca="1"/>
        <v>97.230536462052967</v>
      </c>
      <c r="F200">
        <f ca="1"/>
        <v>3.1040015877215064</v>
      </c>
      <c r="G200" s="7">
        <f ca="1"/>
        <v>-3.192414338815186E-2</v>
      </c>
      <c r="H200">
        <f ca="1"/>
        <v>72.566999699970651</v>
      </c>
      <c r="I200">
        <f ca="1"/>
        <v>-0.70842698685667504</v>
      </c>
      <c r="J200">
        <f ca="1"/>
        <v>3.6862637237003923</v>
      </c>
      <c r="K200">
        <f ca="1"/>
        <v>0</v>
      </c>
      <c r="L200">
        <f ca="1"/>
        <v>2.7694635379470327</v>
      </c>
    </row>
    <row r="201" spans="2:12" x14ac:dyDescent="0.35">
      <c r="B201">
        <v>0.191</v>
      </c>
      <c r="C201">
        <f ca="1"/>
        <v>-8.8830383301883226E-2</v>
      </c>
      <c r="D201">
        <f ca="1"/>
        <v>1</v>
      </c>
      <c r="E201">
        <f ca="1"/>
        <v>97.864523533000792</v>
      </c>
      <c r="F201">
        <f ca="1"/>
        <v>-4.4675702382739617</v>
      </c>
      <c r="G201" s="7">
        <f ca="1"/>
        <v>4.5650559334378782E-2</v>
      </c>
      <c r="H201">
        <f ca="1"/>
        <v>68.099429461696687</v>
      </c>
      <c r="I201">
        <f ca="1"/>
        <v>-0.66277642752229626</v>
      </c>
      <c r="J201">
        <f ca="1"/>
        <v>3.2371301733227256</v>
      </c>
      <c r="K201">
        <f ca="1"/>
        <v>0</v>
      </c>
      <c r="L201">
        <f ca="1"/>
        <v>2.1354764669992079</v>
      </c>
    </row>
    <row r="202" spans="2:12" x14ac:dyDescent="0.35">
      <c r="B202">
        <v>0.192</v>
      </c>
      <c r="C202">
        <f ca="1"/>
        <v>-9.6397526456254365E-2</v>
      </c>
      <c r="D202">
        <f ca="1"/>
        <v>1</v>
      </c>
      <c r="E202">
        <f ca="1"/>
        <v>97.714570271364138</v>
      </c>
      <c r="F202">
        <f ca="1"/>
        <v>1.2698997758525485</v>
      </c>
      <c r="G202" s="7">
        <f ca="1"/>
        <v>-1.2996012491544473E-2</v>
      </c>
      <c r="H202">
        <f ca="1"/>
        <v>69.369329237549238</v>
      </c>
      <c r="I202">
        <f ca="1"/>
        <v>-0.67577244001384074</v>
      </c>
      <c r="J202">
        <f ca="1"/>
        <v>3.3365156603655919</v>
      </c>
      <c r="K202">
        <f ca="1"/>
        <v>0</v>
      </c>
      <c r="L202">
        <f ca="1"/>
        <v>2.2854297286358616</v>
      </c>
    </row>
    <row r="203" spans="2:12" x14ac:dyDescent="0.35">
      <c r="B203">
        <v>0.193</v>
      </c>
      <c r="C203">
        <f ca="1"/>
        <v>-9.5572862209481885E-2</v>
      </c>
      <c r="D203">
        <f ca="1"/>
        <v>1</v>
      </c>
      <c r="E203">
        <f ca="1"/>
        <v>97.728733348779812</v>
      </c>
      <c r="F203">
        <f ca="1"/>
        <v>4.7964274350799474E-2</v>
      </c>
      <c r="G203" s="7">
        <f ca="1"/>
        <v>-4.907898906212349E-4</v>
      </c>
      <c r="H203">
        <f ca="1"/>
        <v>69.417293511900041</v>
      </c>
      <c r="I203">
        <f ca="1"/>
        <v>-0.67626322990446197</v>
      </c>
      <c r="J203">
        <f ca="1"/>
        <v>3.3269446429822978</v>
      </c>
      <c r="K203">
        <f ca="1"/>
        <v>0</v>
      </c>
      <c r="L203">
        <f ca="1"/>
        <v>2.2712666512201878</v>
      </c>
    </row>
    <row r="204" spans="2:12" x14ac:dyDescent="0.35">
      <c r="B204">
        <v>0.19400000000000001</v>
      </c>
      <c r="C204">
        <f ca="1"/>
        <v>-4.4809976306236461E-2</v>
      </c>
      <c r="D204">
        <f ca="1"/>
        <v>1</v>
      </c>
      <c r="E204">
        <f ca="1"/>
        <v>98.724011131334066</v>
      </c>
      <c r="F204">
        <f ca="1"/>
        <v>-7.7456086702767779</v>
      </c>
      <c r="G204" s="7">
        <f ca="1"/>
        <v>7.8457191735986864E-2</v>
      </c>
      <c r="H204">
        <f ca="1"/>
        <v>61.671684841623261</v>
      </c>
      <c r="I204">
        <f ca="1"/>
        <v>-0.59780603816847511</v>
      </c>
      <c r="J204">
        <f ca="1"/>
        <v>2.6538748751000085</v>
      </c>
      <c r="K204">
        <f ca="1"/>
        <v>0</v>
      </c>
      <c r="L204">
        <f ca="1"/>
        <v>1.2759888686659338</v>
      </c>
    </row>
    <row r="205" spans="2:12" x14ac:dyDescent="0.35">
      <c r="B205">
        <v>0.19500000000000001</v>
      </c>
      <c r="C205">
        <f ca="1"/>
        <v>-3.5594416179542496E-2</v>
      </c>
      <c r="D205">
        <f ca="1"/>
        <v>1</v>
      </c>
      <c r="E205">
        <f ca="1"/>
        <v>98.904160229313362</v>
      </c>
      <c r="F205">
        <f ca="1"/>
        <v>-1.3911661634020853</v>
      </c>
      <c r="G205" s="7">
        <f ca="1"/>
        <v>1.4065800267416551E-2</v>
      </c>
      <c r="H205">
        <f ca="1"/>
        <v>60.280518678221178</v>
      </c>
      <c r="I205">
        <f ca="1"/>
        <v>-0.58374023790105856</v>
      </c>
      <c r="J205">
        <f ca="1"/>
        <v>2.5461806565573823</v>
      </c>
      <c r="K205">
        <f ca="1"/>
        <v>0</v>
      </c>
      <c r="L205">
        <f ca="1"/>
        <v>1.0958397706866378</v>
      </c>
    </row>
    <row r="206" spans="2:12" x14ac:dyDescent="0.35">
      <c r="B206">
        <v>0.19600000000000001</v>
      </c>
      <c r="C206">
        <f ca="1"/>
        <v>-3.6001061692309197E-2</v>
      </c>
      <c r="D206">
        <f ca="1"/>
        <v>1</v>
      </c>
      <c r="E206">
        <f ca="1"/>
        <v>98.894138867254924</v>
      </c>
      <c r="F206">
        <f ca="1"/>
        <v>0.17582981181718862</v>
      </c>
      <c r="G206" s="7">
        <f ca="1"/>
        <v>-1.7779598855014456E-3</v>
      </c>
      <c r="H206">
        <f ca="1"/>
        <v>60.456348490038366</v>
      </c>
      <c r="I206">
        <f ca="1"/>
        <v>-0.58551819778656</v>
      </c>
      <c r="J206">
        <f ca="1"/>
        <v>2.5520305288294693</v>
      </c>
      <c r="K206">
        <f ca="1"/>
        <v>0</v>
      </c>
      <c r="L206">
        <f ca="1"/>
        <v>1.1058611327450762</v>
      </c>
    </row>
    <row r="207" spans="2:12" x14ac:dyDescent="0.35">
      <c r="B207">
        <v>0.19700000000000001</v>
      </c>
      <c r="C207">
        <f ca="1"/>
        <v>-5.8102329937882724E-2</v>
      </c>
      <c r="D207">
        <f ca="1"/>
        <v>1</v>
      </c>
      <c r="E207">
        <f ca="1"/>
        <v>98.455997256078504</v>
      </c>
      <c r="F207">
        <f ca="1"/>
        <v>3.74865296380153</v>
      </c>
      <c r="G207" s="7">
        <f ca="1"/>
        <v>-3.8074399409631643E-2</v>
      </c>
      <c r="H207">
        <f ca="1"/>
        <v>64.205001453839898</v>
      </c>
      <c r="I207">
        <f ca="1"/>
        <v>-0.62359259719619164</v>
      </c>
      <c r="J207">
        <f ca="1"/>
        <v>2.8085704153807853</v>
      </c>
      <c r="K207">
        <f ca="1"/>
        <v>0</v>
      </c>
      <c r="L207">
        <f ca="1"/>
        <v>1.5440027439214958</v>
      </c>
    </row>
    <row r="208" spans="2:12" x14ac:dyDescent="0.35">
      <c r="B208">
        <v>0.19800000000000001</v>
      </c>
      <c r="C208">
        <f ca="1"/>
        <v>-0.11972940929615783</v>
      </c>
      <c r="D208">
        <f ca="1"/>
        <v>1</v>
      </c>
      <c r="E208">
        <f ca="1"/>
        <v>97.247989049338742</v>
      </c>
      <c r="F208">
        <f ca="1"/>
        <v>9.5790624950757639</v>
      </c>
      <c r="G208" s="7">
        <f ca="1"/>
        <v>-9.850139410302694E-2</v>
      </c>
      <c r="H208">
        <f ca="1"/>
        <v>73.784063948915659</v>
      </c>
      <c r="I208">
        <f ca="1"/>
        <v>-0.72209399129921858</v>
      </c>
      <c r="J208">
        <f ca="1"/>
        <v>3.5618753904559384</v>
      </c>
      <c r="K208">
        <f ca="1"/>
        <v>0</v>
      </c>
      <c r="L208">
        <f ca="1"/>
        <v>2.7520109506612584</v>
      </c>
    </row>
    <row r="209" spans="2:12" x14ac:dyDescent="0.35">
      <c r="B209">
        <v>0.19900000000000001</v>
      </c>
      <c r="C209">
        <f ca="1"/>
        <v>-9.7023455534744674E-2</v>
      </c>
      <c r="D209">
        <f ca="1"/>
        <v>1</v>
      </c>
      <c r="E209">
        <f ca="1"/>
        <v>97.688661188853573</v>
      </c>
      <c r="F209">
        <f ca="1"/>
        <v>-3.1589261126665247</v>
      </c>
      <c r="G209">
        <f ca="1"/>
        <v>3.2336671157358055E-2</v>
      </c>
      <c r="H209">
        <f ca="1"/>
        <v>70.625137836249138</v>
      </c>
      <c r="I209">
        <f ca="1"/>
        <v>-0.68975732014186053</v>
      </c>
      <c r="J209">
        <f ca="1"/>
        <v>3.2436686863793227</v>
      </c>
      <c r="K209">
        <f ca="1"/>
        <v>0</v>
      </c>
      <c r="L209">
        <f ca="1"/>
        <v>2.3113388111464275</v>
      </c>
    </row>
    <row r="210" spans="2:12" x14ac:dyDescent="0.35">
      <c r="B210">
        <v>0.2</v>
      </c>
      <c r="C210">
        <f ca="1"/>
        <v>-6.7966388314315063E-2</v>
      </c>
      <c r="D210">
        <f ca="1"/>
        <v>1</v>
      </c>
      <c r="E210">
        <f ca="1"/>
        <v>98.25605804358824</v>
      </c>
      <c r="F210">
        <f ca="1"/>
        <v>-4.4276458055600072</v>
      </c>
      <c r="G210">
        <f ca="1"/>
        <v>4.5062318738614771E-2</v>
      </c>
      <c r="H210">
        <f ca="1"/>
        <v>66.197492030689133</v>
      </c>
      <c r="I210">
        <f ca="1"/>
        <v>-0.64469500140324576</v>
      </c>
      <c r="J210">
        <f ca="1"/>
        <v>2.8523025524006158</v>
      </c>
      <c r="K210">
        <f ca="1"/>
        <v>0</v>
      </c>
      <c r="L210">
        <f ca="1"/>
        <v>1.74394195641176</v>
      </c>
    </row>
    <row r="211" spans="2:12" x14ac:dyDescent="0.35">
      <c r="B211">
        <v>0.20100000000000001</v>
      </c>
      <c r="C211">
        <f ca="1"/>
        <v>-2.5130524530852141E-2</v>
      </c>
      <c r="D211">
        <f ca="1"/>
        <v>1</v>
      </c>
      <c r="E211">
        <f ca="1"/>
        <v>99.099468800250165</v>
      </c>
      <c r="F211">
        <f ca="1"/>
        <v>-7.1757878282677625</v>
      </c>
      <c r="G211">
        <f ca="1"/>
        <v>7.2409952496633845E-2</v>
      </c>
      <c r="H211">
        <f ca="1"/>
        <v>59.021704202421368</v>
      </c>
      <c r="I211">
        <f ca="1"/>
        <v>-0.57228504890661192</v>
      </c>
      <c r="J211">
        <f ca="1"/>
        <v>2.3085598534509444</v>
      </c>
      <c r="K211">
        <f ca="1"/>
        <v>0</v>
      </c>
      <c r="L211">
        <f ca="1"/>
        <v>0.90053119974983531</v>
      </c>
    </row>
    <row r="212" spans="2:12" x14ac:dyDescent="0.35">
      <c r="B212">
        <v>0.20200000000000001</v>
      </c>
      <c r="C212">
        <f ca="1"/>
        <v>-3.5281997492077152E-2</v>
      </c>
      <c r="D212">
        <f ca="1"/>
        <v>1</v>
      </c>
      <c r="E212">
        <f ca="1"/>
        <v>98.896493845604539</v>
      </c>
      <c r="F212">
        <f ca="1"/>
        <v>1.8974248951575341</v>
      </c>
      <c r="G212">
        <f ca="1"/>
        <v>-1.9185967281304839E-2</v>
      </c>
      <c r="H212">
        <f ca="1"/>
        <v>60.919129097578903</v>
      </c>
      <c r="I212">
        <f ca="1"/>
        <v>-0.59147101618791675</v>
      </c>
      <c r="J212">
        <f ca="1"/>
        <v>2.4247193852971307</v>
      </c>
      <c r="K212">
        <f ca="1"/>
        <v>0</v>
      </c>
      <c r="L212">
        <f ca="1"/>
        <v>1.1035061543954612</v>
      </c>
    </row>
    <row r="213" spans="2:12" x14ac:dyDescent="0.35">
      <c r="B213">
        <v>0.20300000000000001</v>
      </c>
      <c r="C213">
        <f ca="1"/>
        <v>-2.1225933069715656E-2</v>
      </c>
      <c r="D213">
        <f ca="1"/>
        <v>1</v>
      </c>
      <c r="E213">
        <f ca="1"/>
        <v>99.17292061697141</v>
      </c>
      <c r="F213">
        <f ca="1"/>
        <v>-2.3830287972127215</v>
      </c>
      <c r="G213">
        <f ca="1"/>
        <v>2.4029027101223788E-2</v>
      </c>
      <c r="H213">
        <f ca="1"/>
        <v>58.536100300366179</v>
      </c>
      <c r="I213">
        <f ca="1"/>
        <v>-0.56744198908669297</v>
      </c>
      <c r="J213">
        <f ca="1"/>
        <v>2.2612209619352228</v>
      </c>
      <c r="K213">
        <f ca="1"/>
        <v>0</v>
      </c>
      <c r="L213">
        <f ca="1"/>
        <v>0.82707938302858963</v>
      </c>
    </row>
    <row r="214" spans="2:12" x14ac:dyDescent="0.35">
      <c r="B214">
        <v>0.20400000000000001</v>
      </c>
      <c r="C214">
        <f ca="1"/>
        <v>4.9110857980179751E-2</v>
      </c>
      <c r="D214">
        <f ca="1"/>
        <v>1</v>
      </c>
      <c r="E214">
        <f ca="1"/>
        <v>100.57586894643653</v>
      </c>
      <c r="F214">
        <f ca="1"/>
        <v>-12.989833882173786</v>
      </c>
      <c r="G214">
        <f ca="1"/>
        <v>0.12915457771577149</v>
      </c>
      <c r="H214">
        <f ca="1"/>
        <v>45.546266418192396</v>
      </c>
      <c r="I214">
        <f ca="1"/>
        <v>-0.43828741137092148</v>
      </c>
      <c r="J214">
        <f ca="1"/>
        <v>1.4651291712776811</v>
      </c>
      <c r="K214">
        <f ca="1"/>
        <v>0</v>
      </c>
      <c r="L214">
        <f ca="1"/>
        <v>0</v>
      </c>
    </row>
    <row r="215" spans="2:12" x14ac:dyDescent="0.35">
      <c r="B215">
        <v>0.20500000000000002</v>
      </c>
      <c r="C215">
        <f ca="1"/>
        <v>7.7128371425413192E-2</v>
      </c>
      <c r="D215">
        <f ca="1"/>
        <v>1</v>
      </c>
      <c r="E215">
        <f ca="1"/>
        <v>101.13900525469388</v>
      </c>
      <c r="F215">
        <f ca="1"/>
        <v>-5.2264600396606555</v>
      </c>
      <c r="G215">
        <f ca="1"/>
        <v>5.1676007950632818E-2</v>
      </c>
      <c r="H215">
        <f ca="1"/>
        <v>40.319806378531737</v>
      </c>
      <c r="I215">
        <f ca="1"/>
        <v>-0.38661140342028866</v>
      </c>
      <c r="J215">
        <f ca="1"/>
        <v>1.2183136164825825</v>
      </c>
      <c r="K215">
        <f ca="1"/>
        <v>0</v>
      </c>
      <c r="L215">
        <f ca="1"/>
        <v>0</v>
      </c>
    </row>
    <row r="216" spans="2:12" x14ac:dyDescent="0.35">
      <c r="B216">
        <v>0.20600000000000002</v>
      </c>
      <c r="C216">
        <f ca="1"/>
        <v>6.7491207857772628E-2</v>
      </c>
      <c r="D216">
        <f ca="1"/>
        <v>1</v>
      </c>
      <c r="E216">
        <f ca="1"/>
        <v>100.94223550735603</v>
      </c>
      <c r="F216">
        <f ca="1"/>
        <v>1.6960489919287975</v>
      </c>
      <c r="G216">
        <f ca="1"/>
        <v>-1.6802173871067083E-2</v>
      </c>
      <c r="H216">
        <f ca="1"/>
        <v>42.015855370460535</v>
      </c>
      <c r="I216">
        <f ca="1"/>
        <v>-0.40341357729135574</v>
      </c>
      <c r="J216">
        <f ca="1"/>
        <v>1.2943870446515291</v>
      </c>
      <c r="K216">
        <f ca="1"/>
        <v>0</v>
      </c>
      <c r="L216">
        <f ca="1"/>
        <v>0</v>
      </c>
    </row>
    <row r="217" spans="2:12" x14ac:dyDescent="0.35">
      <c r="B217">
        <v>0.20700000000000002</v>
      </c>
      <c r="C217">
        <f ca="1"/>
        <v>9.7247800913627599E-2</v>
      </c>
      <c r="D217">
        <f ca="1"/>
        <v>1</v>
      </c>
      <c r="E217">
        <f ca="1"/>
        <v>101.54273518443846</v>
      </c>
      <c r="F217">
        <f ca="1"/>
        <v>-5.5952017001030816</v>
      </c>
      <c r="G217">
        <f ca="1"/>
        <v>5.510193998556534E-2</v>
      </c>
      <c r="H217">
        <f ca="1"/>
        <v>36.420653670357453</v>
      </c>
      <c r="I217">
        <f ca="1"/>
        <v>-0.3483116373057904</v>
      </c>
      <c r="J217">
        <f ca="1"/>
        <v>1.0521373217574066</v>
      </c>
      <c r="K217">
        <f ca="1"/>
        <v>0</v>
      </c>
      <c r="L217">
        <f ca="1"/>
        <v>0</v>
      </c>
    </row>
    <row r="218" spans="2:12" x14ac:dyDescent="0.35">
      <c r="B218">
        <v>0.20800000000000002</v>
      </c>
      <c r="C218">
        <f ca="1"/>
        <v>0.10864767676786373</v>
      </c>
      <c r="D218">
        <f ca="1"/>
        <v>1</v>
      </c>
      <c r="E218">
        <f ca="1"/>
        <v>101.77247875433267</v>
      </c>
      <c r="F218">
        <f ca="1"/>
        <v>-2.2032429150270771</v>
      </c>
      <c r="G218">
        <f ca="1"/>
        <v>2.1648710358577961E-2</v>
      </c>
      <c r="H218">
        <f ca="1"/>
        <v>34.217410755330377</v>
      </c>
      <c r="I218">
        <f ca="1"/>
        <v>-0.32666292694721244</v>
      </c>
      <c r="J218">
        <f ca="1"/>
        <v>0.97211496276707265</v>
      </c>
      <c r="K218">
        <f ca="1"/>
        <v>0</v>
      </c>
      <c r="L218">
        <f ca="1"/>
        <v>0</v>
      </c>
    </row>
    <row r="219" spans="2:12" x14ac:dyDescent="0.35">
      <c r="B219">
        <v>0.20899999999999999</v>
      </c>
      <c r="C219">
        <f ca="1"/>
        <v>7.3611768128216043E-2</v>
      </c>
      <c r="D219">
        <f ca="1"/>
        <v>1</v>
      </c>
      <c r="E219">
        <f ca="1"/>
        <v>101.05981200330703</v>
      </c>
      <c r="F219">
        <f ca="1"/>
        <v>6.3522066936844714</v>
      </c>
      <c r="G219">
        <f ca="1"/>
        <v>-6.2855912432101146E-2</v>
      </c>
      <c r="H219">
        <f ca="1"/>
        <v>40.569617449014849</v>
      </c>
      <c r="I219">
        <f ca="1"/>
        <v>-0.38951883937931359</v>
      </c>
      <c r="J219">
        <f ca="1"/>
        <v>1.2049167695950729</v>
      </c>
      <c r="K219">
        <f ca="1"/>
        <v>0</v>
      </c>
      <c r="L219">
        <f ca="1"/>
        <v>0</v>
      </c>
    </row>
    <row r="220" spans="2:12" x14ac:dyDescent="0.35">
      <c r="B220">
        <v>0.21</v>
      </c>
      <c r="C220">
        <f ca="1"/>
        <v>9.7356325343835676E-2</v>
      </c>
      <c r="D220">
        <f ca="1"/>
        <v>1</v>
      </c>
      <c r="E220">
        <f ca="1"/>
        <v>101.53884666827899</v>
      </c>
      <c r="F220">
        <f ca="1"/>
        <v>-4.6298126538559972</v>
      </c>
      <c r="G220">
        <f ca="1"/>
        <v>4.5596466827925508E-2</v>
      </c>
      <c r="H220">
        <f ca="1"/>
        <v>35.93980479515885</v>
      </c>
      <c r="I220">
        <f ca="1"/>
        <v>-0.34392237255138808</v>
      </c>
      <c r="J220">
        <f ca="1"/>
        <v>1.018323742872731</v>
      </c>
      <c r="K220">
        <f ca="1"/>
        <v>0</v>
      </c>
      <c r="L220">
        <f ca="1"/>
        <v>0</v>
      </c>
    </row>
    <row r="221" spans="2:12" x14ac:dyDescent="0.35">
      <c r="B221">
        <v>0.21099999999999999</v>
      </c>
      <c r="C221">
        <f ca="1"/>
        <v>0.11931127470181419</v>
      </c>
      <c r="D221">
        <f ca="1"/>
        <v>1</v>
      </c>
      <c r="E221">
        <f ca="1"/>
        <v>101.98364333132048</v>
      </c>
      <c r="F221">
        <f ca="1"/>
        <v>-4.2185965341441092</v>
      </c>
      <c r="G221">
        <f ca="1"/>
        <v>4.1365422888834213E-2</v>
      </c>
      <c r="H221">
        <f ca="1"/>
        <v>31.721208261014741</v>
      </c>
      <c r="I221">
        <f ca="1"/>
        <v>-0.30255694966255386</v>
      </c>
      <c r="J221">
        <f ca="1"/>
        <v>0.86534821921656402</v>
      </c>
      <c r="K221">
        <f ca="1"/>
        <v>0</v>
      </c>
      <c r="L221">
        <f ca="1"/>
        <v>0</v>
      </c>
    </row>
    <row r="222" spans="2:12" x14ac:dyDescent="0.35">
      <c r="B222">
        <v>0.21199999999999999</v>
      </c>
      <c r="C222">
        <f ca="1"/>
        <v>0.11298835591410973</v>
      </c>
      <c r="D222">
        <f ca="1"/>
        <v>1</v>
      </c>
      <c r="E222">
        <f ca="1"/>
        <v>101.85272090797501</v>
      </c>
      <c r="F222">
        <f ca="1"/>
        <v>0.95572222937507745</v>
      </c>
      <c r="G222">
        <f ca="1"/>
        <v>-9.3833745515604083E-3</v>
      </c>
      <c r="H222">
        <f ca="1"/>
        <v>32.676930490389822</v>
      </c>
      <c r="I222">
        <f ca="1"/>
        <v>-0.31194032421411427</v>
      </c>
      <c r="J222">
        <f ca="1"/>
        <v>0.90495970826640004</v>
      </c>
      <c r="K222">
        <f ca="1"/>
        <v>0</v>
      </c>
      <c r="L222">
        <f ca="1"/>
        <v>0</v>
      </c>
    </row>
    <row r="223" spans="2:12" x14ac:dyDescent="0.35">
      <c r="B223">
        <v>0.21299999999999999</v>
      </c>
      <c r="C223">
        <f ca="1"/>
        <v>0.13049786653332046</v>
      </c>
      <c r="D223">
        <f ca="1"/>
        <v>1</v>
      </c>
      <c r="E223">
        <f ca="1"/>
        <v>102.20798024342122</v>
      </c>
      <c r="F223">
        <f ca="1"/>
        <v>-3.4049885981190231</v>
      </c>
      <c r="G223">
        <f ca="1"/>
        <v>3.33143125420306E-2</v>
      </c>
      <c r="H223">
        <f ca="1"/>
        <v>29.271941892270799</v>
      </c>
      <c r="I223">
        <f ca="1"/>
        <v>-0.27862601167208367</v>
      </c>
      <c r="J223">
        <f ca="1"/>
        <v>0.79413999598722285</v>
      </c>
      <c r="K223">
        <f ca="1"/>
        <v>0</v>
      </c>
      <c r="L223">
        <f ca="1"/>
        <v>0</v>
      </c>
    </row>
    <row r="224" spans="2:12" x14ac:dyDescent="0.35">
      <c r="B224">
        <v>0.214</v>
      </c>
      <c r="C224">
        <f ca="1"/>
        <v>9.5411941288861823E-2</v>
      </c>
      <c r="D224">
        <f ca="1"/>
        <v>1</v>
      </c>
      <c r="E224">
        <f ca="1"/>
        <v>101.49124861734427</v>
      </c>
      <c r="F224">
        <f ca="1"/>
        <v>6.3559058630367176</v>
      </c>
      <c r="G224">
        <f ca="1"/>
        <v>-6.2625161771342419E-2</v>
      </c>
      <c r="H224">
        <f ca="1"/>
        <v>35.627847755307513</v>
      </c>
      <c r="I224">
        <f ca="1"/>
        <v>-0.34125117344342609</v>
      </c>
      <c r="J224">
        <f ca="1"/>
        <v>0.99384007040028877</v>
      </c>
      <c r="K224">
        <f ca="1"/>
        <v>0</v>
      </c>
      <c r="L224">
        <f ca="1"/>
        <v>0</v>
      </c>
    </row>
    <row r="225" spans="2:12" x14ac:dyDescent="0.35">
      <c r="B225">
        <v>0.215</v>
      </c>
      <c r="C225">
        <f ca="1"/>
        <v>7.2413890529082203E-2</v>
      </c>
      <c r="D225">
        <f ca="1"/>
        <v>1</v>
      </c>
      <c r="E225">
        <f ca="1"/>
        <v>101.02347990133104</v>
      </c>
      <c r="F225">
        <f ca="1"/>
        <v>4.478384516919629</v>
      </c>
      <c r="G225">
        <f ca="1"/>
        <v>-4.4330135145746685E-2</v>
      </c>
      <c r="H225">
        <f ca="1"/>
        <v>40.106232272227146</v>
      </c>
      <c r="I225">
        <f ca="1"/>
        <v>-0.38558130858917278</v>
      </c>
      <c r="J225">
        <f ca="1"/>
        <v>1.1534666936399276</v>
      </c>
      <c r="K225">
        <f ca="1"/>
        <v>0</v>
      </c>
      <c r="L225">
        <f ca="1"/>
        <v>0</v>
      </c>
    </row>
    <row r="226" spans="2:12" x14ac:dyDescent="0.35">
      <c r="B226">
        <v>0.216</v>
      </c>
      <c r="C226">
        <f ca="1"/>
        <v>6.6773857788138755E-2</v>
      </c>
      <c r="D226">
        <f ca="1"/>
        <v>1</v>
      </c>
      <c r="E226">
        <f ca="1"/>
        <v>100.90757082979995</v>
      </c>
      <c r="F226">
        <f ca="1"/>
        <v>1.0624321857040915</v>
      </c>
      <c r="G226">
        <f ca="1"/>
        <v>-1.0528765849453336E-2</v>
      </c>
      <c r="H226">
        <f ca="1"/>
        <v>41.168664457931236</v>
      </c>
      <c r="I226">
        <f ca="1"/>
        <v>-0.39611007443862611</v>
      </c>
      <c r="J226">
        <f ca="1"/>
        <v>1.1981590651182401</v>
      </c>
      <c r="K226">
        <f ca="1"/>
        <v>0</v>
      </c>
      <c r="L226">
        <f ca="1"/>
        <v>0</v>
      </c>
    </row>
    <row r="227" spans="2:12" x14ac:dyDescent="0.35">
      <c r="B227">
        <v>0.217</v>
      </c>
      <c r="C227">
        <f ca="1"/>
        <v>5.1013555282170553E-2</v>
      </c>
      <c r="D227">
        <f ca="1"/>
        <v>1</v>
      </c>
      <c r="E227">
        <f ca="1"/>
        <v>100.58799303810946</v>
      </c>
      <c r="F227">
        <f ca="1"/>
        <v>3.284201468848269</v>
      </c>
      <c r="G227">
        <f ca="1"/>
        <v>-3.265003475717021E-2</v>
      </c>
      <c r="H227">
        <f ca="1"/>
        <v>44.452865926779502</v>
      </c>
      <c r="I227">
        <f ca="1"/>
        <v>-0.42876010919579632</v>
      </c>
      <c r="J227">
        <f ca="1"/>
        <v>1.3247470479736876</v>
      </c>
      <c r="K227">
        <f ca="1"/>
        <v>0</v>
      </c>
      <c r="L227">
        <f ca="1"/>
        <v>0</v>
      </c>
    </row>
    <row r="228" spans="2:12" x14ac:dyDescent="0.35">
      <c r="B228">
        <v>0.218</v>
      </c>
      <c r="C228">
        <f ca="1"/>
        <v>0.1005491219007818</v>
      </c>
      <c r="D228">
        <f ca="1"/>
        <v>1</v>
      </c>
      <c r="E228">
        <f ca="1"/>
        <v>101.58745065783809</v>
      </c>
      <c r="F228">
        <f ca="1"/>
        <v>-10.699518296688355</v>
      </c>
      <c r="G228">
        <f ca="1"/>
        <v>0.10532322868034116</v>
      </c>
      <c r="H228">
        <f ca="1"/>
        <v>33.753347630091149</v>
      </c>
      <c r="I228">
        <f ca="1"/>
        <v>-0.32343688051545516</v>
      </c>
      <c r="J228">
        <f ca="1"/>
        <v>0.89621948980227018</v>
      </c>
      <c r="K228">
        <f ca="1"/>
        <v>0</v>
      </c>
      <c r="L228">
        <f ca="1"/>
        <v>0</v>
      </c>
    </row>
    <row r="229" spans="2:12" x14ac:dyDescent="0.35">
      <c r="B229">
        <v>0.219</v>
      </c>
      <c r="C229">
        <f ca="1"/>
        <v>9.76458036951805E-2</v>
      </c>
      <c r="D229">
        <f ca="1"/>
        <v>1</v>
      </c>
      <c r="E229">
        <f ca="1"/>
        <v>101.52644909237915</v>
      </c>
      <c r="F229">
        <f ca="1"/>
        <v>0.37633951445558522</v>
      </c>
      <c r="G229">
        <f ca="1"/>
        <v>-3.7068125382101469E-3</v>
      </c>
      <c r="H229">
        <f ca="1"/>
        <v>34.129687144546736</v>
      </c>
      <c r="I229">
        <f ca="1"/>
        <v>-0.32714369305366531</v>
      </c>
      <c r="J229">
        <f ca="1"/>
        <v>0.91594964584087535</v>
      </c>
      <c r="K229">
        <f ca="1"/>
        <v>0</v>
      </c>
      <c r="L229">
        <f ca="1"/>
        <v>0</v>
      </c>
    </row>
    <row r="230" spans="2:12" x14ac:dyDescent="0.35">
      <c r="B230">
        <v>0.22</v>
      </c>
      <c r="C230">
        <f ca="1"/>
        <v>0.10041720088155047</v>
      </c>
      <c r="D230">
        <f ca="1"/>
        <v>1</v>
      </c>
      <c r="E230">
        <f ca="1"/>
        <v>101.58070707964141</v>
      </c>
      <c r="F230">
        <f ca="1"/>
        <v>-0.81147595169964359</v>
      </c>
      <c r="G230">
        <f ca="1"/>
        <v>7.9884849695270321E-3</v>
      </c>
      <c r="H230">
        <f ca="1"/>
        <v>33.318211192847095</v>
      </c>
      <c r="I230">
        <f ca="1"/>
        <v>-0.31915520808413828</v>
      </c>
      <c r="J230">
        <f ca="1"/>
        <v>0.89819948751024015</v>
      </c>
      <c r="K230">
        <f ca="1"/>
        <v>0</v>
      </c>
      <c r="L230">
        <f ca="1"/>
        <v>0</v>
      </c>
    </row>
    <row r="231" spans="2:12" x14ac:dyDescent="0.35">
      <c r="B231">
        <v>0.221</v>
      </c>
      <c r="C231">
        <f ca="1"/>
        <v>0.12024511382573044</v>
      </c>
      <c r="D231">
        <f ca="1"/>
        <v>1</v>
      </c>
      <c r="E231">
        <f ca="1"/>
        <v>101.98229387481081</v>
      </c>
      <c r="F231">
        <f ca="1"/>
        <v>-4.3530317856681826</v>
      </c>
      <c r="G231">
        <f ca="1"/>
        <v>4.2684191738340205E-2</v>
      </c>
      <c r="H231">
        <f ca="1"/>
        <v>28.965179407178912</v>
      </c>
      <c r="I231">
        <f ca="1"/>
        <v>-0.27647101634579807</v>
      </c>
      <c r="J231">
        <f ca="1"/>
        <v>0.77003097033411194</v>
      </c>
      <c r="K231">
        <f ca="1"/>
        <v>0</v>
      </c>
      <c r="L231">
        <f ca="1"/>
        <v>0</v>
      </c>
    </row>
    <row r="232" spans="2:12" x14ac:dyDescent="0.35">
      <c r="B232">
        <v>0.222</v>
      </c>
      <c r="C232">
        <f ca="1"/>
        <v>0.12296041013948965</v>
      </c>
      <c r="D232">
        <f ca="1"/>
        <v>1</v>
      </c>
      <c r="E232">
        <f ca="1"/>
        <v>102.03565061140989</v>
      </c>
      <c r="F232">
        <f ca="1"/>
        <v>-0.8649770414964173</v>
      </c>
      <c r="G232">
        <f ca="1"/>
        <v>8.4772041567174883E-3</v>
      </c>
      <c r="H232">
        <f ca="1"/>
        <v>28.100202365682495</v>
      </c>
      <c r="I232">
        <f ca="1"/>
        <v>-0.26799381218908058</v>
      </c>
      <c r="J232">
        <f ca="1"/>
        <v>0.75527937913766863</v>
      </c>
      <c r="K232">
        <f ca="1"/>
        <v>0</v>
      </c>
      <c r="L232">
        <f ca="1"/>
        <v>0</v>
      </c>
    </row>
    <row r="233" spans="2:12" x14ac:dyDescent="0.35">
      <c r="B233">
        <v>0.223</v>
      </c>
      <c r="C233">
        <f ca="1"/>
        <v>0.17538569692867445</v>
      </c>
      <c r="D233">
        <f ca="1"/>
        <v>1</v>
      </c>
      <c r="E233">
        <f ca="1"/>
        <v>103.10906643019851</v>
      </c>
      <c r="F233">
        <f ca="1"/>
        <v>-9.9448534290766304</v>
      </c>
      <c r="G233">
        <f ca="1"/>
        <v>9.6449844551826813E-2</v>
      </c>
      <c r="H233">
        <f ca="1"/>
        <v>18.155348936605865</v>
      </c>
      <c r="I233">
        <f ca="1"/>
        <v>-0.17154396763725377</v>
      </c>
      <c r="J233">
        <f ca="1"/>
        <v>0.46761058179644266</v>
      </c>
      <c r="K233">
        <f ca="1"/>
        <v>0</v>
      </c>
      <c r="L233">
        <f ca="1"/>
        <v>0</v>
      </c>
    </row>
    <row r="234" spans="2:12" x14ac:dyDescent="0.35">
      <c r="B234">
        <v>0.224</v>
      </c>
      <c r="C234">
        <f ca="1"/>
        <v>0.19936284475068519</v>
      </c>
      <c r="D234">
        <f ca="1"/>
        <v>1</v>
      </c>
      <c r="E234">
        <f ca="1"/>
        <v>103.60263407517651</v>
      </c>
      <c r="F234">
        <f ca="1"/>
        <v>-4.0217376056762468</v>
      </c>
      <c r="G234">
        <f ca="1"/>
        <v>3.881887407185014E-2</v>
      </c>
      <c r="H234">
        <f ca="1"/>
        <v>14.133611330929618</v>
      </c>
      <c r="I234">
        <f ca="1"/>
        <v>-0.13272509356540363</v>
      </c>
      <c r="J234">
        <f ca="1"/>
        <v>0.38294202967954227</v>
      </c>
      <c r="K234">
        <f ca="1"/>
        <v>0</v>
      </c>
      <c r="L234">
        <f ca="1"/>
        <v>0</v>
      </c>
    </row>
    <row r="235" spans="2:12" x14ac:dyDescent="0.35">
      <c r="B235">
        <v>0.22500000000000001</v>
      </c>
      <c r="C235">
        <f ca="1"/>
        <v>0.19001875373652213</v>
      </c>
      <c r="D235">
        <f ca="1"/>
        <v>1</v>
      </c>
      <c r="E235">
        <f ca="1"/>
        <v>103.40713222592292</v>
      </c>
      <c r="F235">
        <f ca="1"/>
        <v>0.8682774280607205</v>
      </c>
      <c r="G235">
        <f ca="1"/>
        <v>-8.3966880172609004E-3</v>
      </c>
      <c r="H235">
        <f ca="1"/>
        <v>15.001888758990338</v>
      </c>
      <c r="I235">
        <f ca="1"/>
        <v>-0.14112178158266453</v>
      </c>
      <c r="J235">
        <f ca="1"/>
        <v>0.40889003091393228</v>
      </c>
      <c r="K235">
        <f ca="1"/>
        <v>0</v>
      </c>
      <c r="L235">
        <f ca="1"/>
        <v>0</v>
      </c>
    </row>
    <row r="236" spans="2:12" x14ac:dyDescent="0.35">
      <c r="B236">
        <v>0.22600000000000001</v>
      </c>
      <c r="C236">
        <f ca="1"/>
        <v>0.18008668544625694</v>
      </c>
      <c r="D236">
        <f ca="1"/>
        <v>1</v>
      </c>
      <c r="E236">
        <f ca="1"/>
        <v>103.19986274717492</v>
      </c>
      <c r="F236">
        <f ca="1"/>
        <v>1.0216022315475206</v>
      </c>
      <c r="G236">
        <f ca="1"/>
        <v>-9.8992595954347506E-3</v>
      </c>
      <c r="H236">
        <f ca="1"/>
        <v>16.023490990537859</v>
      </c>
      <c r="I236">
        <f ca="1"/>
        <v>-0.15102104117809928</v>
      </c>
      <c r="J236">
        <f ca="1"/>
        <v>0.43814026902256131</v>
      </c>
      <c r="K236">
        <f ca="1"/>
        <v>0</v>
      </c>
      <c r="L236">
        <f ca="1"/>
        <v>0</v>
      </c>
    </row>
    <row r="237" spans="2:12" x14ac:dyDescent="0.35">
      <c r="B237">
        <v>0.22700000000000001</v>
      </c>
      <c r="C237">
        <f ca="1"/>
        <v>0.19551730338878084</v>
      </c>
      <c r="D237">
        <f ca="1"/>
        <v>1</v>
      </c>
      <c r="E237">
        <f ca="1"/>
        <v>103.51677187367372</v>
      </c>
      <c r="F237">
        <f ca="1"/>
        <v>-2.7858641318865884</v>
      </c>
      <c r="G237">
        <f ca="1"/>
        <v>2.6912200616981241E-2</v>
      </c>
      <c r="H237">
        <f ca="1"/>
        <v>13.23762685865127</v>
      </c>
      <c r="I237">
        <f ca="1"/>
        <v>-0.12410884056111804</v>
      </c>
      <c r="J237">
        <f ca="1"/>
        <v>0.39028032277986924</v>
      </c>
      <c r="K237">
        <f ca="1"/>
        <v>0</v>
      </c>
      <c r="L237">
        <f ca="1"/>
        <v>0</v>
      </c>
    </row>
    <row r="238" spans="2:12" x14ac:dyDescent="0.35">
      <c r="B238">
        <v>0.22800000000000001</v>
      </c>
      <c r="C238">
        <f ca="1"/>
        <v>0.2079554479118482</v>
      </c>
      <c r="D238">
        <f ca="1"/>
        <v>1</v>
      </c>
      <c r="E238">
        <f ca="1"/>
        <v>103.77252827823054</v>
      </c>
      <c r="F238">
        <f ca="1"/>
        <v>-2.1627473943021687</v>
      </c>
      <c r="G238">
        <f ca="1"/>
        <v>2.0841232551485123E-2</v>
      </c>
      <c r="H238">
        <f ca="1"/>
        <v>11.074879464349101</v>
      </c>
      <c r="I238">
        <f ca="1"/>
        <v>-0.10326760800963292</v>
      </c>
      <c r="J238">
        <f ca="1"/>
        <v>0.35853869194424171</v>
      </c>
      <c r="K238">
        <f ca="1"/>
        <v>0</v>
      </c>
      <c r="L238">
        <f ca="1"/>
        <v>0</v>
      </c>
    </row>
    <row r="239" spans="2:12" x14ac:dyDescent="0.35">
      <c r="B239">
        <v>0.22900000000000001</v>
      </c>
      <c r="C239">
        <f ca="1"/>
        <v>0.21795715567993407</v>
      </c>
      <c r="D239">
        <f ca="1"/>
        <v>1</v>
      </c>
      <c r="E239">
        <f ca="1"/>
        <v>103.97823694758857</v>
      </c>
      <c r="F239">
        <f ca="1"/>
        <v>-1.7087665488142392</v>
      </c>
      <c r="G239">
        <f ca="1"/>
        <v>1.6433886541811271E-2</v>
      </c>
      <c r="H239">
        <f ca="1"/>
        <v>9.3661129155348615</v>
      </c>
      <c r="I239">
        <f ca="1"/>
        <v>-8.6833721467821645E-2</v>
      </c>
      <c r="J239">
        <f ca="1"/>
        <v>0.3372956497127948</v>
      </c>
      <c r="K239">
        <f ca="1"/>
        <v>0</v>
      </c>
      <c r="L239">
        <f ca="1"/>
        <v>0</v>
      </c>
    </row>
    <row r="240" spans="2:12" x14ac:dyDescent="0.35">
      <c r="B240">
        <v>0.23</v>
      </c>
      <c r="C240">
        <f ca="1"/>
        <v>0.21544338857584347</v>
      </c>
      <c r="D240">
        <f ca="1"/>
        <v>1</v>
      </c>
      <c r="E240">
        <f ca="1"/>
        <v>103.92389617318392</v>
      </c>
      <c r="F240">
        <f ca="1"/>
        <v>-0.23444891995438694</v>
      </c>
      <c r="G240">
        <f ca="1"/>
        <v>2.2559673817818537E-3</v>
      </c>
      <c r="H240">
        <f ca="1"/>
        <v>9.1316639955804746</v>
      </c>
      <c r="I240">
        <f ca="1"/>
        <v>-8.4577754086039791E-2</v>
      </c>
      <c r="J240">
        <f ca="1"/>
        <v>0.34201426138179336</v>
      </c>
      <c r="K240">
        <f ca="1"/>
        <v>0</v>
      </c>
      <c r="L240">
        <f ca="1"/>
        <v>0</v>
      </c>
    </row>
    <row r="241" spans="2:12" x14ac:dyDescent="0.35">
      <c r="B241">
        <v>0.23100000000000001</v>
      </c>
      <c r="C241">
        <f ca="1"/>
        <v>0.19039035807968441</v>
      </c>
      <c r="D241">
        <f ca="1"/>
        <v>1</v>
      </c>
      <c r="E241">
        <f ca="1"/>
        <v>103.40240878582779</v>
      </c>
      <c r="F241">
        <f ca="1"/>
        <v>2.6110816962489349</v>
      </c>
      <c r="G241">
        <f ca="1"/>
        <v>-2.525165251862882E-2</v>
      </c>
      <c r="H241">
        <f ca="1"/>
        <v>11.742745691829409</v>
      </c>
      <c r="I241">
        <f ca="1"/>
        <v>-0.10982940660466861</v>
      </c>
      <c r="J241">
        <f ca="1"/>
        <v>0.38612049338857091</v>
      </c>
      <c r="K241">
        <f ca="1"/>
        <v>0</v>
      </c>
      <c r="L241">
        <f ca="1"/>
        <v>0</v>
      </c>
    </row>
    <row r="242" spans="2:12" x14ac:dyDescent="0.35">
      <c r="B242">
        <v>0.23200000000000001</v>
      </c>
      <c r="C242">
        <f ca="1"/>
        <v>0.20704908109615661</v>
      </c>
      <c r="D242">
        <f ca="1"/>
        <v>1</v>
      </c>
      <c r="E242">
        <f ca="1"/>
        <v>103.74541882240949</v>
      </c>
      <c r="F242">
        <f ca="1"/>
        <v>-2.7608076723725206</v>
      </c>
      <c r="G242">
        <f ca="1"/>
        <v>2.661136948223658E-2</v>
      </c>
      <c r="H242">
        <f ca="1"/>
        <v>8.981938019456889</v>
      </c>
      <c r="I242">
        <f ca="1"/>
        <v>-8.3218037122432031E-2</v>
      </c>
      <c r="J242">
        <f ca="1"/>
        <v>0.34844790461135666</v>
      </c>
      <c r="K242">
        <f ca="1"/>
        <v>0</v>
      </c>
      <c r="L242">
        <f ca="1"/>
        <v>0</v>
      </c>
    </row>
    <row r="243" spans="2:12" x14ac:dyDescent="0.35">
      <c r="B243">
        <v>0.23300000000000001</v>
      </c>
      <c r="C243">
        <f ca="1"/>
        <v>0.24138491026944292</v>
      </c>
      <c r="D243">
        <f ca="1"/>
        <v>1</v>
      </c>
      <c r="E243">
        <f ca="1"/>
        <v>104.45821845342576</v>
      </c>
      <c r="F243">
        <f ca="1"/>
        <v>-3.8951077429651018</v>
      </c>
      <c r="G243">
        <f ca="1"/>
        <v>3.7288667188037417E-2</v>
      </c>
      <c r="H243">
        <f ca="1"/>
        <v>5.0868302764917868</v>
      </c>
      <c r="I243">
        <f ca="1"/>
        <v>-4.5929369934394615E-2</v>
      </c>
      <c r="J243">
        <f ca="1"/>
        <v>0.28913011845658865</v>
      </c>
      <c r="K243">
        <f ca="1"/>
        <v>0</v>
      </c>
      <c r="L243">
        <f ca="1"/>
        <v>0</v>
      </c>
    </row>
    <row r="244" spans="2:12" x14ac:dyDescent="0.35">
      <c r="B244">
        <v>0.23400000000000001</v>
      </c>
      <c r="C244">
        <f ca="1"/>
        <v>0.19652350216566572</v>
      </c>
      <c r="D244">
        <f ca="1"/>
        <v>1</v>
      </c>
      <c r="E244">
        <f ca="1"/>
        <v>103.52311140957451</v>
      </c>
      <c r="F244">
        <f ca="1"/>
        <v>3.8989262455789504</v>
      </c>
      <c r="G244">
        <f ca="1"/>
        <v>-3.7662375024195338E-2</v>
      </c>
      <c r="H244">
        <f ca="1"/>
        <v>8.9857565220707372</v>
      </c>
      <c r="I244">
        <f ca="1"/>
        <v>-8.3591744958589953E-2</v>
      </c>
      <c r="J244">
        <f ca="1"/>
        <v>0.33207899580189171</v>
      </c>
      <c r="K244">
        <f ca="1"/>
        <v>0</v>
      </c>
      <c r="L244">
        <f ca="1"/>
        <v>0</v>
      </c>
    </row>
    <row r="245" spans="2:12" x14ac:dyDescent="0.35">
      <c r="B245">
        <v>0.23500000000000001</v>
      </c>
      <c r="C245">
        <f ca="1"/>
        <v>0.15955628301476221</v>
      </c>
      <c r="D245">
        <f ca="1"/>
        <v>1</v>
      </c>
      <c r="E245">
        <f ca="1"/>
        <v>102.75848639224783</v>
      </c>
      <c r="F245">
        <f ca="1"/>
        <v>4.8395934835952117</v>
      </c>
      <c r="G245">
        <f ca="1"/>
        <v>-4.7096776660582595E-2</v>
      </c>
      <c r="H245">
        <f ca="1"/>
        <v>13.82535000566595</v>
      </c>
      <c r="I245">
        <f ca="1"/>
        <v>-0.13068852161917255</v>
      </c>
      <c r="J245">
        <f ca="1"/>
        <v>0.39599533523922048</v>
      </c>
      <c r="K245">
        <f ca="1"/>
        <v>0</v>
      </c>
      <c r="L245">
        <f ca="1"/>
        <v>0</v>
      </c>
    </row>
    <row r="246" spans="2:12" x14ac:dyDescent="0.35">
      <c r="B246">
        <v>0.23600000000000002</v>
      </c>
      <c r="C246">
        <f ca="1"/>
        <v>0.17361395977425001</v>
      </c>
      <c r="D246">
        <f ca="1"/>
        <v>1</v>
      </c>
      <c r="E246">
        <f ca="1"/>
        <v>103.04574109400669</v>
      </c>
      <c r="F246">
        <f ca="1"/>
        <v>-3.1284624073632106</v>
      </c>
      <c r="G246">
        <f ca="1"/>
        <v>3.0359938937303321E-2</v>
      </c>
      <c r="H246">
        <f ca="1"/>
        <v>10.696887598302739</v>
      </c>
      <c r="I246">
        <f ca="1"/>
        <v>-0.10032858268186923</v>
      </c>
      <c r="J246">
        <f ca="1"/>
        <v>0.35845444293819995</v>
      </c>
      <c r="K246">
        <f ca="1"/>
        <v>0</v>
      </c>
      <c r="L246">
        <f ca="1"/>
        <v>0</v>
      </c>
    </row>
    <row r="247" spans="2:12" x14ac:dyDescent="0.35">
      <c r="B247">
        <v>0.23700000000000002</v>
      </c>
      <c r="C247">
        <f ca="1"/>
        <v>0.18235764667559623</v>
      </c>
      <c r="D247">
        <f ca="1"/>
        <v>1</v>
      </c>
      <c r="E247">
        <f ca="1"/>
        <v>103.22403418507614</v>
      </c>
      <c r="F247">
        <f ca="1"/>
        <v>-2.0653517438144253</v>
      </c>
      <c r="G247">
        <f ca="1"/>
        <v>2.0008438539723616E-2</v>
      </c>
      <c r="H247">
        <f ca="1"/>
        <v>8.6315358544883143</v>
      </c>
      <c r="I247">
        <f ca="1"/>
        <v>-8.0320144142145611E-2</v>
      </c>
      <c r="J247">
        <f ca="1"/>
        <v>0.34056654980923362</v>
      </c>
      <c r="K247">
        <f ca="1"/>
        <v>0</v>
      </c>
      <c r="L247">
        <f ca="1"/>
        <v>0</v>
      </c>
    </row>
    <row r="248" spans="2:12" x14ac:dyDescent="0.35">
      <c r="B248">
        <v>0.23800000000000002</v>
      </c>
      <c r="C248">
        <f ca="1"/>
        <v>0.17211325383859336</v>
      </c>
      <c r="D248">
        <f ca="1"/>
        <v>1</v>
      </c>
      <c r="E248">
        <f ca="1"/>
        <v>103.01069695361778</v>
      </c>
      <c r="F248">
        <f ca="1"/>
        <v>0.60033685043270013</v>
      </c>
      <c r="G248">
        <f ca="1"/>
        <v>-5.8279078599284828E-3</v>
      </c>
      <c r="H248">
        <f ca="1"/>
        <v>9.231872704921015</v>
      </c>
      <c r="I248">
        <f ca="1"/>
        <v>-8.6148052002074094E-2</v>
      </c>
      <c r="J248">
        <f ca="1"/>
        <v>0.35770182699085495</v>
      </c>
      <c r="K248">
        <f ca="1"/>
        <v>0</v>
      </c>
      <c r="L248">
        <f ca="1"/>
        <v>0</v>
      </c>
    </row>
    <row r="249" spans="2:12" x14ac:dyDescent="0.35">
      <c r="B249">
        <v>0.23900000000000002</v>
      </c>
      <c r="C249">
        <f ca="1"/>
        <v>0.13039204529875337</v>
      </c>
      <c r="D249">
        <f ca="1"/>
        <v>1</v>
      </c>
      <c r="E249">
        <f ca="1"/>
        <v>102.15268390231513</v>
      </c>
      <c r="F249">
        <f ca="1"/>
        <v>6.7761060596423386</v>
      </c>
      <c r="G249">
        <f ca="1"/>
        <v>-6.6333118238205868E-2</v>
      </c>
      <c r="H249">
        <f ca="1"/>
        <v>16.007978764563354</v>
      </c>
      <c r="I249">
        <f ca="1"/>
        <v>-0.15248117024027996</v>
      </c>
      <c r="J249">
        <f ca="1"/>
        <v>0.43161797995293405</v>
      </c>
      <c r="K249">
        <f ca="1"/>
        <v>0</v>
      </c>
      <c r="L249">
        <f ca="1"/>
        <v>0</v>
      </c>
    </row>
    <row r="250" spans="2:12" x14ac:dyDescent="0.35">
      <c r="B250">
        <v>0.24</v>
      </c>
      <c r="C250">
        <f ca="1"/>
        <v>0.12739630248996206</v>
      </c>
      <c r="D250">
        <f ca="1"/>
        <v>1</v>
      </c>
      <c r="E250">
        <f ca="1"/>
        <v>102.08945579081426</v>
      </c>
      <c r="F250">
        <f ca="1"/>
        <v>-0.43183041250344367</v>
      </c>
      <c r="G250">
        <f ca="1"/>
        <v>4.2299217794664612E-3</v>
      </c>
      <c r="H250">
        <f ca="1"/>
        <v>15.57614835205991</v>
      </c>
      <c r="I250">
        <f ca="1"/>
        <v>-0.1482512484608135</v>
      </c>
      <c r="J250">
        <f ca="1"/>
        <v>0.44125907638666995</v>
      </c>
      <c r="K250">
        <f ca="1"/>
        <v>0</v>
      </c>
      <c r="L250">
        <f ca="1"/>
        <v>0</v>
      </c>
    </row>
    <row r="251" spans="2:12" x14ac:dyDescent="0.35">
      <c r="B251">
        <v>0.24099999999999999</v>
      </c>
      <c r="C251">
        <f ca="1"/>
        <v>0.1244573873449093</v>
      </c>
      <c r="D251">
        <f ca="1"/>
        <v>1</v>
      </c>
      <c r="E251">
        <f ca="1"/>
        <v>102.02742640425737</v>
      </c>
      <c r="F251">
        <f ca="1"/>
        <v>-0.54519045758984752</v>
      </c>
      <c r="G251">
        <f ca="1"/>
        <v>5.3435676739475024E-3</v>
      </c>
      <c r="H251">
        <f ca="1"/>
        <v>15.030957894470063</v>
      </c>
      <c r="I251">
        <f ca="1"/>
        <v>-0.142907680786866</v>
      </c>
      <c r="J251">
        <f ca="1"/>
        <v>0.45045501038498692</v>
      </c>
      <c r="K251">
        <f ca="1"/>
        <v>0</v>
      </c>
      <c r="L251">
        <f ca="1"/>
        <v>0</v>
      </c>
    </row>
    <row r="252" spans="2:12" x14ac:dyDescent="0.35">
      <c r="B252">
        <v>0.24199999999999999</v>
      </c>
      <c r="C252">
        <f ca="1"/>
        <v>0.14814804385237426</v>
      </c>
      <c r="D252">
        <f ca="1"/>
        <v>1</v>
      </c>
      <c r="E252">
        <f ca="1"/>
        <v>102.50994259064944</v>
      </c>
      <c r="F252">
        <f ca="1"/>
        <v>-6.2898429153223292</v>
      </c>
      <c r="G252">
        <f ca="1"/>
        <v>6.1358369309008509E-2</v>
      </c>
      <c r="H252">
        <f ca="1"/>
        <v>8.7411149791477349</v>
      </c>
      <c r="I252">
        <f ca="1"/>
        <v>-8.1549311477857489E-2</v>
      </c>
      <c r="J252">
        <f ca="1"/>
        <v>0.38149974124557318</v>
      </c>
      <c r="K252">
        <f ca="1"/>
        <v>0</v>
      </c>
      <c r="L252">
        <f ca="1"/>
        <v>0</v>
      </c>
    </row>
    <row r="253" spans="2:12" x14ac:dyDescent="0.35">
      <c r="B253">
        <v>0.24299999999999999</v>
      </c>
      <c r="C253">
        <f ca="1"/>
        <v>0.13713835581386061</v>
      </c>
      <c r="D253">
        <f ca="1"/>
        <v>1</v>
      </c>
      <c r="E253">
        <f ca="1"/>
        <v>102.28242475286868</v>
      </c>
      <c r="F253">
        <f ca="1"/>
        <v>0.59676441654332513</v>
      </c>
      <c r="G253">
        <f ca="1"/>
        <v>-5.8344766267049986E-3</v>
      </c>
      <c r="H253">
        <f ca="1"/>
        <v>9.3378793956910595</v>
      </c>
      <c r="I253">
        <f ca="1"/>
        <v>-8.7383788104562488E-2</v>
      </c>
      <c r="J253">
        <f ca="1"/>
        <v>0.40005366426552591</v>
      </c>
      <c r="K253">
        <f ca="1"/>
        <v>0</v>
      </c>
      <c r="L253">
        <f ca="1"/>
        <v>0</v>
      </c>
    </row>
    <row r="254" spans="2:12" x14ac:dyDescent="0.35">
      <c r="B254">
        <v>0.24399999999999999</v>
      </c>
      <c r="C254">
        <f ca="1"/>
        <v>0.14302539165612668</v>
      </c>
      <c r="D254">
        <f ca="1"/>
        <v>1</v>
      </c>
      <c r="E254">
        <f ca="1"/>
        <v>102.40087569924867</v>
      </c>
      <c r="F254">
        <f ca="1"/>
        <v>-2.6117566582517115</v>
      </c>
      <c r="G254">
        <f ca="1"/>
        <v>2.5505218001479202E-2</v>
      </c>
      <c r="H254">
        <f ca="1"/>
        <v>6.726122737439348</v>
      </c>
      <c r="I254">
        <f ca="1"/>
        <v>-6.1878570103083286E-2</v>
      </c>
      <c r="J254">
        <f ca="1"/>
        <v>0.38970297186627167</v>
      </c>
      <c r="K254">
        <f ca="1"/>
        <v>0</v>
      </c>
      <c r="L254">
        <f ca="1"/>
        <v>0</v>
      </c>
    </row>
    <row r="255" spans="2:12" x14ac:dyDescent="0.35">
      <c r="B255">
        <v>0.245</v>
      </c>
      <c r="C255">
        <f ca="1"/>
        <v>0.12363485450559676</v>
      </c>
      <c r="D255">
        <f ca="1"/>
        <v>1</v>
      </c>
      <c r="E255">
        <f ca="1"/>
        <v>102.00248307792725</v>
      </c>
      <c r="F255">
        <f ca="1"/>
        <v>1.7882746156667619</v>
      </c>
      <c r="G255">
        <f ca="1"/>
        <v>-1.7531677285743785E-2</v>
      </c>
      <c r="H255">
        <f ca="1"/>
        <v>8.5143973531061103</v>
      </c>
      <c r="I255">
        <f ca="1"/>
        <v>-7.9410247388827071E-2</v>
      </c>
      <c r="J255">
        <f ca="1"/>
        <v>0.41435493761326114</v>
      </c>
      <c r="K255">
        <f ca="1"/>
        <v>0</v>
      </c>
      <c r="L255">
        <f ca="1"/>
        <v>0</v>
      </c>
    </row>
    <row r="256" spans="2:12" x14ac:dyDescent="0.35">
      <c r="B256">
        <v>0.246</v>
      </c>
      <c r="C256">
        <f ca="1"/>
        <v>0.17190306215551127</v>
      </c>
      <c r="D256">
        <f ca="1"/>
        <v>1</v>
      </c>
      <c r="E256">
        <f ca="1"/>
        <v>102.98988694603202</v>
      </c>
      <c r="F256">
        <f ca="1"/>
        <v>-7.1731149780957235</v>
      </c>
      <c r="G256">
        <f ca="1"/>
        <v>6.9648731451220303E-2</v>
      </c>
      <c r="H256">
        <f ca="1"/>
        <v>1.3412823750103868</v>
      </c>
      <c r="I256">
        <f ca="1"/>
        <v>-9.7615159376067684E-3</v>
      </c>
      <c r="J256">
        <f ca="1"/>
        <v>0.33594495217437603</v>
      </c>
      <c r="K256">
        <f ca="1"/>
        <v>0</v>
      </c>
      <c r="L256">
        <f ca="1"/>
        <v>0</v>
      </c>
    </row>
    <row r="257" spans="2:12" x14ac:dyDescent="0.35">
      <c r="B257">
        <v>0.247</v>
      </c>
      <c r="C257">
        <f ca="1"/>
        <v>0.14987905102314739</v>
      </c>
      <c r="D257">
        <f ca="1"/>
        <v>1</v>
      </c>
      <c r="E257">
        <f ca="1"/>
        <v>102.53518379261295</v>
      </c>
      <c r="F257">
        <f ca="1"/>
        <v>0.1253391792122156</v>
      </c>
      <c r="G257">
        <f ca="1"/>
        <v>-1.2224016632741974E-3</v>
      </c>
      <c r="H257">
        <f ca="1"/>
        <v>1.4666215542226024</v>
      </c>
      <c r="I257">
        <f ca="1"/>
        <v>-1.0983917600880966E-2</v>
      </c>
      <c r="J257">
        <f ca="1"/>
        <v>0.34038354425335626</v>
      </c>
      <c r="K257">
        <f ca="1"/>
        <v>0</v>
      </c>
      <c r="L257">
        <f ca="1"/>
        <v>0</v>
      </c>
    </row>
    <row r="258" spans="2:12" x14ac:dyDescent="0.35">
      <c r="B258">
        <v>0.248</v>
      </c>
      <c r="C258">
        <f ca="1"/>
        <v>0.10767562918030249</v>
      </c>
      <c r="D258">
        <f ca="1"/>
        <v>1</v>
      </c>
      <c r="E258">
        <f ca="1"/>
        <v>101.67132553503599</v>
      </c>
      <c r="F258">
        <f ca="1"/>
        <v>2.0971789796294082</v>
      </c>
      <c r="G258">
        <f ca="1"/>
        <v>-2.0627044730588462E-2</v>
      </c>
      <c r="H258">
        <f ca="1"/>
        <v>3.5638005338520107</v>
      </c>
      <c r="I258">
        <f ca="1"/>
        <v>-3.1610962331469428E-2</v>
      </c>
      <c r="J258">
        <f ca="1"/>
        <v>0.34987209217342219</v>
      </c>
      <c r="K258">
        <f ca="1"/>
        <v>0</v>
      </c>
      <c r="L258">
        <f ca="1"/>
        <v>0</v>
      </c>
    </row>
    <row r="259" spans="2:12" x14ac:dyDescent="0.35">
      <c r="B259">
        <v>0.249</v>
      </c>
      <c r="C259">
        <f ca="1"/>
        <v>0.13325189967171877</v>
      </c>
      <c r="D259">
        <f ca="1"/>
        <v>1</v>
      </c>
      <c r="E259">
        <f ca="1"/>
        <v>102.19068879340638</v>
      </c>
      <c r="F259">
        <f ca="1"/>
        <v>-3.1994546582373968</v>
      </c>
      <c r="G259">
        <f ca="1"/>
        <v>3.1308671034653346E-2</v>
      </c>
      <c r="H259">
        <f ca="1"/>
        <v>0.36434587561461385</v>
      </c>
      <c r="I259">
        <f ca="1"/>
        <v>-3.022912968160818E-4</v>
      </c>
      <c r="J259">
        <f ca="1"/>
        <v>0.33345451977672641</v>
      </c>
      <c r="K259">
        <f ca="1"/>
        <v>0</v>
      </c>
      <c r="L259">
        <f ca="1"/>
        <v>0</v>
      </c>
    </row>
    <row r="260" spans="2:12" x14ac:dyDescent="0.35">
      <c r="B260">
        <v>0.25</v>
      </c>
      <c r="C260">
        <f ca="1"/>
        <v>0.10022189413313352</v>
      </c>
      <c r="D260">
        <f ca="1"/>
        <v>1</v>
      </c>
      <c r="E260">
        <f ca="1"/>
        <v>101.51581151420575</v>
      </c>
      <c r="F260">
        <f ca="1"/>
        <v>-0.36434587561461385</v>
      </c>
      <c r="G260">
        <f ca="1"/>
        <v>3.022912968160818E-4</v>
      </c>
      <c r="H260">
        <f ca="1"/>
        <v>0</v>
      </c>
      <c r="I260">
        <f ca="1"/>
        <v>0</v>
      </c>
      <c r="J260">
        <f ca="1"/>
        <v>0</v>
      </c>
      <c r="K260">
        <f ca="1"/>
        <v>0.33365852930464768</v>
      </c>
      <c r="L260">
        <f ca="1"/>
        <v>0</v>
      </c>
    </row>
  </sheetData>
  <mergeCells count="3">
    <mergeCell ref="D8:E8"/>
    <mergeCell ref="F8:G8"/>
    <mergeCell ref="H8:I8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35D3-6CA9-4307-9B3B-46963CA57440}">
  <dimension ref="B1:T260"/>
  <sheetViews>
    <sheetView tabSelected="1" topLeftCell="F1" zoomScale="92" workbookViewId="0">
      <selection activeCell="R31" sqref="R31"/>
    </sheetView>
  </sheetViews>
  <sheetFormatPr defaultRowHeight="18" x14ac:dyDescent="0.35"/>
  <cols>
    <col min="1" max="1" width="3.58203125" customWidth="1"/>
    <col min="2" max="2" width="9.9140625" bestFit="1" customWidth="1"/>
    <col min="7" max="7" width="11.6640625" bestFit="1" customWidth="1"/>
    <col min="10" max="10" width="10.1640625" bestFit="1" customWidth="1"/>
    <col min="13" max="13" width="11.6640625" bestFit="1" customWidth="1"/>
  </cols>
  <sheetData>
    <row r="1" spans="2:20" x14ac:dyDescent="0.35">
      <c r="B1" s="16" cm="1">
        <f t="array" aca="1" ref="B1" ca="1">_xll.MONTE.COUNT()</f>
        <v>10</v>
      </c>
      <c r="R1" t="s">
        <v>43</v>
      </c>
    </row>
    <row r="2" spans="2:20" x14ac:dyDescent="0.35">
      <c r="B2" s="3" t="s">
        <v>15</v>
      </c>
      <c r="C2">
        <v>0</v>
      </c>
      <c r="F2" s="3" t="s">
        <v>20</v>
      </c>
      <c r="G2" s="7" cm="1">
        <f t="array" ref="G2">_xll.OPTION.BLACK.PUT(f, sigma*SQRT(t), k)</f>
        <v>3.987761167674492</v>
      </c>
      <c r="I2" s="8" cm="1">
        <f t="array" ref="I2">_xll.OPTION.BLACK.PUT_DELTA(f, sigma*SQRT(t), k)</f>
        <v>-0.48006119416162751</v>
      </c>
      <c r="J2" s="8" cm="1">
        <f t="array" ref="J2">_xll.OPTION.BLACK.PUT(f+0.01, sigma*SQRT(t), k)</f>
        <v>3.9829625478526722</v>
      </c>
      <c r="K2" s="8" cm="1">
        <f t="array" ref="K2">_xll.OPTION.BLACK.PUT(f-0.01, sigma*SQRT(t), k)</f>
        <v>3.9925637719351386</v>
      </c>
      <c r="L2" s="8">
        <f>(J2-K2)/0.02</f>
        <v>-0.48006120412331654</v>
      </c>
      <c r="M2" s="9">
        <f>I2-L2</f>
        <v>9.9616890292253402E-9</v>
      </c>
      <c r="R2" t="s">
        <v>32</v>
      </c>
      <c r="S2" t="s">
        <v>30</v>
      </c>
      <c r="T2" t="s">
        <v>37</v>
      </c>
    </row>
    <row r="3" spans="2:20" x14ac:dyDescent="0.35">
      <c r="B3" s="3" t="s">
        <v>16</v>
      </c>
      <c r="C3">
        <v>100</v>
      </c>
      <c r="F3" s="3" t="s">
        <v>28</v>
      </c>
      <c r="G3" s="7" cm="1">
        <f t="array" aca="1" ref="G3" ca="1">_xlfn.TAKE(S_,-1)</f>
        <v>105.5942089911461</v>
      </c>
      <c r="N3" s="6">
        <v>1</v>
      </c>
      <c r="O3" s="6" cm="1">
        <f t="array" ref="O3:O5">ad(N3:N5)</f>
        <v>1</v>
      </c>
      <c r="P3" s="6" cm="1">
        <f t="array" ref="P3:P5">_xlfn.SCAN(0,_xlfn.ANCHORARRAY(O3),_xlfn.LAMBDA(_xlpm.a,_xlpm.b,_xlpm.a+_xlpm.b))</f>
        <v>1</v>
      </c>
      <c r="R3" s="24" cm="1">
        <f t="array" ref="R3:R12">_xll.ARRAY.SEQUENCE(0.001, 0.01, 0.001)</f>
        <v>1E-3</v>
      </c>
      <c r="S3" s="24">
        <f ca="1">J6</f>
        <v>0.63132536752137347</v>
      </c>
    </row>
    <row r="4" spans="2:20" x14ac:dyDescent="0.35">
      <c r="B4" s="3" t="s">
        <v>14</v>
      </c>
      <c r="C4">
        <v>0.2</v>
      </c>
      <c r="F4" s="3" t="s">
        <v>24</v>
      </c>
      <c r="G4" s="10">
        <f ca="1">MAX(k - last,0)</f>
        <v>0</v>
      </c>
      <c r="H4" s="10">
        <f t="array" aca="1" ref="H4:I4" ca="1">_xll.MONTE.STDEV(G4)</f>
        <v>9.9011189351853046E-2</v>
      </c>
      <c r="I4" s="10">
        <f ca="1"/>
        <v>0.14002296680808116</v>
      </c>
      <c r="M4">
        <v>1E-3</v>
      </c>
      <c r="N4" s="6">
        <v>2</v>
      </c>
      <c r="O4" s="6">
        <v>1</v>
      </c>
      <c r="P4" s="6">
        <v>2</v>
      </c>
      <c r="R4" s="24">
        <v>2E-3</v>
      </c>
      <c r="S4" s="24">
        <f t="dataTable" ref="S4:S12" dt2D="0" dtr="0" r1="C6" ca="1"/>
        <v>0.63132536752137347</v>
      </c>
    </row>
    <row r="5" spans="2:20" x14ac:dyDescent="0.35">
      <c r="B5" s="3" t="s">
        <v>1</v>
      </c>
      <c r="C5">
        <v>0.25</v>
      </c>
      <c r="F5" s="3" t="s">
        <v>25</v>
      </c>
      <c r="G5" s="10" cm="1">
        <f t="array" aca="1" ref="G5" ca="1">_xlfn.TAKE(A,-1)</f>
        <v>5.4450182831782854</v>
      </c>
      <c r="H5" s="10"/>
      <c r="I5" s="10"/>
      <c r="M5">
        <v>0.01</v>
      </c>
      <c r="N5" s="6">
        <v>3</v>
      </c>
      <c r="O5" s="6">
        <v>1</v>
      </c>
      <c r="P5" s="6">
        <v>3</v>
      </c>
      <c r="R5" s="24">
        <v>3.0000000000000001E-3</v>
      </c>
      <c r="S5" s="24">
        <v>0.63132536752137347</v>
      </c>
    </row>
    <row r="6" spans="2:20" x14ac:dyDescent="0.35">
      <c r="B6" s="3" t="s">
        <v>21</v>
      </c>
      <c r="C6">
        <v>1E-3</v>
      </c>
      <c r="F6" s="3" t="s">
        <v>29</v>
      </c>
      <c r="G6" s="10">
        <f ca="1">payoff-hedge</f>
        <v>-5.4450182831782854</v>
      </c>
      <c r="H6" s="7">
        <f t="array" aca="1" ref="H6:I6" ca="1">_xll.MONTE.STDEV(error)</f>
        <v>-11.802591027827614</v>
      </c>
      <c r="I6" s="12">
        <f ca="1"/>
        <v>2.5175747847695602</v>
      </c>
      <c r="J6" s="15">
        <f ca="1">I6/put</f>
        <v>0.63132536752137347</v>
      </c>
      <c r="K6" s="14" t="s">
        <v>30</v>
      </c>
      <c r="M6">
        <v>0.1</v>
      </c>
      <c r="R6" s="24">
        <v>4.0000000000000001E-3</v>
      </c>
      <c r="S6" s="24">
        <v>0.63132536752137347</v>
      </c>
    </row>
    <row r="7" spans="2:20" x14ac:dyDescent="0.35">
      <c r="B7" s="3" t="s">
        <v>17</v>
      </c>
      <c r="C7">
        <v>100</v>
      </c>
      <c r="R7" s="24">
        <v>5.0000000000000001E-3</v>
      </c>
      <c r="S7" s="24">
        <v>0.63132536752137347</v>
      </c>
    </row>
    <row r="8" spans="2:20" x14ac:dyDescent="0.35">
      <c r="D8" s="22" t="s">
        <v>0</v>
      </c>
      <c r="E8" s="22"/>
      <c r="F8" s="23" t="s">
        <v>10</v>
      </c>
      <c r="G8" s="23"/>
      <c r="H8" s="23" t="s">
        <v>13</v>
      </c>
      <c r="I8" s="23"/>
      <c r="J8" s="1" t="s">
        <v>11</v>
      </c>
      <c r="K8" s="2" t="s">
        <v>12</v>
      </c>
      <c r="R8" s="24">
        <v>6.0000000000000001E-3</v>
      </c>
      <c r="S8" s="24">
        <v>0.63132536752137347</v>
      </c>
    </row>
    <row r="9" spans="2:20" x14ac:dyDescent="0.35">
      <c r="B9" s="4" t="s">
        <v>22</v>
      </c>
      <c r="C9" s="4" t="s">
        <v>23</v>
      </c>
      <c r="D9" s="4" t="s">
        <v>18</v>
      </c>
      <c r="E9" s="4" t="s">
        <v>19</v>
      </c>
      <c r="F9" s="4" t="s">
        <v>4</v>
      </c>
      <c r="G9" s="4" t="s">
        <v>5</v>
      </c>
      <c r="H9" s="4" t="s">
        <v>26</v>
      </c>
      <c r="I9" s="4" t="s">
        <v>27</v>
      </c>
      <c r="J9" s="4" t="s">
        <v>8</v>
      </c>
      <c r="K9" s="4" t="s">
        <v>9</v>
      </c>
      <c r="L9" s="13" t="s">
        <v>31</v>
      </c>
      <c r="R9" s="24">
        <v>7.0000000000000001E-3</v>
      </c>
      <c r="S9" s="24">
        <v>0.63132536752137347</v>
      </c>
    </row>
    <row r="10" spans="2:20" x14ac:dyDescent="0.35">
      <c r="B10" cm="1">
        <f t="array" ref="B10:B260">_xll.ARRAY.SEQUENCE(0, t, dt)</f>
        <v>0</v>
      </c>
      <c r="C10" cm="1">
        <f t="array" aca="1" ref="C10:C260" ca="1">_xll.RANDOM.BROWNIAN(t_)</f>
        <v>0</v>
      </c>
      <c r="D10" cm="1">
        <f t="array" aca="1" ref="D10:D260" ca="1">1+0*B_</f>
        <v>1</v>
      </c>
      <c r="E10" cm="1">
        <f t="array" aca="1" ref="E10:E260" ca="1">f*EXP(sigma*B_+(mu-sigma*sigma/2)*t_)</f>
        <v>100</v>
      </c>
      <c r="F10" s="10" cm="1">
        <f t="array" aca="1" ref="F10:F260" ca="1">co(put*(t_ = 0) - N*S_/R_)</f>
        <v>3.987761167674492</v>
      </c>
      <c r="G10" s="7" cm="1">
        <f t="array" aca="1" ref="G10:G260" ca="1">co(ad(_N))</f>
        <v>0</v>
      </c>
      <c r="H10" s="10" cm="1">
        <f t="array" aca="1" ref="H10:H260" ca="1">_xlfn.SCAN(0,M,_xlfn.LAMBDA(_xlpm.a,_xlpm.b,_xlpm.a+_xlpm.b))</f>
        <v>3.987761167674492</v>
      </c>
      <c r="I10" s="7" cm="1">
        <f t="array" aca="1" ref="I10:I260" ca="1">1*(S_&lt;k)</f>
        <v>0</v>
      </c>
      <c r="J10" s="7" cm="1">
        <f t="array" aca="1" ref="J10:J260" ca="1">_M * R_ + _N * S_</f>
        <v>3.987761167674492</v>
      </c>
      <c r="K10" cm="1">
        <f t="array" aca="1" ref="K10:K260" ca="1">-M * R_ - N * S_</f>
        <v>-3.987761167674492</v>
      </c>
      <c r="L10" cm="1">
        <f t="array" aca="1" ref="L10:L260" ca="1">_xlfn.MAP(S_,_xlfn.LAMBDA(_xlpm.s,MAX(k-_xlpm.s,0)))</f>
        <v>0</v>
      </c>
      <c r="M10" s="19">
        <f ca="1">put - G10*E10</f>
        <v>3.987761167674492</v>
      </c>
      <c r="N10" s="19">
        <f ca="1">F10-M10</f>
        <v>0</v>
      </c>
      <c r="R10" s="24">
        <v>8.0000000000000002E-3</v>
      </c>
      <c r="S10" s="24">
        <v>0.63132536752137347</v>
      </c>
    </row>
    <row r="11" spans="2:20" x14ac:dyDescent="0.35">
      <c r="B11">
        <v>1E-3</v>
      </c>
      <c r="C11">
        <f ca="1"/>
        <v>-2.4830307287456175E-3</v>
      </c>
      <c r="D11">
        <f ca="1"/>
        <v>1</v>
      </c>
      <c r="E11" s="11">
        <f ca="1"/>
        <v>99.948352727222996</v>
      </c>
      <c r="F11" s="10">
        <f ca="1"/>
        <v>-99.948352727222996</v>
      </c>
      <c r="G11" s="7">
        <f ca="1"/>
        <v>1</v>
      </c>
      <c r="H11" s="10">
        <f ca="1"/>
        <v>-95.960591559548504</v>
      </c>
      <c r="I11" s="7">
        <f ca="1"/>
        <v>1</v>
      </c>
      <c r="J11" s="7">
        <f ca="1"/>
        <v>3.987761167674492</v>
      </c>
      <c r="K11">
        <f ca="1"/>
        <v>0</v>
      </c>
      <c r="L11">
        <f ca="1"/>
        <v>5.164727277700365E-2</v>
      </c>
      <c r="M11" s="19">
        <f ca="1" xml:space="preserve"> - G11*E11</f>
        <v>-99.948352727222996</v>
      </c>
      <c r="N11" s="19">
        <f ca="1">F11-M11</f>
        <v>0</v>
      </c>
      <c r="R11" s="24">
        <v>9.0000000000000011E-3</v>
      </c>
      <c r="S11" s="24">
        <v>0.63132536752137347</v>
      </c>
    </row>
    <row r="12" spans="2:20" x14ac:dyDescent="0.35">
      <c r="B12">
        <v>2E-3</v>
      </c>
      <c r="C12">
        <f ca="1"/>
        <v>4.034043949602599E-3</v>
      </c>
      <c r="D12">
        <f ca="1"/>
        <v>1</v>
      </c>
      <c r="E12" s="11">
        <f ca="1"/>
        <v>100.07671028629417</v>
      </c>
      <c r="F12" s="10">
        <f ca="1"/>
        <v>100.07671028629417</v>
      </c>
      <c r="G12" s="7">
        <f ca="1"/>
        <v>-1</v>
      </c>
      <c r="H12" s="10">
        <f ca="1"/>
        <v>4.1161187267456683</v>
      </c>
      <c r="I12" s="7">
        <f ca="1"/>
        <v>0</v>
      </c>
      <c r="J12" s="7">
        <f ca="1"/>
        <v>4.1161187267456683</v>
      </c>
      <c r="K12">
        <f ca="1"/>
        <v>0</v>
      </c>
      <c r="L12">
        <f ca="1"/>
        <v>0</v>
      </c>
      <c r="R12" s="24">
        <v>1.0000000000000002E-2</v>
      </c>
      <c r="S12" s="24">
        <v>0.63132536752137347</v>
      </c>
    </row>
    <row r="13" spans="2:20" x14ac:dyDescent="0.35">
      <c r="B13">
        <v>3.0000000000000001E-3</v>
      </c>
      <c r="C13">
        <f ca="1"/>
        <v>2.5537465955367676E-2</v>
      </c>
      <c r="D13">
        <f ca="1"/>
        <v>1</v>
      </c>
      <c r="E13" s="11">
        <f ca="1"/>
        <v>100.50602532445583</v>
      </c>
      <c r="F13" s="10">
        <f ca="1"/>
        <v>0</v>
      </c>
      <c r="G13" s="7">
        <f ca="1"/>
        <v>0</v>
      </c>
      <c r="H13" s="10">
        <f ca="1"/>
        <v>4.1161187267456683</v>
      </c>
      <c r="I13" s="7">
        <f ca="1"/>
        <v>0</v>
      </c>
      <c r="J13" s="7">
        <f ca="1"/>
        <v>4.1161187267456683</v>
      </c>
      <c r="K13">
        <f ca="1"/>
        <v>0</v>
      </c>
      <c r="L13">
        <f ca="1"/>
        <v>0</v>
      </c>
    </row>
    <row r="14" spans="2:20" x14ac:dyDescent="0.35">
      <c r="B14">
        <v>4.0000000000000001E-3</v>
      </c>
      <c r="C14">
        <f ca="1"/>
        <v>1.1634786468541145E-2</v>
      </c>
      <c r="D14">
        <f ca="1"/>
        <v>1</v>
      </c>
      <c r="E14" s="11">
        <f ca="1"/>
        <v>100.22494835940567</v>
      </c>
      <c r="F14" s="10">
        <f ca="1"/>
        <v>0</v>
      </c>
      <c r="G14" s="7">
        <f ca="1"/>
        <v>0</v>
      </c>
      <c r="H14" s="10">
        <f ca="1"/>
        <v>4.1161187267456683</v>
      </c>
      <c r="I14" s="7">
        <f ca="1"/>
        <v>0</v>
      </c>
      <c r="J14" s="7">
        <f ca="1"/>
        <v>4.1161187267456683</v>
      </c>
      <c r="K14">
        <f ca="1"/>
        <v>0</v>
      </c>
      <c r="L14">
        <f ca="1"/>
        <v>0</v>
      </c>
      <c r="M14" s="19">
        <f ca="1">f*EXP(sigma*C14-sigma^2*B14/2)</f>
        <v>100.22494835940567</v>
      </c>
      <c r="N14" s="19">
        <f ca="1">E14-M14</f>
        <v>0</v>
      </c>
    </row>
    <row r="15" spans="2:20" x14ac:dyDescent="0.35">
      <c r="B15">
        <v>5.0000000000000001E-3</v>
      </c>
      <c r="C15">
        <f ca="1"/>
        <v>-2.1829680277735262E-2</v>
      </c>
      <c r="D15">
        <f ca="1"/>
        <v>1</v>
      </c>
      <c r="E15" s="11">
        <f ca="1"/>
        <v>99.5544021408232</v>
      </c>
      <c r="F15" s="10">
        <f ca="1"/>
        <v>-99.5544021408232</v>
      </c>
      <c r="G15" s="7">
        <f ca="1"/>
        <v>1</v>
      </c>
      <c r="H15" s="10">
        <f ca="1"/>
        <v>-95.438283414077532</v>
      </c>
      <c r="I15" s="7">
        <f ca="1"/>
        <v>1</v>
      </c>
      <c r="J15" s="7">
        <f ca="1"/>
        <v>4.1161187267456683</v>
      </c>
      <c r="K15">
        <f ca="1"/>
        <v>0</v>
      </c>
      <c r="L15">
        <f ca="1"/>
        <v>0.44559785917680017</v>
      </c>
    </row>
    <row r="16" spans="2:20" x14ac:dyDescent="0.35">
      <c r="B16">
        <v>6.0000000000000001E-3</v>
      </c>
      <c r="C16">
        <f ca="1"/>
        <v>-1.4721347574057488E-2</v>
      </c>
      <c r="D16">
        <f ca="1"/>
        <v>1</v>
      </c>
      <c r="E16" s="11">
        <f ca="1"/>
        <v>99.69404205672366</v>
      </c>
      <c r="F16" s="10">
        <f ca="1"/>
        <v>0</v>
      </c>
      <c r="G16" s="7">
        <f ca="1"/>
        <v>0</v>
      </c>
      <c r="H16" s="10">
        <f ca="1"/>
        <v>-95.438283414077532</v>
      </c>
      <c r="I16" s="7">
        <f ca="1"/>
        <v>1</v>
      </c>
      <c r="J16" s="7">
        <f ca="1"/>
        <v>4.2557586426461285</v>
      </c>
      <c r="K16">
        <f ca="1"/>
        <v>0</v>
      </c>
      <c r="L16">
        <f ca="1"/>
        <v>0.30595794327633996</v>
      </c>
      <c r="M16" s="19" cm="1">
        <f t="array" aca="1" ref="M16" ca="1">_xll.OPTION.BLACK.PUT_DELTA(E16,sigma*SQRT(t - B16),k)</f>
        <v>-0.49266817496760895</v>
      </c>
      <c r="N16" s="19">
        <f ca="1">I16-M16</f>
        <v>1.492668174967609</v>
      </c>
    </row>
    <row r="17" spans="2:18" x14ac:dyDescent="0.35">
      <c r="B17">
        <v>7.0000000000000001E-3</v>
      </c>
      <c r="C17">
        <f ca="1"/>
        <v>-4.4384920049061576E-3</v>
      </c>
      <c r="D17">
        <f ca="1"/>
        <v>1</v>
      </c>
      <c r="E17" s="11">
        <f ca="1"/>
        <v>99.897282950016404</v>
      </c>
      <c r="F17" s="10">
        <f ca="1"/>
        <v>0</v>
      </c>
      <c r="G17" s="7">
        <f ca="1"/>
        <v>0</v>
      </c>
      <c r="H17" s="10">
        <f ca="1"/>
        <v>-95.438283414077532</v>
      </c>
      <c r="I17" s="7">
        <f ca="1"/>
        <v>1</v>
      </c>
      <c r="J17" s="7">
        <f ca="1"/>
        <v>4.4589995359388723</v>
      </c>
      <c r="K17">
        <f ca="1"/>
        <v>0</v>
      </c>
      <c r="L17">
        <f ca="1"/>
        <v>0.1027170499835961</v>
      </c>
    </row>
    <row r="18" spans="2:18" x14ac:dyDescent="0.35">
      <c r="B18">
        <v>8.0000000000000002E-3</v>
      </c>
      <c r="C18">
        <f ca="1"/>
        <v>-3.1284430467139315E-2</v>
      </c>
      <c r="D18">
        <f ca="1"/>
        <v>1</v>
      </c>
      <c r="E18" s="11">
        <f ca="1"/>
        <v>99.360365815328819</v>
      </c>
      <c r="F18" s="10">
        <f ca="1"/>
        <v>0</v>
      </c>
      <c r="G18" s="7">
        <f ca="1"/>
        <v>0</v>
      </c>
      <c r="H18" s="10">
        <f ca="1"/>
        <v>-95.438283414077532</v>
      </c>
      <c r="I18" s="7">
        <f ca="1"/>
        <v>1</v>
      </c>
      <c r="J18" s="7">
        <f ca="1"/>
        <v>3.9220824012512878</v>
      </c>
      <c r="K18">
        <f ca="1"/>
        <v>0</v>
      </c>
      <c r="L18">
        <f ca="1"/>
        <v>0.63963418467118061</v>
      </c>
    </row>
    <row r="19" spans="2:18" x14ac:dyDescent="0.35">
      <c r="B19">
        <v>9.0000000000000011E-3</v>
      </c>
      <c r="C19">
        <f ca="1"/>
        <v>-3.9693565544113213E-2</v>
      </c>
      <c r="D19">
        <f ca="1"/>
        <v>1</v>
      </c>
      <c r="E19" s="11">
        <f ca="1"/>
        <v>99.191415463437721</v>
      </c>
      <c r="F19" s="10">
        <f ca="1"/>
        <v>0</v>
      </c>
      <c r="G19" s="7">
        <f ca="1"/>
        <v>0</v>
      </c>
      <c r="H19" s="10">
        <f ca="1"/>
        <v>-95.438283414077532</v>
      </c>
      <c r="I19" s="7">
        <f ca="1"/>
        <v>1</v>
      </c>
      <c r="J19" s="7">
        <f ca="1"/>
        <v>3.7531320493601896</v>
      </c>
      <c r="K19">
        <f ca="1"/>
        <v>0</v>
      </c>
      <c r="L19">
        <f ca="1"/>
        <v>0.8085845365622788</v>
      </c>
    </row>
    <row r="20" spans="2:18" x14ac:dyDescent="0.35">
      <c r="B20">
        <v>0.01</v>
      </c>
      <c r="C20">
        <f ca="1"/>
        <v>-3.3460831955579314E-2</v>
      </c>
      <c r="D20">
        <f ca="1"/>
        <v>1</v>
      </c>
      <c r="E20" s="11">
        <f ca="1"/>
        <v>99.313153011632167</v>
      </c>
      <c r="F20" s="10">
        <f ca="1"/>
        <v>0</v>
      </c>
      <c r="G20" s="7">
        <f ca="1"/>
        <v>0</v>
      </c>
      <c r="H20" s="10">
        <f ca="1"/>
        <v>-95.438283414077532</v>
      </c>
      <c r="I20" s="7">
        <f ca="1"/>
        <v>1</v>
      </c>
      <c r="J20" s="7">
        <f ca="1"/>
        <v>3.8748695975546354</v>
      </c>
      <c r="K20">
        <f ca="1"/>
        <v>0</v>
      </c>
      <c r="L20">
        <f ca="1"/>
        <v>0.68684698836783298</v>
      </c>
      <c r="M20" s="6">
        <f t="array" aca="1" ref="M20:M21" ca="1">_xll.MONTE.STDEV(C20)</f>
        <v>5.330980967579857E-2</v>
      </c>
      <c r="N20" s="6">
        <v>0</v>
      </c>
      <c r="O20" s="6">
        <f t="array" aca="1" ref="O20:O21" ca="1">_xll.MONTE.STDEV(E20)</f>
        <v>101.03790307847345</v>
      </c>
      <c r="P20" s="6">
        <f>f*EXP(mu*B20)</f>
        <v>100</v>
      </c>
    </row>
    <row r="21" spans="2:18" x14ac:dyDescent="0.35">
      <c r="B21">
        <v>1.0999999999999999E-2</v>
      </c>
      <c r="C21">
        <f ca="1"/>
        <v>-2.3770490473727427E-2</v>
      </c>
      <c r="D21">
        <f ca="1"/>
        <v>1</v>
      </c>
      <c r="E21" s="11">
        <f ca="1"/>
        <v>99.50382522454295</v>
      </c>
      <c r="F21" s="10">
        <f ca="1"/>
        <v>0</v>
      </c>
      <c r="G21" s="7">
        <f ca="1"/>
        <v>0</v>
      </c>
      <c r="H21" s="10">
        <f ca="1"/>
        <v>-95.438283414077532</v>
      </c>
      <c r="I21" s="7">
        <f ca="1"/>
        <v>1</v>
      </c>
      <c r="J21" s="7">
        <f ca="1"/>
        <v>4.0655418104654188</v>
      </c>
      <c r="K21">
        <f ca="1"/>
        <v>0</v>
      </c>
      <c r="L21">
        <f ca="1"/>
        <v>0.49617477545704958</v>
      </c>
      <c r="M21" s="6">
        <f ca="1"/>
        <v>7.7204472568893109E-2</v>
      </c>
      <c r="N21" s="6">
        <f>SQRT(B20)</f>
        <v>0.1</v>
      </c>
      <c r="O21" s="6">
        <f ca="1"/>
        <v>1.532346488795072</v>
      </c>
      <c r="P21" s="6"/>
    </row>
    <row r="22" spans="2:18" x14ac:dyDescent="0.35">
      <c r="B22">
        <v>1.2E-2</v>
      </c>
      <c r="C22">
        <f ca="1"/>
        <v>-2.0389064151982404E-3</v>
      </c>
      <c r="D22">
        <f ca="1"/>
        <v>1</v>
      </c>
      <c r="E22" s="11">
        <f ca="1"/>
        <v>99.935242848195927</v>
      </c>
      <c r="F22" s="10">
        <f ca="1"/>
        <v>0</v>
      </c>
      <c r="G22" s="7">
        <f ca="1"/>
        <v>0</v>
      </c>
      <c r="H22" s="10">
        <f ca="1"/>
        <v>-95.438283414077532</v>
      </c>
      <c r="I22" s="7">
        <f ca="1"/>
        <v>1</v>
      </c>
      <c r="J22" s="7">
        <f ca="1"/>
        <v>4.4969594341183949</v>
      </c>
      <c r="K22">
        <f ca="1"/>
        <v>0</v>
      </c>
      <c r="L22">
        <f ca="1"/>
        <v>6.4757151804073487E-2</v>
      </c>
    </row>
    <row r="23" spans="2:18" x14ac:dyDescent="0.35">
      <c r="B23">
        <v>1.3000000000000001E-2</v>
      </c>
      <c r="C23">
        <f ca="1"/>
        <v>-3.0164973428200466E-2</v>
      </c>
      <c r="D23">
        <f ca="1"/>
        <v>1</v>
      </c>
      <c r="E23" s="11">
        <f ca="1"/>
        <v>99.372676473504626</v>
      </c>
      <c r="F23" s="10">
        <f ca="1"/>
        <v>0</v>
      </c>
      <c r="G23" s="7">
        <f ca="1"/>
        <v>0</v>
      </c>
      <c r="H23" s="10">
        <f ca="1"/>
        <v>-95.438283414077532</v>
      </c>
      <c r="I23" s="7">
        <f ca="1"/>
        <v>1</v>
      </c>
      <c r="J23" s="7">
        <f ca="1"/>
        <v>3.9343930594270944</v>
      </c>
      <c r="K23">
        <f ca="1"/>
        <v>0</v>
      </c>
      <c r="L23">
        <f ca="1"/>
        <v>0.62732352649537404</v>
      </c>
    </row>
    <row r="24" spans="2:18" x14ac:dyDescent="0.35">
      <c r="B24">
        <v>1.4E-2</v>
      </c>
      <c r="C24">
        <f ca="1"/>
        <v>-5.9529516658021212E-2</v>
      </c>
      <c r="D24">
        <f ca="1"/>
        <v>1</v>
      </c>
      <c r="E24" s="11">
        <f ca="1"/>
        <v>98.788804411149087</v>
      </c>
      <c r="F24" s="10">
        <f ca="1"/>
        <v>0</v>
      </c>
      <c r="G24" s="7">
        <f ca="1"/>
        <v>0</v>
      </c>
      <c r="H24" s="10">
        <f ca="1"/>
        <v>-95.438283414077532</v>
      </c>
      <c r="I24" s="7">
        <f ca="1"/>
        <v>1</v>
      </c>
      <c r="J24" s="7">
        <f ca="1"/>
        <v>3.3505209970715555</v>
      </c>
      <c r="K24">
        <f ca="1"/>
        <v>0</v>
      </c>
      <c r="L24">
        <f ca="1"/>
        <v>1.2111955888509129</v>
      </c>
    </row>
    <row r="25" spans="2:18" x14ac:dyDescent="0.35">
      <c r="B25">
        <v>1.4999999999999999E-2</v>
      </c>
      <c r="C25">
        <f ca="1"/>
        <v>-7.4593929771538225E-2</v>
      </c>
      <c r="D25">
        <f ca="1"/>
        <v>1</v>
      </c>
      <c r="E25" s="11">
        <f ca="1"/>
        <v>98.489643452285875</v>
      </c>
      <c r="F25" s="10">
        <f ca="1"/>
        <v>0</v>
      </c>
      <c r="G25" s="7">
        <f ca="1"/>
        <v>0</v>
      </c>
      <c r="H25" s="10">
        <f ca="1"/>
        <v>-95.438283414077532</v>
      </c>
      <c r="I25" s="7">
        <f ca="1"/>
        <v>1</v>
      </c>
      <c r="J25" s="7">
        <f ca="1"/>
        <v>3.0513600382083439</v>
      </c>
      <c r="K25">
        <f ca="1"/>
        <v>0</v>
      </c>
      <c r="L25">
        <f ca="1"/>
        <v>1.5103565477141245</v>
      </c>
    </row>
    <row r="26" spans="2:18" x14ac:dyDescent="0.35">
      <c r="B26">
        <v>1.6E-2</v>
      </c>
      <c r="C26">
        <f ca="1"/>
        <v>-7.3108628173702964E-2</v>
      </c>
      <c r="D26">
        <f ca="1"/>
        <v>1</v>
      </c>
      <c r="E26" s="11">
        <f ca="1"/>
        <v>98.51693480487566</v>
      </c>
      <c r="F26" s="10">
        <f ca="1"/>
        <v>0</v>
      </c>
      <c r="G26" s="7">
        <f ca="1"/>
        <v>0</v>
      </c>
      <c r="H26" s="10">
        <f ca="1"/>
        <v>-95.438283414077532</v>
      </c>
      <c r="I26" s="7">
        <f ca="1"/>
        <v>1</v>
      </c>
      <c r="J26" s="7">
        <f ca="1"/>
        <v>3.0786513907981288</v>
      </c>
      <c r="K26">
        <f ca="1"/>
        <v>0</v>
      </c>
      <c r="L26">
        <f ca="1"/>
        <v>1.4830651951243397</v>
      </c>
    </row>
    <row r="27" spans="2:18" x14ac:dyDescent="0.35">
      <c r="B27">
        <v>1.7000000000000001E-2</v>
      </c>
      <c r="C27">
        <f ca="1"/>
        <v>-9.7127274568523131E-2</v>
      </c>
      <c r="D27">
        <f ca="1"/>
        <v>1</v>
      </c>
      <c r="E27" s="11">
        <f ca="1"/>
        <v>98.042860105233004</v>
      </c>
      <c r="F27" s="10">
        <f ca="1"/>
        <v>0</v>
      </c>
      <c r="G27" s="7">
        <f ca="1"/>
        <v>0</v>
      </c>
      <c r="H27" s="10">
        <f ca="1"/>
        <v>-95.438283414077532</v>
      </c>
      <c r="I27" s="7">
        <f ca="1"/>
        <v>1</v>
      </c>
      <c r="J27" s="7">
        <f ca="1"/>
        <v>2.6045766911554722</v>
      </c>
      <c r="K27">
        <f ca="1"/>
        <v>0</v>
      </c>
      <c r="L27">
        <f ca="1"/>
        <v>1.9571398947669962</v>
      </c>
    </row>
    <row r="28" spans="2:18" x14ac:dyDescent="0.35">
      <c r="B28">
        <v>1.8000000000000002E-2</v>
      </c>
      <c r="C28">
        <f ca="1"/>
        <v>-0.11894839852031165</v>
      </c>
      <c r="D28">
        <f ca="1"/>
        <v>1</v>
      </c>
      <c r="E28" s="11">
        <f ca="1"/>
        <v>97.61395905376061</v>
      </c>
      <c r="F28" s="10">
        <f ca="1"/>
        <v>0</v>
      </c>
      <c r="G28" s="7">
        <f ca="1"/>
        <v>0</v>
      </c>
      <c r="H28" s="10">
        <f ca="1"/>
        <v>-95.438283414077532</v>
      </c>
      <c r="I28" s="7">
        <f ca="1"/>
        <v>1</v>
      </c>
      <c r="J28" s="7">
        <f ca="1"/>
        <v>2.1756756396830781</v>
      </c>
      <c r="K28">
        <f ca="1"/>
        <v>0</v>
      </c>
      <c r="L28">
        <f ca="1"/>
        <v>2.3860409462393903</v>
      </c>
    </row>
    <row r="29" spans="2:18" x14ac:dyDescent="0.35">
      <c r="B29">
        <v>1.9E-2</v>
      </c>
      <c r="C29">
        <f ca="1"/>
        <v>-0.11798537584593845</v>
      </c>
      <c r="D29">
        <f ca="1"/>
        <v>1</v>
      </c>
      <c r="E29" s="11">
        <f ca="1"/>
        <v>97.630809119917444</v>
      </c>
      <c r="F29" s="10">
        <f ca="1"/>
        <v>0</v>
      </c>
      <c r="G29" s="7">
        <f ca="1"/>
        <v>0</v>
      </c>
      <c r="H29" s="10">
        <f ca="1"/>
        <v>-95.438283414077532</v>
      </c>
      <c r="I29" s="7">
        <f ca="1"/>
        <v>1</v>
      </c>
      <c r="J29" s="7">
        <f ca="1"/>
        <v>2.1925257058399126</v>
      </c>
      <c r="K29">
        <f ca="1"/>
        <v>0</v>
      </c>
      <c r="L29">
        <f ca="1"/>
        <v>2.3691908800825559</v>
      </c>
    </row>
    <row r="30" spans="2:18" x14ac:dyDescent="0.35">
      <c r="B30">
        <v>0.02</v>
      </c>
      <c r="C30">
        <f ca="1"/>
        <v>-0.12099256402511578</v>
      </c>
      <c r="D30">
        <f ca="1"/>
        <v>1</v>
      </c>
      <c r="E30" s="11">
        <f ca="1"/>
        <v>97.570156508572879</v>
      </c>
      <c r="F30" s="10">
        <f ca="1"/>
        <v>0</v>
      </c>
      <c r="G30" s="7">
        <f ca="1"/>
        <v>0</v>
      </c>
      <c r="H30" s="10">
        <f ca="1"/>
        <v>-95.438283414077532</v>
      </c>
      <c r="I30" s="7">
        <f ca="1"/>
        <v>1</v>
      </c>
      <c r="J30" s="7">
        <f ca="1"/>
        <v>2.1318730944953472</v>
      </c>
      <c r="K30">
        <f ca="1"/>
        <v>0</v>
      </c>
      <c r="L30">
        <f ca="1"/>
        <v>2.4298434914271212</v>
      </c>
      <c r="R30" t="s">
        <v>44</v>
      </c>
    </row>
    <row r="31" spans="2:18" x14ac:dyDescent="0.35">
      <c r="B31">
        <v>2.1000000000000001E-2</v>
      </c>
      <c r="C31">
        <f ca="1"/>
        <v>-0.11312265372471186</v>
      </c>
      <c r="D31">
        <f ca="1"/>
        <v>1</v>
      </c>
      <c r="E31" s="11">
        <f ca="1"/>
        <v>97.72189665158055</v>
      </c>
      <c r="F31" s="10">
        <f ca="1"/>
        <v>0</v>
      </c>
      <c r="G31" s="7">
        <f ca="1"/>
        <v>0</v>
      </c>
      <c r="H31" s="10">
        <f ca="1"/>
        <v>-95.438283414077532</v>
      </c>
      <c r="I31" s="7">
        <f ca="1"/>
        <v>1</v>
      </c>
      <c r="J31" s="7">
        <f ca="1"/>
        <v>2.2836132375030189</v>
      </c>
      <c r="K31">
        <f ca="1"/>
        <v>0</v>
      </c>
      <c r="L31">
        <f ca="1"/>
        <v>2.2781033484194495</v>
      </c>
      <c r="R31" t="s">
        <v>38</v>
      </c>
    </row>
    <row r="32" spans="2:18" x14ac:dyDescent="0.35">
      <c r="B32">
        <v>2.1999999999999999E-2</v>
      </c>
      <c r="C32">
        <f ca="1"/>
        <v>-7.0015599064802481E-2</v>
      </c>
      <c r="D32">
        <f ca="1"/>
        <v>1</v>
      </c>
      <c r="E32" s="11">
        <f ca="1"/>
        <v>98.566068170186384</v>
      </c>
      <c r="F32" s="10">
        <f ca="1"/>
        <v>0</v>
      </c>
      <c r="G32" s="7">
        <f ca="1"/>
        <v>0</v>
      </c>
      <c r="H32" s="10">
        <f ca="1"/>
        <v>-95.438283414077532</v>
      </c>
      <c r="I32" s="7">
        <f ca="1"/>
        <v>1</v>
      </c>
      <c r="J32" s="7">
        <f ca="1"/>
        <v>3.1277847561088521</v>
      </c>
      <c r="K32">
        <f ca="1"/>
        <v>0</v>
      </c>
      <c r="L32">
        <f ca="1"/>
        <v>1.4339318298136163</v>
      </c>
      <c r="R32" t="s">
        <v>39</v>
      </c>
    </row>
    <row r="33" spans="2:12" x14ac:dyDescent="0.35">
      <c r="B33">
        <v>2.3E-2</v>
      </c>
      <c r="C33">
        <f ca="1"/>
        <v>-6.0639537953492834E-2</v>
      </c>
      <c r="D33">
        <f ca="1"/>
        <v>1</v>
      </c>
      <c r="E33" s="11">
        <f ca="1"/>
        <v>98.749098872457523</v>
      </c>
      <c r="F33" s="10">
        <f ca="1"/>
        <v>0</v>
      </c>
      <c r="G33" s="7">
        <f ca="1"/>
        <v>0</v>
      </c>
      <c r="H33" s="10">
        <f ca="1"/>
        <v>-95.438283414077532</v>
      </c>
      <c r="I33" s="7">
        <f ca="1"/>
        <v>1</v>
      </c>
      <c r="J33" s="7">
        <f ca="1"/>
        <v>3.3108154583799916</v>
      </c>
      <c r="K33">
        <f ca="1"/>
        <v>0</v>
      </c>
      <c r="L33">
        <f ca="1"/>
        <v>1.2509011275424768</v>
      </c>
    </row>
    <row r="34" spans="2:12" x14ac:dyDescent="0.35">
      <c r="B34">
        <v>2.4E-2</v>
      </c>
      <c r="C34">
        <f ca="1"/>
        <v>-4.8849974518621983E-2</v>
      </c>
      <c r="D34">
        <f ca="1"/>
        <v>1</v>
      </c>
      <c r="E34" s="11">
        <f ca="1"/>
        <v>98.980235727151552</v>
      </c>
      <c r="F34" s="10">
        <f ca="1"/>
        <v>0</v>
      </c>
      <c r="G34" s="7">
        <f ca="1"/>
        <v>0</v>
      </c>
      <c r="H34" s="10">
        <f ca="1"/>
        <v>-95.438283414077532</v>
      </c>
      <c r="I34" s="7">
        <f ca="1"/>
        <v>1</v>
      </c>
      <c r="J34" s="7">
        <f ca="1"/>
        <v>3.5419523130740203</v>
      </c>
      <c r="K34">
        <f ca="1"/>
        <v>0</v>
      </c>
      <c r="L34">
        <f ca="1"/>
        <v>1.0197642728484482</v>
      </c>
    </row>
    <row r="35" spans="2:12" x14ac:dyDescent="0.35">
      <c r="B35">
        <v>2.5000000000000001E-2</v>
      </c>
      <c r="C35">
        <f ca="1"/>
        <v>-0.10598080300848614</v>
      </c>
      <c r="D35">
        <f ca="1"/>
        <v>1</v>
      </c>
      <c r="E35" s="11">
        <f ca="1"/>
        <v>97.853750813497413</v>
      </c>
      <c r="F35" s="10">
        <f ca="1"/>
        <v>0</v>
      </c>
      <c r="G35" s="7">
        <f ca="1"/>
        <v>0</v>
      </c>
      <c r="H35" s="10">
        <f ca="1"/>
        <v>-95.438283414077532</v>
      </c>
      <c r="I35" s="7">
        <f ca="1"/>
        <v>1</v>
      </c>
      <c r="J35" s="7">
        <f ca="1"/>
        <v>2.4154673994198816</v>
      </c>
      <c r="K35">
        <f ca="1"/>
        <v>0</v>
      </c>
      <c r="L35">
        <f ca="1"/>
        <v>2.1462491865025868</v>
      </c>
    </row>
    <row r="36" spans="2:12" x14ac:dyDescent="0.35">
      <c r="B36">
        <v>2.6000000000000002E-2</v>
      </c>
      <c r="C36">
        <f ca="1"/>
        <v>-0.1365798488929568</v>
      </c>
      <c r="D36">
        <f ca="1"/>
        <v>1</v>
      </c>
      <c r="E36" s="11">
        <f ca="1"/>
        <v>97.254788096256235</v>
      </c>
      <c r="F36" s="10">
        <f ca="1"/>
        <v>0</v>
      </c>
      <c r="G36" s="7">
        <f ca="1"/>
        <v>0</v>
      </c>
      <c r="H36" s="10">
        <f ca="1"/>
        <v>-95.438283414077532</v>
      </c>
      <c r="I36" s="7">
        <f ca="1"/>
        <v>1</v>
      </c>
      <c r="J36" s="7">
        <f ca="1"/>
        <v>1.816504682178703</v>
      </c>
      <c r="K36">
        <f ca="1"/>
        <v>0</v>
      </c>
      <c r="L36">
        <f ca="1"/>
        <v>2.7452119037437654</v>
      </c>
    </row>
    <row r="37" spans="2:12" x14ac:dyDescent="0.35">
      <c r="B37">
        <v>2.7E-2</v>
      </c>
      <c r="C37">
        <f ca="1"/>
        <v>-0.16593511945841644</v>
      </c>
      <c r="D37">
        <f ca="1"/>
        <v>1</v>
      </c>
      <c r="E37" s="11">
        <f ca="1"/>
        <v>96.683539158102931</v>
      </c>
      <c r="F37" s="10">
        <f ca="1"/>
        <v>0</v>
      </c>
      <c r="G37" s="7">
        <f ca="1"/>
        <v>0</v>
      </c>
      <c r="H37" s="10">
        <f ca="1"/>
        <v>-95.438283414077532</v>
      </c>
      <c r="I37" s="7">
        <f ca="1"/>
        <v>1</v>
      </c>
      <c r="J37" s="7">
        <f ca="1"/>
        <v>1.2452557440253997</v>
      </c>
      <c r="K37">
        <f ca="1"/>
        <v>0</v>
      </c>
      <c r="L37">
        <f ca="1"/>
        <v>3.3164608418970687</v>
      </c>
    </row>
    <row r="38" spans="2:12" x14ac:dyDescent="0.35">
      <c r="B38">
        <v>2.8000000000000001E-2</v>
      </c>
      <c r="C38">
        <f ca="1"/>
        <v>-0.1326581617172724</v>
      </c>
      <c r="D38">
        <f ca="1"/>
        <v>1</v>
      </c>
      <c r="E38" s="11">
        <f ca="1"/>
        <v>97.327205423903052</v>
      </c>
      <c r="F38" s="10">
        <f ca="1"/>
        <v>0</v>
      </c>
      <c r="G38" s="7">
        <f ca="1"/>
        <v>0</v>
      </c>
      <c r="H38" s="10">
        <f ca="1"/>
        <v>-95.438283414077532</v>
      </c>
      <c r="I38" s="7">
        <f ca="1"/>
        <v>1</v>
      </c>
      <c r="J38" s="7">
        <f ca="1"/>
        <v>1.8889220098255208</v>
      </c>
      <c r="K38">
        <f ca="1"/>
        <v>0</v>
      </c>
      <c r="L38">
        <f ca="1"/>
        <v>2.6727945760969476</v>
      </c>
    </row>
    <row r="39" spans="2:12" x14ac:dyDescent="0.35">
      <c r="B39">
        <v>2.9000000000000001E-2</v>
      </c>
      <c r="C39">
        <f ca="1"/>
        <v>-0.10012878767196699</v>
      </c>
      <c r="D39">
        <f ca="1"/>
        <v>1</v>
      </c>
      <c r="E39" s="11">
        <f ca="1"/>
        <v>97.960509037701414</v>
      </c>
      <c r="F39" s="10">
        <f ca="1"/>
        <v>0</v>
      </c>
      <c r="G39" s="7">
        <f ca="1"/>
        <v>0</v>
      </c>
      <c r="H39" s="10">
        <f ca="1"/>
        <v>-95.438283414077532</v>
      </c>
      <c r="I39" s="7">
        <f ca="1"/>
        <v>1</v>
      </c>
      <c r="J39" s="7">
        <f ca="1"/>
        <v>2.522225623623882</v>
      </c>
      <c r="K39">
        <f ca="1"/>
        <v>0</v>
      </c>
      <c r="L39">
        <f ca="1"/>
        <v>2.0394909622985864</v>
      </c>
    </row>
    <row r="40" spans="2:12" x14ac:dyDescent="0.35">
      <c r="B40">
        <v>0.03</v>
      </c>
      <c r="C40">
        <f ca="1"/>
        <v>-0.13699113574063504</v>
      </c>
      <c r="D40">
        <f ca="1"/>
        <v>1</v>
      </c>
      <c r="E40" s="11">
        <f ca="1"/>
        <v>97.239009070331235</v>
      </c>
      <c r="F40" s="10">
        <f ca="1"/>
        <v>0</v>
      </c>
      <c r="G40" s="7">
        <f ca="1"/>
        <v>0</v>
      </c>
      <c r="H40" s="10">
        <f ca="1"/>
        <v>-95.438283414077532</v>
      </c>
      <c r="I40" s="7">
        <f ca="1"/>
        <v>1</v>
      </c>
      <c r="J40" s="7">
        <f ca="1"/>
        <v>1.8007256562537037</v>
      </c>
      <c r="K40">
        <f ca="1"/>
        <v>0</v>
      </c>
      <c r="L40">
        <f ca="1"/>
        <v>2.7609909296687647</v>
      </c>
    </row>
    <row r="41" spans="2:12" x14ac:dyDescent="0.35">
      <c r="B41">
        <v>3.1E-2</v>
      </c>
      <c r="C41">
        <f ca="1"/>
        <v>-0.14831090543564149</v>
      </c>
      <c r="D41">
        <f ca="1"/>
        <v>1</v>
      </c>
      <c r="E41" s="11">
        <f ca="1"/>
        <v>97.017173080564731</v>
      </c>
      <c r="F41" s="10">
        <f ca="1"/>
        <v>0</v>
      </c>
      <c r="G41" s="7">
        <f ca="1"/>
        <v>0</v>
      </c>
      <c r="H41" s="10">
        <f ca="1"/>
        <v>-95.438283414077532</v>
      </c>
      <c r="I41" s="7">
        <f ca="1"/>
        <v>1</v>
      </c>
      <c r="J41" s="7">
        <f ca="1"/>
        <v>1.5788896664871999</v>
      </c>
      <c r="K41">
        <f ca="1"/>
        <v>0</v>
      </c>
      <c r="L41">
        <f ca="1"/>
        <v>2.9828269194352686</v>
      </c>
    </row>
    <row r="42" spans="2:12" x14ac:dyDescent="0.35">
      <c r="B42">
        <v>3.2000000000000001E-2</v>
      </c>
      <c r="C42">
        <f ca="1"/>
        <v>-0.19655935090889085</v>
      </c>
      <c r="D42">
        <f ca="1"/>
        <v>1</v>
      </c>
      <c r="E42" s="11">
        <f ca="1"/>
        <v>96.083568288622132</v>
      </c>
      <c r="F42" s="10">
        <f ca="1"/>
        <v>0</v>
      </c>
      <c r="G42" s="7">
        <f ca="1"/>
        <v>0</v>
      </c>
      <c r="H42" s="10">
        <f ca="1"/>
        <v>-95.438283414077532</v>
      </c>
      <c r="I42" s="7">
        <f ca="1"/>
        <v>1</v>
      </c>
      <c r="J42" s="7">
        <f ca="1"/>
        <v>0.64528487454460048</v>
      </c>
      <c r="K42">
        <f ca="1"/>
        <v>0</v>
      </c>
      <c r="L42">
        <f ca="1"/>
        <v>3.9164317113778679</v>
      </c>
    </row>
    <row r="43" spans="2:12" x14ac:dyDescent="0.35">
      <c r="B43">
        <v>3.3000000000000002E-2</v>
      </c>
      <c r="C43">
        <f ca="1"/>
        <v>-0.20715510297124887</v>
      </c>
      <c r="D43">
        <f ca="1"/>
        <v>1</v>
      </c>
      <c r="E43" s="11">
        <f ca="1"/>
        <v>95.878250764712575</v>
      </c>
      <c r="F43" s="10">
        <f ca="1"/>
        <v>0</v>
      </c>
      <c r="G43" s="7">
        <f ca="1"/>
        <v>0</v>
      </c>
      <c r="H43" s="10">
        <f ca="1"/>
        <v>-95.438283414077532</v>
      </c>
      <c r="I43" s="7">
        <f ca="1"/>
        <v>1</v>
      </c>
      <c r="J43" s="7">
        <f ca="1"/>
        <v>0.43996735063504389</v>
      </c>
      <c r="K43">
        <f ca="1"/>
        <v>0</v>
      </c>
      <c r="L43">
        <f ca="1"/>
        <v>4.1217492352874245</v>
      </c>
    </row>
    <row r="44" spans="2:12" x14ac:dyDescent="0.35">
      <c r="B44">
        <v>3.4000000000000002E-2</v>
      </c>
      <c r="C44">
        <f ca="1"/>
        <v>-0.24773858841186386</v>
      </c>
      <c r="D44">
        <f ca="1"/>
        <v>1</v>
      </c>
      <c r="E44" s="11">
        <f ca="1"/>
        <v>95.101283740205389</v>
      </c>
      <c r="F44" s="10">
        <f ca="1"/>
        <v>0</v>
      </c>
      <c r="G44" s="7">
        <f ca="1"/>
        <v>0</v>
      </c>
      <c r="H44" s="10">
        <f ca="1"/>
        <v>-95.438283414077532</v>
      </c>
      <c r="I44" s="7">
        <f ca="1"/>
        <v>1</v>
      </c>
      <c r="J44" s="7">
        <f ca="1"/>
        <v>-0.33699967387214258</v>
      </c>
      <c r="K44">
        <f ca="1"/>
        <v>0</v>
      </c>
      <c r="L44">
        <f ca="1"/>
        <v>4.898716259794611</v>
      </c>
    </row>
    <row r="45" spans="2:12" x14ac:dyDescent="0.35">
      <c r="B45">
        <v>3.5000000000000003E-2</v>
      </c>
      <c r="C45">
        <f ca="1"/>
        <v>-0.23298504792932564</v>
      </c>
      <c r="D45">
        <f ca="1"/>
        <v>1</v>
      </c>
      <c r="E45" s="11">
        <f ca="1"/>
        <v>95.380406656563167</v>
      </c>
      <c r="F45" s="10">
        <f ca="1"/>
        <v>0</v>
      </c>
      <c r="G45" s="7">
        <f ca="1"/>
        <v>0</v>
      </c>
      <c r="H45" s="10">
        <f ca="1"/>
        <v>-95.438283414077532</v>
      </c>
      <c r="I45" s="7">
        <f ca="1"/>
        <v>1</v>
      </c>
      <c r="J45" s="7">
        <f ca="1"/>
        <v>-5.7876757514364385E-2</v>
      </c>
      <c r="K45">
        <f ca="1"/>
        <v>0</v>
      </c>
      <c r="L45">
        <f ca="1"/>
        <v>4.6195933434368328</v>
      </c>
    </row>
    <row r="46" spans="2:12" x14ac:dyDescent="0.35">
      <c r="B46">
        <v>3.6000000000000004E-2</v>
      </c>
      <c r="C46">
        <f ca="1"/>
        <v>-0.1668063402810592</v>
      </c>
      <c r="D46">
        <f ca="1"/>
        <v>1</v>
      </c>
      <c r="E46" s="11">
        <f ca="1"/>
        <v>96.649295644190786</v>
      </c>
      <c r="F46" s="10">
        <f ca="1"/>
        <v>0</v>
      </c>
      <c r="G46" s="7">
        <f ca="1"/>
        <v>0</v>
      </c>
      <c r="H46" s="10">
        <f ca="1"/>
        <v>-95.438283414077532</v>
      </c>
      <c r="I46" s="7">
        <f ca="1"/>
        <v>1</v>
      </c>
      <c r="J46" s="7">
        <f ca="1"/>
        <v>1.2110122301132549</v>
      </c>
      <c r="K46">
        <f ca="1"/>
        <v>0</v>
      </c>
      <c r="L46">
        <f ca="1"/>
        <v>3.3507043558092136</v>
      </c>
    </row>
    <row r="47" spans="2:12" x14ac:dyDescent="0.35">
      <c r="B47">
        <v>3.6999999999999998E-2</v>
      </c>
      <c r="C47">
        <f ca="1"/>
        <v>-0.16919001008571066</v>
      </c>
      <c r="D47">
        <f ca="1"/>
        <v>1</v>
      </c>
      <c r="E47" s="11">
        <f ca="1"/>
        <v>96.601298578617488</v>
      </c>
      <c r="F47" s="10">
        <f ca="1"/>
        <v>0</v>
      </c>
      <c r="G47" s="7">
        <f ca="1"/>
        <v>0</v>
      </c>
      <c r="H47" s="10">
        <f ca="1"/>
        <v>-95.438283414077532</v>
      </c>
      <c r="I47" s="7">
        <f ca="1"/>
        <v>1</v>
      </c>
      <c r="J47" s="7">
        <f ca="1"/>
        <v>1.1630151645399565</v>
      </c>
      <c r="K47">
        <f ca="1"/>
        <v>0</v>
      </c>
      <c r="L47">
        <f ca="1"/>
        <v>3.398701421382512</v>
      </c>
    </row>
    <row r="48" spans="2:12" x14ac:dyDescent="0.35">
      <c r="B48">
        <v>3.7999999999999999E-2</v>
      </c>
      <c r="C48">
        <f ca="1"/>
        <v>-0.1074481636320872</v>
      </c>
      <c r="D48">
        <f ca="1"/>
        <v>1</v>
      </c>
      <c r="E48" s="11">
        <f ca="1"/>
        <v>97.799606475195972</v>
      </c>
      <c r="F48" s="10">
        <f ca="1"/>
        <v>0</v>
      </c>
      <c r="G48" s="7">
        <f ca="1"/>
        <v>0</v>
      </c>
      <c r="H48" s="10">
        <f ca="1"/>
        <v>-95.438283414077532</v>
      </c>
      <c r="I48" s="7">
        <f ca="1"/>
        <v>1</v>
      </c>
      <c r="J48" s="7">
        <f ca="1"/>
        <v>2.3613230611184406</v>
      </c>
      <c r="K48">
        <f ca="1"/>
        <v>0</v>
      </c>
      <c r="L48">
        <f ca="1"/>
        <v>2.2003935248040278</v>
      </c>
    </row>
    <row r="49" spans="2:12" x14ac:dyDescent="0.35">
      <c r="B49">
        <v>3.9E-2</v>
      </c>
      <c r="C49">
        <f ca="1"/>
        <v>-6.6497192632109958E-2</v>
      </c>
      <c r="D49">
        <f ca="1"/>
        <v>1</v>
      </c>
      <c r="E49" s="11">
        <f ca="1"/>
        <v>98.601921323832912</v>
      </c>
      <c r="F49" s="10">
        <f ca="1"/>
        <v>0</v>
      </c>
      <c r="G49" s="7">
        <f ca="1"/>
        <v>0</v>
      </c>
      <c r="H49" s="10">
        <f ca="1"/>
        <v>-95.438283414077532</v>
      </c>
      <c r="I49" s="7">
        <f ca="1"/>
        <v>1</v>
      </c>
      <c r="J49" s="7">
        <f ca="1"/>
        <v>3.16363790975538</v>
      </c>
      <c r="K49">
        <f ca="1"/>
        <v>0</v>
      </c>
      <c r="L49">
        <f ca="1"/>
        <v>1.3980786761670885</v>
      </c>
    </row>
    <row r="50" spans="2:12" x14ac:dyDescent="0.35">
      <c r="B50">
        <v>0.04</v>
      </c>
      <c r="C50">
        <f ca="1"/>
        <v>-8.6076203836899512E-2</v>
      </c>
      <c r="D50">
        <f ca="1"/>
        <v>1</v>
      </c>
      <c r="E50" s="11">
        <f ca="1"/>
        <v>98.214606358454503</v>
      </c>
      <c r="F50" s="10">
        <f ca="1"/>
        <v>0</v>
      </c>
      <c r="G50" s="7">
        <f ca="1"/>
        <v>0</v>
      </c>
      <c r="H50" s="10">
        <f ca="1"/>
        <v>-95.438283414077532</v>
      </c>
      <c r="I50" s="7">
        <f ca="1"/>
        <v>1</v>
      </c>
      <c r="J50" s="7">
        <f ca="1"/>
        <v>2.7763229443769717</v>
      </c>
      <c r="K50">
        <f ca="1"/>
        <v>0</v>
      </c>
      <c r="L50">
        <f ca="1"/>
        <v>1.7853936415454967</v>
      </c>
    </row>
    <row r="51" spans="2:12" x14ac:dyDescent="0.35">
      <c r="B51">
        <v>4.1000000000000002E-2</v>
      </c>
      <c r="C51">
        <f ca="1"/>
        <v>-7.5475893437031857E-2</v>
      </c>
      <c r="D51">
        <f ca="1"/>
        <v>1</v>
      </c>
      <c r="E51" s="11">
        <f ca="1"/>
        <v>98.421079856665983</v>
      </c>
      <c r="F51" s="10">
        <f ca="1"/>
        <v>0</v>
      </c>
      <c r="G51" s="7">
        <f ca="1"/>
        <v>0</v>
      </c>
      <c r="H51" s="10">
        <f ca="1"/>
        <v>-95.438283414077532</v>
      </c>
      <c r="I51" s="7">
        <f ca="1"/>
        <v>1</v>
      </c>
      <c r="J51" s="7">
        <f ca="1"/>
        <v>2.9827964425884517</v>
      </c>
      <c r="K51">
        <f ca="1"/>
        <v>0</v>
      </c>
      <c r="L51">
        <f ca="1"/>
        <v>1.5789201433340168</v>
      </c>
    </row>
    <row r="52" spans="2:12" x14ac:dyDescent="0.35">
      <c r="B52">
        <v>4.2000000000000003E-2</v>
      </c>
      <c r="C52">
        <f ca="1"/>
        <v>-8.7380509944451276E-2</v>
      </c>
      <c r="D52">
        <f ca="1"/>
        <v>1</v>
      </c>
      <c r="E52" s="11">
        <f ca="1"/>
        <v>98.185061836638653</v>
      </c>
      <c r="F52" s="10">
        <f ca="1"/>
        <v>0</v>
      </c>
      <c r="G52" s="7">
        <f ca="1"/>
        <v>0</v>
      </c>
      <c r="H52" s="10">
        <f ca="1"/>
        <v>-95.438283414077532</v>
      </c>
      <c r="I52" s="7">
        <f ca="1"/>
        <v>1</v>
      </c>
      <c r="J52" s="7">
        <f ca="1"/>
        <v>2.7467784225611211</v>
      </c>
      <c r="K52">
        <f ca="1"/>
        <v>0</v>
      </c>
      <c r="L52">
        <f ca="1"/>
        <v>1.8149381633613473</v>
      </c>
    </row>
    <row r="53" spans="2:12" x14ac:dyDescent="0.35">
      <c r="B53">
        <v>4.3000000000000003E-2</v>
      </c>
      <c r="C53">
        <f ca="1"/>
        <v>-0.11161741912533502</v>
      </c>
      <c r="D53">
        <f ca="1"/>
        <v>1</v>
      </c>
      <c r="E53" s="11">
        <f ca="1"/>
        <v>97.708318836406661</v>
      </c>
      <c r="F53" s="10">
        <f ca="1"/>
        <v>0</v>
      </c>
      <c r="G53" s="7">
        <f ca="1"/>
        <v>0</v>
      </c>
      <c r="H53" s="10">
        <f ca="1"/>
        <v>-95.438283414077532</v>
      </c>
      <c r="I53" s="7">
        <f ca="1"/>
        <v>1</v>
      </c>
      <c r="J53" s="7">
        <f ca="1"/>
        <v>2.2700354223291299</v>
      </c>
      <c r="K53">
        <f ca="1"/>
        <v>0</v>
      </c>
      <c r="L53">
        <f ca="1"/>
        <v>2.2916811635933385</v>
      </c>
    </row>
    <row r="54" spans="2:12" x14ac:dyDescent="0.35">
      <c r="B54">
        <v>4.3999999999999997E-2</v>
      </c>
      <c r="C54">
        <f ca="1"/>
        <v>-9.0465037802280462E-2</v>
      </c>
      <c r="D54">
        <f ca="1"/>
        <v>1</v>
      </c>
      <c r="E54" s="11">
        <f ca="1"/>
        <v>98.120584702486596</v>
      </c>
      <c r="F54" s="10">
        <f ca="1"/>
        <v>0</v>
      </c>
      <c r="G54" s="7">
        <f ca="1"/>
        <v>0</v>
      </c>
      <c r="H54" s="10">
        <f ca="1"/>
        <v>-95.438283414077532</v>
      </c>
      <c r="I54" s="7">
        <f ca="1"/>
        <v>1</v>
      </c>
      <c r="J54" s="7">
        <f ca="1"/>
        <v>2.6823012884090645</v>
      </c>
      <c r="K54">
        <f ca="1"/>
        <v>0</v>
      </c>
      <c r="L54">
        <f ca="1"/>
        <v>1.879415297513404</v>
      </c>
    </row>
    <row r="55" spans="2:12" x14ac:dyDescent="0.35">
      <c r="B55">
        <v>4.4999999999999998E-2</v>
      </c>
      <c r="C55">
        <f ca="1"/>
        <v>-0.10151767144748236</v>
      </c>
      <c r="D55">
        <f ca="1"/>
        <v>1</v>
      </c>
      <c r="E55" s="11">
        <f ca="1"/>
        <v>97.901968021453229</v>
      </c>
      <c r="F55" s="10">
        <f ca="1"/>
        <v>0</v>
      </c>
      <c r="G55" s="7">
        <f ca="1"/>
        <v>0</v>
      </c>
      <c r="H55" s="10">
        <f ca="1"/>
        <v>-95.438283414077532</v>
      </c>
      <c r="I55" s="7">
        <f ca="1"/>
        <v>1</v>
      </c>
      <c r="J55" s="7">
        <f ca="1"/>
        <v>2.4636846073756971</v>
      </c>
      <c r="K55">
        <f ca="1"/>
        <v>0</v>
      </c>
      <c r="L55">
        <f ca="1"/>
        <v>2.0980319785467714</v>
      </c>
    </row>
    <row r="56" spans="2:12" x14ac:dyDescent="0.35">
      <c r="B56">
        <v>4.5999999999999999E-2</v>
      </c>
      <c r="C56">
        <f ca="1"/>
        <v>-0.1026527667915534</v>
      </c>
      <c r="D56">
        <f ca="1"/>
        <v>1</v>
      </c>
      <c r="E56" s="11">
        <f ca="1"/>
        <v>97.877787355143269</v>
      </c>
      <c r="F56" s="10">
        <f ca="1"/>
        <v>0</v>
      </c>
      <c r="G56" s="7">
        <f ca="1"/>
        <v>0</v>
      </c>
      <c r="H56" s="10">
        <f ca="1"/>
        <v>-95.438283414077532</v>
      </c>
      <c r="I56" s="7">
        <f ca="1"/>
        <v>1</v>
      </c>
      <c r="J56" s="7">
        <f ca="1"/>
        <v>2.4395039410657375</v>
      </c>
      <c r="K56">
        <f ca="1"/>
        <v>0</v>
      </c>
      <c r="L56">
        <f ca="1"/>
        <v>2.1222126448567309</v>
      </c>
    </row>
    <row r="57" spans="2:12" x14ac:dyDescent="0.35">
      <c r="B57">
        <v>4.7E-2</v>
      </c>
      <c r="C57">
        <f ca="1"/>
        <v>-7.2888880781373219E-2</v>
      </c>
      <c r="D57">
        <f ca="1"/>
        <v>1</v>
      </c>
      <c r="E57" s="11">
        <f ca="1"/>
        <v>98.460200415707476</v>
      </c>
      <c r="F57" s="10">
        <f ca="1"/>
        <v>0</v>
      </c>
      <c r="G57" s="7">
        <f ca="1"/>
        <v>0</v>
      </c>
      <c r="H57" s="10">
        <f ca="1"/>
        <v>-95.438283414077532</v>
      </c>
      <c r="I57" s="7">
        <f ca="1"/>
        <v>1</v>
      </c>
      <c r="J57" s="7">
        <f ca="1"/>
        <v>3.0219170016299444</v>
      </c>
      <c r="K57">
        <f ca="1"/>
        <v>0</v>
      </c>
      <c r="L57">
        <f ca="1"/>
        <v>1.5397995842925241</v>
      </c>
    </row>
    <row r="58" spans="2:12" x14ac:dyDescent="0.35">
      <c r="B58">
        <v>4.8000000000000001E-2</v>
      </c>
      <c r="C58">
        <f ca="1"/>
        <v>-0.10556537146307471</v>
      </c>
      <c r="D58">
        <f ca="1"/>
        <v>1</v>
      </c>
      <c r="E58" s="11">
        <f ca="1"/>
        <v>97.816875344979167</v>
      </c>
      <c r="F58" s="10">
        <f ca="1"/>
        <v>0</v>
      </c>
      <c r="G58" s="7">
        <f ca="1"/>
        <v>0</v>
      </c>
      <c r="H58" s="10">
        <f ca="1"/>
        <v>-95.438283414077532</v>
      </c>
      <c r="I58" s="7">
        <f ca="1"/>
        <v>1</v>
      </c>
      <c r="J58" s="7">
        <f ca="1"/>
        <v>2.378591930901635</v>
      </c>
      <c r="K58">
        <f ca="1"/>
        <v>0</v>
      </c>
      <c r="L58">
        <f ca="1"/>
        <v>2.1831246550208334</v>
      </c>
    </row>
    <row r="59" spans="2:12" x14ac:dyDescent="0.35">
      <c r="B59">
        <v>4.9000000000000002E-2</v>
      </c>
      <c r="C59">
        <f ca="1"/>
        <v>-8.7822194247734561E-2</v>
      </c>
      <c r="D59">
        <f ca="1"/>
        <v>1</v>
      </c>
      <c r="E59" s="11">
        <f ca="1"/>
        <v>98.162645127233432</v>
      </c>
      <c r="F59" s="10">
        <f ca="1"/>
        <v>0</v>
      </c>
      <c r="G59" s="7">
        <f ca="1"/>
        <v>0</v>
      </c>
      <c r="H59" s="10">
        <f ca="1"/>
        <v>-95.438283414077532</v>
      </c>
      <c r="I59" s="7">
        <f ca="1"/>
        <v>1</v>
      </c>
      <c r="J59" s="7">
        <f ca="1"/>
        <v>2.7243617131559006</v>
      </c>
      <c r="K59">
        <f ca="1"/>
        <v>0</v>
      </c>
      <c r="L59">
        <f ca="1"/>
        <v>1.8373548727665678</v>
      </c>
    </row>
    <row r="60" spans="2:12" x14ac:dyDescent="0.35">
      <c r="B60">
        <v>0.05</v>
      </c>
      <c r="C60">
        <f ca="1"/>
        <v>-9.4582005723563317E-2</v>
      </c>
      <c r="D60">
        <f ca="1"/>
        <v>1</v>
      </c>
      <c r="E60" s="11">
        <f ca="1"/>
        <v>98.028062021908426</v>
      </c>
      <c r="F60" s="10">
        <f ca="1"/>
        <v>0</v>
      </c>
      <c r="G60" s="7">
        <f ca="1"/>
        <v>0</v>
      </c>
      <c r="H60" s="10">
        <f ca="1"/>
        <v>-95.438283414077532</v>
      </c>
      <c r="I60" s="7">
        <f ca="1"/>
        <v>1</v>
      </c>
      <c r="J60" s="7">
        <f ca="1"/>
        <v>2.589778607830894</v>
      </c>
      <c r="K60">
        <f ca="1"/>
        <v>0</v>
      </c>
      <c r="L60">
        <f ca="1"/>
        <v>1.9719379780915745</v>
      </c>
    </row>
    <row r="61" spans="2:12" x14ac:dyDescent="0.35">
      <c r="B61">
        <v>5.1000000000000004E-2</v>
      </c>
      <c r="C61">
        <f ca="1"/>
        <v>-0.10825325547883358</v>
      </c>
      <c r="D61">
        <f ca="1"/>
        <v>1</v>
      </c>
      <c r="E61" s="11">
        <f ca="1"/>
        <v>97.758439710944856</v>
      </c>
      <c r="F61" s="10">
        <f ca="1"/>
        <v>0</v>
      </c>
      <c r="G61" s="7">
        <f ca="1"/>
        <v>0</v>
      </c>
      <c r="H61" s="10">
        <f ca="1"/>
        <v>-95.438283414077532</v>
      </c>
      <c r="I61" s="7">
        <f ca="1"/>
        <v>1</v>
      </c>
      <c r="J61" s="7">
        <f ca="1"/>
        <v>2.3201562968673244</v>
      </c>
      <c r="K61">
        <f ca="1"/>
        <v>0</v>
      </c>
      <c r="L61">
        <f ca="1"/>
        <v>2.241560289055144</v>
      </c>
    </row>
    <row r="62" spans="2:12" x14ac:dyDescent="0.35">
      <c r="B62">
        <v>5.2000000000000005E-2</v>
      </c>
      <c r="C62">
        <f ca="1"/>
        <v>-0.12251473062233656</v>
      </c>
      <c r="D62">
        <f ca="1"/>
        <v>1</v>
      </c>
      <c r="E62" s="11">
        <f ca="1"/>
        <v>97.478051502147395</v>
      </c>
      <c r="F62" s="10">
        <f ca="1"/>
        <v>0</v>
      </c>
      <c r="G62" s="7">
        <f ca="1"/>
        <v>0</v>
      </c>
      <c r="H62" s="10">
        <f ca="1"/>
        <v>-95.438283414077532</v>
      </c>
      <c r="I62" s="7">
        <f ca="1"/>
        <v>1</v>
      </c>
      <c r="J62" s="7">
        <f ca="1"/>
        <v>2.039768088069863</v>
      </c>
      <c r="K62">
        <f ca="1"/>
        <v>0</v>
      </c>
      <c r="L62">
        <f ca="1"/>
        <v>2.5219484978526054</v>
      </c>
    </row>
    <row r="63" spans="2:12" x14ac:dyDescent="0.35">
      <c r="B63">
        <v>5.2999999999999999E-2</v>
      </c>
      <c r="C63">
        <f ca="1"/>
        <v>-5.7166118910328065E-2</v>
      </c>
      <c r="D63">
        <f ca="1"/>
        <v>1</v>
      </c>
      <c r="E63" s="11">
        <f ca="1"/>
        <v>98.758449255895826</v>
      </c>
      <c r="F63" s="10">
        <f ca="1"/>
        <v>0</v>
      </c>
      <c r="G63" s="7">
        <f ca="1"/>
        <v>0</v>
      </c>
      <c r="H63" s="10">
        <f ca="1"/>
        <v>-95.438283414077532</v>
      </c>
      <c r="I63" s="7">
        <f ca="1"/>
        <v>1</v>
      </c>
      <c r="J63" s="7">
        <f ca="1"/>
        <v>3.3201658418182944</v>
      </c>
      <c r="K63">
        <f ca="1"/>
        <v>0</v>
      </c>
      <c r="L63">
        <f ca="1"/>
        <v>1.241550744104174</v>
      </c>
    </row>
    <row r="64" spans="2:12" x14ac:dyDescent="0.35">
      <c r="B64">
        <v>5.3999999999999999E-2</v>
      </c>
      <c r="C64">
        <f ca="1"/>
        <v>-4.9886758127166919E-2</v>
      </c>
      <c r="D64">
        <f ca="1"/>
        <v>1</v>
      </c>
      <c r="E64" s="11">
        <f ca="1"/>
        <v>98.900355618731112</v>
      </c>
      <c r="F64" s="10">
        <f ca="1"/>
        <v>0</v>
      </c>
      <c r="G64" s="7">
        <f ca="1"/>
        <v>0</v>
      </c>
      <c r="H64" s="10">
        <f ca="1"/>
        <v>-95.438283414077532</v>
      </c>
      <c r="I64" s="7">
        <f ca="1"/>
        <v>1</v>
      </c>
      <c r="J64" s="7">
        <f ca="1"/>
        <v>3.4620722046535803</v>
      </c>
      <c r="K64">
        <f ca="1"/>
        <v>0</v>
      </c>
      <c r="L64">
        <f ca="1"/>
        <v>1.0996443812688881</v>
      </c>
    </row>
    <row r="65" spans="2:12" x14ac:dyDescent="0.35">
      <c r="B65">
        <v>5.5E-2</v>
      </c>
      <c r="C65">
        <f ca="1"/>
        <v>-9.1241216375350293E-2</v>
      </c>
      <c r="D65">
        <f ca="1"/>
        <v>1</v>
      </c>
      <c r="E65" s="11">
        <f ca="1"/>
        <v>98.083773261682978</v>
      </c>
      <c r="F65" s="10">
        <f ca="1"/>
        <v>0</v>
      </c>
      <c r="G65" s="7">
        <f ca="1"/>
        <v>0</v>
      </c>
      <c r="H65" s="10">
        <f ca="1"/>
        <v>-95.438283414077532</v>
      </c>
      <c r="I65" s="7">
        <f ca="1"/>
        <v>1</v>
      </c>
      <c r="J65" s="7">
        <f ca="1"/>
        <v>2.6454898476054467</v>
      </c>
      <c r="K65">
        <f ca="1"/>
        <v>0</v>
      </c>
      <c r="L65">
        <f ca="1"/>
        <v>1.9162267383170217</v>
      </c>
    </row>
    <row r="66" spans="2:12" x14ac:dyDescent="0.35">
      <c r="B66">
        <v>5.6000000000000001E-2</v>
      </c>
      <c r="C66">
        <f ca="1"/>
        <v>-4.8955458202242695E-2</v>
      </c>
      <c r="D66">
        <f ca="1"/>
        <v>1</v>
      </c>
      <c r="E66" s="11">
        <f ca="1"/>
        <v>98.914821841147855</v>
      </c>
      <c r="F66" s="10">
        <f ca="1"/>
        <v>0</v>
      </c>
      <c r="G66" s="7">
        <f ca="1"/>
        <v>0</v>
      </c>
      <c r="H66" s="10">
        <f ca="1"/>
        <v>-95.438283414077532</v>
      </c>
      <c r="I66" s="7">
        <f ca="1"/>
        <v>1</v>
      </c>
      <c r="J66" s="7">
        <f ca="1"/>
        <v>3.4765384270703237</v>
      </c>
      <c r="K66">
        <f ca="1"/>
        <v>0</v>
      </c>
      <c r="L66">
        <f ca="1"/>
        <v>1.0851781588521447</v>
      </c>
    </row>
    <row r="67" spans="2:12" x14ac:dyDescent="0.35">
      <c r="B67">
        <v>5.7000000000000002E-2</v>
      </c>
      <c r="C67">
        <f ca="1"/>
        <v>-6.6383675435319672E-2</v>
      </c>
      <c r="D67">
        <f ca="1"/>
        <v>1</v>
      </c>
      <c r="E67" s="11">
        <f ca="1"/>
        <v>98.568668843186629</v>
      </c>
      <c r="F67" s="10">
        <f ca="1"/>
        <v>0</v>
      </c>
      <c r="G67" s="7">
        <f ca="1"/>
        <v>0</v>
      </c>
      <c r="H67" s="10">
        <f ca="1"/>
        <v>-95.438283414077532</v>
      </c>
      <c r="I67" s="7">
        <f ca="1"/>
        <v>1</v>
      </c>
      <c r="J67" s="7">
        <f ca="1"/>
        <v>3.1303854291090971</v>
      </c>
      <c r="K67">
        <f ca="1"/>
        <v>0</v>
      </c>
      <c r="L67">
        <f ca="1"/>
        <v>1.4313311568133713</v>
      </c>
    </row>
    <row r="68" spans="2:12" x14ac:dyDescent="0.35">
      <c r="B68">
        <v>5.8000000000000003E-2</v>
      </c>
      <c r="C68">
        <f ca="1"/>
        <v>-4.9685121658896998E-2</v>
      </c>
      <c r="D68">
        <f ca="1"/>
        <v>1</v>
      </c>
      <c r="E68" s="11">
        <f ca="1"/>
        <v>98.896432051794918</v>
      </c>
      <c r="F68" s="10">
        <f ca="1"/>
        <v>0</v>
      </c>
      <c r="G68" s="7">
        <f ca="1"/>
        <v>0</v>
      </c>
      <c r="H68" s="10">
        <f ca="1"/>
        <v>-95.438283414077532</v>
      </c>
      <c r="I68" s="7">
        <f ca="1"/>
        <v>1</v>
      </c>
      <c r="J68" s="7">
        <f ca="1"/>
        <v>3.458148637717386</v>
      </c>
      <c r="K68">
        <f ca="1"/>
        <v>0</v>
      </c>
      <c r="L68">
        <f ca="1"/>
        <v>1.1035679482050824</v>
      </c>
    </row>
    <row r="69" spans="2:12" x14ac:dyDescent="0.35">
      <c r="B69">
        <v>5.9000000000000004E-2</v>
      </c>
      <c r="C69">
        <f ca="1"/>
        <v>-6.7192669051593407E-2</v>
      </c>
      <c r="D69">
        <f ca="1"/>
        <v>1</v>
      </c>
      <c r="E69" s="11">
        <f ca="1"/>
        <v>98.54877981851854</v>
      </c>
      <c r="F69" s="10">
        <f ca="1"/>
        <v>0</v>
      </c>
      <c r="G69" s="7">
        <f ca="1"/>
        <v>0</v>
      </c>
      <c r="H69" s="10">
        <f ca="1"/>
        <v>-95.438283414077532</v>
      </c>
      <c r="I69" s="7">
        <f ca="1"/>
        <v>1</v>
      </c>
      <c r="J69" s="7">
        <f ca="1"/>
        <v>3.1104964044410082</v>
      </c>
      <c r="K69">
        <f ca="1"/>
        <v>0</v>
      </c>
      <c r="L69">
        <f ca="1"/>
        <v>1.4512201814814603</v>
      </c>
    </row>
    <row r="70" spans="2:12" x14ac:dyDescent="0.35">
      <c r="B70">
        <v>0.06</v>
      </c>
      <c r="C70">
        <f ca="1"/>
        <v>-7.306950107341692E-2</v>
      </c>
      <c r="D70">
        <f ca="1"/>
        <v>1</v>
      </c>
      <c r="E70" s="11">
        <f ca="1"/>
        <v>98.431048298103363</v>
      </c>
      <c r="F70" s="10">
        <f ca="1"/>
        <v>0</v>
      </c>
      <c r="G70" s="7">
        <f ca="1"/>
        <v>0</v>
      </c>
      <c r="H70" s="10">
        <f ca="1"/>
        <v>-95.438283414077532</v>
      </c>
      <c r="I70" s="7">
        <f ca="1"/>
        <v>1</v>
      </c>
      <c r="J70" s="7">
        <f ca="1"/>
        <v>2.9927648840258314</v>
      </c>
      <c r="K70">
        <f ca="1"/>
        <v>0</v>
      </c>
      <c r="L70">
        <f ca="1"/>
        <v>1.568951701896637</v>
      </c>
    </row>
    <row r="71" spans="2:12" x14ac:dyDescent="0.35">
      <c r="B71">
        <v>6.0999999999999999E-2</v>
      </c>
      <c r="C71">
        <f ca="1"/>
        <v>-2.1597867484292023E-2</v>
      </c>
      <c r="D71">
        <f ca="1"/>
        <v>1</v>
      </c>
      <c r="E71" s="11">
        <f ca="1"/>
        <v>99.447574164756574</v>
      </c>
      <c r="F71" s="10">
        <f ca="1"/>
        <v>0</v>
      </c>
      <c r="G71" s="7">
        <f ca="1"/>
        <v>0</v>
      </c>
      <c r="H71" s="10">
        <f ca="1"/>
        <v>-95.438283414077532</v>
      </c>
      <c r="I71" s="7">
        <f ca="1"/>
        <v>1</v>
      </c>
      <c r="J71" s="7">
        <f ca="1"/>
        <v>4.0092907506790425</v>
      </c>
      <c r="K71">
        <f ca="1"/>
        <v>0</v>
      </c>
      <c r="L71">
        <f ca="1"/>
        <v>0.55242583524342592</v>
      </c>
    </row>
    <row r="72" spans="2:12" x14ac:dyDescent="0.35">
      <c r="B72">
        <v>6.2E-2</v>
      </c>
      <c r="C72">
        <f ca="1"/>
        <v>-2.7583340007436629E-2</v>
      </c>
      <c r="D72">
        <f ca="1"/>
        <v>1</v>
      </c>
      <c r="E72" s="11">
        <f ca="1"/>
        <v>99.326610695660847</v>
      </c>
      <c r="F72" s="10">
        <f ca="1"/>
        <v>0</v>
      </c>
      <c r="G72" s="7">
        <f ca="1"/>
        <v>0</v>
      </c>
      <c r="H72" s="10">
        <f ca="1"/>
        <v>-95.438283414077532</v>
      </c>
      <c r="I72" s="7">
        <f ca="1"/>
        <v>1</v>
      </c>
      <c r="J72" s="7">
        <f ca="1"/>
        <v>3.8883272815833152</v>
      </c>
      <c r="K72">
        <f ca="1"/>
        <v>0</v>
      </c>
      <c r="L72">
        <f ca="1"/>
        <v>0.67338930433915323</v>
      </c>
    </row>
    <row r="73" spans="2:12" x14ac:dyDescent="0.35">
      <c r="B73">
        <v>6.3E-2</v>
      </c>
      <c r="C73">
        <f ca="1"/>
        <v>-4.166862349743139E-2</v>
      </c>
      <c r="D73">
        <f ca="1"/>
        <v>1</v>
      </c>
      <c r="E73" s="11">
        <f ca="1"/>
        <v>99.045214826258928</v>
      </c>
      <c r="F73" s="10">
        <f ca="1"/>
        <v>0</v>
      </c>
      <c r="G73" s="7">
        <f ca="1"/>
        <v>0</v>
      </c>
      <c r="H73" s="10">
        <f ca="1"/>
        <v>-95.438283414077532</v>
      </c>
      <c r="I73" s="7">
        <f ca="1"/>
        <v>1</v>
      </c>
      <c r="J73" s="7">
        <f ca="1"/>
        <v>3.606931412181396</v>
      </c>
      <c r="K73">
        <f ca="1"/>
        <v>0</v>
      </c>
      <c r="L73">
        <f ca="1"/>
        <v>0.95478517374107241</v>
      </c>
    </row>
    <row r="74" spans="2:12" x14ac:dyDescent="0.35">
      <c r="B74">
        <v>6.4000000000000001E-2</v>
      </c>
      <c r="C74">
        <f ca="1"/>
        <v>-4.789037507503268E-2</v>
      </c>
      <c r="D74">
        <f ca="1"/>
        <v>1</v>
      </c>
      <c r="E74" s="11">
        <f ca="1"/>
        <v>98.920066110223573</v>
      </c>
      <c r="F74" s="10">
        <f ca="1"/>
        <v>0</v>
      </c>
      <c r="G74" s="7">
        <f ca="1"/>
        <v>0</v>
      </c>
      <c r="H74" s="10">
        <f ca="1"/>
        <v>-95.438283414077532</v>
      </c>
      <c r="I74" s="7">
        <f ca="1"/>
        <v>1</v>
      </c>
      <c r="J74" s="7">
        <f ca="1"/>
        <v>3.4817826961460412</v>
      </c>
      <c r="K74">
        <f ca="1"/>
        <v>0</v>
      </c>
      <c r="L74">
        <f ca="1"/>
        <v>1.0799338897764272</v>
      </c>
    </row>
    <row r="75" spans="2:12" x14ac:dyDescent="0.35">
      <c r="B75">
        <v>6.5000000000000002E-2</v>
      </c>
      <c r="C75">
        <f ca="1"/>
        <v>-2.1267071618179853E-2</v>
      </c>
      <c r="D75">
        <f ca="1"/>
        <v>1</v>
      </c>
      <c r="E75" s="11">
        <f ca="1"/>
        <v>99.446197737634577</v>
      </c>
      <c r="F75" s="10">
        <f ca="1"/>
        <v>0</v>
      </c>
      <c r="G75" s="7">
        <f ca="1"/>
        <v>0</v>
      </c>
      <c r="H75" s="10">
        <f ca="1"/>
        <v>-95.438283414077532</v>
      </c>
      <c r="I75" s="7">
        <f ca="1"/>
        <v>1</v>
      </c>
      <c r="J75" s="7">
        <f ca="1"/>
        <v>4.0079143235570456</v>
      </c>
      <c r="K75">
        <f ca="1"/>
        <v>0</v>
      </c>
      <c r="L75">
        <f ca="1"/>
        <v>0.55380226236542285</v>
      </c>
    </row>
    <row r="76" spans="2:12" x14ac:dyDescent="0.35">
      <c r="B76">
        <v>6.6000000000000003E-2</v>
      </c>
      <c r="C76">
        <f ca="1"/>
        <v>1.0992702968613412E-2</v>
      </c>
      <c r="D76">
        <f ca="1"/>
        <v>1</v>
      </c>
      <c r="E76" s="11">
        <f ca="1"/>
        <v>100.08789266235493</v>
      </c>
      <c r="F76" s="10">
        <f ca="1"/>
        <v>100.08789266235493</v>
      </c>
      <c r="G76" s="7">
        <f ca="1"/>
        <v>-1</v>
      </c>
      <c r="H76" s="10">
        <f ca="1"/>
        <v>4.6496092482774003</v>
      </c>
      <c r="I76" s="7">
        <f ca="1"/>
        <v>0</v>
      </c>
      <c r="J76" s="7">
        <f ca="1"/>
        <v>4.6496092482774003</v>
      </c>
      <c r="K76">
        <f ca="1"/>
        <v>0</v>
      </c>
      <c r="L76">
        <f ca="1"/>
        <v>0</v>
      </c>
    </row>
    <row r="77" spans="2:12" x14ac:dyDescent="0.35">
      <c r="B77">
        <v>6.7000000000000004E-2</v>
      </c>
      <c r="C77">
        <f ca="1"/>
        <v>-2.6231698475494808E-2</v>
      </c>
      <c r="D77">
        <f ca="1"/>
        <v>1</v>
      </c>
      <c r="E77" s="11">
        <f ca="1"/>
        <v>99.343530269940246</v>
      </c>
      <c r="F77" s="10">
        <f ca="1"/>
        <v>-99.343530269940246</v>
      </c>
      <c r="G77" s="7">
        <f ca="1"/>
        <v>1</v>
      </c>
      <c r="H77" s="10">
        <f ca="1"/>
        <v>-94.693921021662845</v>
      </c>
      <c r="I77" s="7">
        <f ca="1"/>
        <v>1</v>
      </c>
      <c r="J77" s="7">
        <f ca="1"/>
        <v>4.6496092482774003</v>
      </c>
      <c r="K77">
        <f ca="1"/>
        <v>0</v>
      </c>
      <c r="L77">
        <f ca="1"/>
        <v>0.6564697300597544</v>
      </c>
    </row>
    <row r="78" spans="2:12" x14ac:dyDescent="0.35">
      <c r="B78">
        <v>6.8000000000000005E-2</v>
      </c>
      <c r="C78">
        <f ca="1"/>
        <v>-5.6003408454343928E-2</v>
      </c>
      <c r="D78">
        <f ca="1"/>
        <v>1</v>
      </c>
      <c r="E78" s="11">
        <f ca="1"/>
        <v>98.751787442130905</v>
      </c>
      <c r="F78" s="10">
        <f ca="1"/>
        <v>0</v>
      </c>
      <c r="G78" s="7">
        <f ca="1"/>
        <v>0</v>
      </c>
      <c r="H78" s="10">
        <f ca="1"/>
        <v>-94.693921021662845</v>
      </c>
      <c r="I78" s="7">
        <f ca="1"/>
        <v>1</v>
      </c>
      <c r="J78" s="7">
        <f ca="1"/>
        <v>4.0578664204680592</v>
      </c>
      <c r="K78">
        <f ca="1"/>
        <v>0</v>
      </c>
      <c r="L78">
        <f ca="1"/>
        <v>1.2482125578690955</v>
      </c>
    </row>
    <row r="79" spans="2:12" x14ac:dyDescent="0.35">
      <c r="B79">
        <v>6.9000000000000006E-2</v>
      </c>
      <c r="C79">
        <f ca="1"/>
        <v>-0.11645965187113716</v>
      </c>
      <c r="D79">
        <f ca="1"/>
        <v>1</v>
      </c>
      <c r="E79" s="11">
        <f ca="1"/>
        <v>97.562993407807085</v>
      </c>
      <c r="F79" s="10">
        <f ca="1"/>
        <v>0</v>
      </c>
      <c r="G79" s="7">
        <f ca="1"/>
        <v>0</v>
      </c>
      <c r="H79" s="10">
        <f ca="1"/>
        <v>-94.693921021662845</v>
      </c>
      <c r="I79" s="7">
        <f ca="1"/>
        <v>1</v>
      </c>
      <c r="J79" s="7">
        <f ca="1"/>
        <v>2.8690723861442393</v>
      </c>
      <c r="K79">
        <f ca="1"/>
        <v>0</v>
      </c>
      <c r="L79">
        <f ca="1"/>
        <v>2.4370065921929154</v>
      </c>
    </row>
    <row r="80" spans="2:12" x14ac:dyDescent="0.35">
      <c r="B80">
        <v>7.0000000000000007E-2</v>
      </c>
      <c r="C80">
        <f ca="1"/>
        <v>-0.12720218008335829</v>
      </c>
      <c r="D80">
        <f ca="1"/>
        <v>1</v>
      </c>
      <c r="E80" s="11">
        <f ca="1"/>
        <v>97.351656731312303</v>
      </c>
      <c r="F80" s="10">
        <f ca="1"/>
        <v>0</v>
      </c>
      <c r="G80" s="7">
        <f ca="1"/>
        <v>0</v>
      </c>
      <c r="H80" s="10">
        <f ca="1"/>
        <v>-94.693921021662845</v>
      </c>
      <c r="I80" s="7">
        <f ca="1"/>
        <v>1</v>
      </c>
      <c r="J80" s="7">
        <f ca="1"/>
        <v>2.657735709649458</v>
      </c>
      <c r="K80">
        <f ca="1"/>
        <v>0</v>
      </c>
      <c r="L80">
        <f ca="1"/>
        <v>2.6483432686876966</v>
      </c>
    </row>
    <row r="81" spans="2:12" x14ac:dyDescent="0.35">
      <c r="B81">
        <v>7.1000000000000008E-2</v>
      </c>
      <c r="C81">
        <f ca="1"/>
        <v>-0.14400882277327287</v>
      </c>
      <c r="D81">
        <f ca="1"/>
        <v>1</v>
      </c>
      <c r="E81" s="11">
        <f ca="1"/>
        <v>97.023034698820197</v>
      </c>
      <c r="F81" s="10">
        <f ca="1"/>
        <v>0</v>
      </c>
      <c r="G81" s="7">
        <f ca="1"/>
        <v>0</v>
      </c>
      <c r="H81" s="10">
        <f ca="1"/>
        <v>-94.693921021662845</v>
      </c>
      <c r="I81" s="7">
        <f ca="1"/>
        <v>1</v>
      </c>
      <c r="J81" s="7">
        <f ca="1"/>
        <v>2.329113677157352</v>
      </c>
      <c r="K81">
        <f ca="1"/>
        <v>0</v>
      </c>
      <c r="L81">
        <f ca="1"/>
        <v>2.9769653011798027</v>
      </c>
    </row>
    <row r="82" spans="2:12" x14ac:dyDescent="0.35">
      <c r="B82">
        <v>7.2000000000000008E-2</v>
      </c>
      <c r="C82">
        <f ca="1"/>
        <v>-0.17104486833619553</v>
      </c>
      <c r="D82">
        <f ca="1"/>
        <v>1</v>
      </c>
      <c r="E82" s="11">
        <f ca="1"/>
        <v>96.497896706597302</v>
      </c>
      <c r="F82" s="10">
        <f ca="1"/>
        <v>0</v>
      </c>
      <c r="G82" s="7">
        <f ca="1"/>
        <v>0</v>
      </c>
      <c r="H82" s="10">
        <f ca="1"/>
        <v>-94.693921021662845</v>
      </c>
      <c r="I82" s="7">
        <f ca="1"/>
        <v>1</v>
      </c>
      <c r="J82" s="7">
        <f ca="1"/>
        <v>1.803975684934457</v>
      </c>
      <c r="K82">
        <f ca="1"/>
        <v>0</v>
      </c>
      <c r="L82">
        <f ca="1"/>
        <v>3.5021032934026977</v>
      </c>
    </row>
    <row r="83" spans="2:12" x14ac:dyDescent="0.35">
      <c r="B83">
        <v>7.2999999999999995E-2</v>
      </c>
      <c r="C83">
        <f ca="1"/>
        <v>-0.20026413687567021</v>
      </c>
      <c r="D83">
        <f ca="1"/>
        <v>1</v>
      </c>
      <c r="E83" s="11">
        <f ca="1"/>
        <v>95.933702948658933</v>
      </c>
      <c r="F83" s="10">
        <f ca="1"/>
        <v>0</v>
      </c>
      <c r="G83" s="7">
        <f ca="1"/>
        <v>0</v>
      </c>
      <c r="H83" s="10">
        <f ca="1"/>
        <v>-94.693921021662845</v>
      </c>
      <c r="I83" s="7">
        <f ca="1"/>
        <v>1</v>
      </c>
      <c r="J83" s="7">
        <f ca="1"/>
        <v>1.2397819269960877</v>
      </c>
      <c r="K83">
        <f ca="1"/>
        <v>0</v>
      </c>
      <c r="L83">
        <f ca="1"/>
        <v>4.066297051341067</v>
      </c>
    </row>
    <row r="84" spans="2:12" x14ac:dyDescent="0.35">
      <c r="B84">
        <v>7.3999999999999996E-2</v>
      </c>
      <c r="C84">
        <f ca="1"/>
        <v>-0.20106789946599679</v>
      </c>
      <c r="D84">
        <f ca="1"/>
        <v>1</v>
      </c>
      <c r="E84" s="11">
        <f ca="1"/>
        <v>95.916364257336909</v>
      </c>
      <c r="F84" s="10">
        <f ca="1"/>
        <v>0</v>
      </c>
      <c r="G84" s="7">
        <f ca="1"/>
        <v>0</v>
      </c>
      <c r="H84" s="10">
        <f ca="1"/>
        <v>-94.693921021662845</v>
      </c>
      <c r="I84" s="7">
        <f ca="1"/>
        <v>1</v>
      </c>
      <c r="J84" s="7">
        <f ca="1"/>
        <v>1.2224432356740635</v>
      </c>
      <c r="K84">
        <f ca="1"/>
        <v>0</v>
      </c>
      <c r="L84">
        <f ca="1"/>
        <v>4.0836357426630912</v>
      </c>
    </row>
    <row r="85" spans="2:12" x14ac:dyDescent="0.35">
      <c r="B85">
        <v>7.4999999999999997E-2</v>
      </c>
      <c r="C85">
        <f ca="1"/>
        <v>-0.17129369031008279</v>
      </c>
      <c r="D85">
        <f ca="1"/>
        <v>1</v>
      </c>
      <c r="E85" s="11">
        <f ca="1"/>
        <v>96.487305254660811</v>
      </c>
      <c r="F85" s="10">
        <f ca="1"/>
        <v>0</v>
      </c>
      <c r="G85" s="7">
        <f ca="1"/>
        <v>0</v>
      </c>
      <c r="H85" s="10">
        <f ca="1"/>
        <v>-94.693921021662845</v>
      </c>
      <c r="I85" s="7">
        <f ca="1"/>
        <v>1</v>
      </c>
      <c r="J85" s="7">
        <f ca="1"/>
        <v>1.7933842329979655</v>
      </c>
      <c r="K85">
        <f ca="1"/>
        <v>0</v>
      </c>
      <c r="L85">
        <f ca="1"/>
        <v>3.5126947453391892</v>
      </c>
    </row>
    <row r="86" spans="2:12" x14ac:dyDescent="0.35">
      <c r="B86">
        <v>7.5999999999999998E-2</v>
      </c>
      <c r="C86">
        <f ca="1"/>
        <v>-0.22945035902512481</v>
      </c>
      <c r="D86">
        <f ca="1"/>
        <v>1</v>
      </c>
      <c r="E86" s="11">
        <f ca="1"/>
        <v>95.369623345726211</v>
      </c>
      <c r="F86" s="10">
        <f ca="1"/>
        <v>0</v>
      </c>
      <c r="G86" s="7">
        <f ca="1"/>
        <v>0</v>
      </c>
      <c r="H86" s="10">
        <f ca="1"/>
        <v>-94.693921021662845</v>
      </c>
      <c r="I86" s="7">
        <f ca="1"/>
        <v>1</v>
      </c>
      <c r="J86" s="7">
        <f ca="1"/>
        <v>0.67570232406336572</v>
      </c>
      <c r="K86">
        <f ca="1"/>
        <v>0</v>
      </c>
      <c r="L86">
        <f ca="1"/>
        <v>4.630376654273789</v>
      </c>
    </row>
    <row r="87" spans="2:12" x14ac:dyDescent="0.35">
      <c r="B87">
        <v>7.6999999999999999E-2</v>
      </c>
      <c r="C87">
        <f ca="1"/>
        <v>-0.25529548078310954</v>
      </c>
      <c r="D87">
        <f ca="1"/>
        <v>1</v>
      </c>
      <c r="E87" s="11">
        <f ca="1"/>
        <v>94.87602978981343</v>
      </c>
      <c r="F87" s="10">
        <f ca="1"/>
        <v>0</v>
      </c>
      <c r="G87" s="7">
        <f ca="1"/>
        <v>0</v>
      </c>
      <c r="H87" s="10">
        <f ca="1"/>
        <v>-94.693921021662845</v>
      </c>
      <c r="I87" s="7">
        <f ca="1"/>
        <v>1</v>
      </c>
      <c r="J87" s="7">
        <f ca="1"/>
        <v>0.18210876815058441</v>
      </c>
      <c r="K87">
        <f ca="1"/>
        <v>0</v>
      </c>
      <c r="L87">
        <f ca="1"/>
        <v>5.1239702101865703</v>
      </c>
    </row>
    <row r="88" spans="2:12" x14ac:dyDescent="0.35">
      <c r="B88">
        <v>7.8E-2</v>
      </c>
      <c r="C88">
        <f ca="1"/>
        <v>-0.2824676307701382</v>
      </c>
      <c r="D88">
        <f ca="1"/>
        <v>1</v>
      </c>
      <c r="E88" s="11">
        <f ca="1"/>
        <v>94.35994388361415</v>
      </c>
      <c r="F88" s="10">
        <f ca="1"/>
        <v>0</v>
      </c>
      <c r="G88" s="7">
        <f ca="1"/>
        <v>0</v>
      </c>
      <c r="H88" s="10">
        <f ca="1"/>
        <v>-94.693921021662845</v>
      </c>
      <c r="I88" s="7">
        <f ca="1"/>
        <v>1</v>
      </c>
      <c r="J88" s="7">
        <f ca="1"/>
        <v>-0.33397713804869511</v>
      </c>
      <c r="K88">
        <f ca="1"/>
        <v>0</v>
      </c>
      <c r="L88">
        <f ca="1"/>
        <v>5.6400561163858498</v>
      </c>
    </row>
    <row r="89" spans="2:12" x14ac:dyDescent="0.35">
      <c r="B89">
        <v>7.9000000000000001E-2</v>
      </c>
      <c r="C89">
        <f ca="1"/>
        <v>-0.30109644173914335</v>
      </c>
      <c r="D89">
        <f ca="1"/>
        <v>1</v>
      </c>
      <c r="E89" s="11">
        <f ca="1"/>
        <v>94.00715511710807</v>
      </c>
      <c r="F89" s="10">
        <f ca="1"/>
        <v>0</v>
      </c>
      <c r="G89" s="7">
        <f ca="1"/>
        <v>0</v>
      </c>
      <c r="H89" s="10">
        <f ca="1"/>
        <v>-94.693921021662845</v>
      </c>
      <c r="I89" s="7">
        <f ca="1"/>
        <v>1</v>
      </c>
      <c r="J89" s="7">
        <f ca="1"/>
        <v>-0.68676590455477537</v>
      </c>
      <c r="K89">
        <f ca="1"/>
        <v>0</v>
      </c>
      <c r="L89">
        <f ca="1"/>
        <v>5.9928448828919301</v>
      </c>
    </row>
    <row r="90" spans="2:12" x14ac:dyDescent="0.35">
      <c r="B90">
        <v>0.08</v>
      </c>
      <c r="C90">
        <f ca="1"/>
        <v>-0.25832073310754639</v>
      </c>
      <c r="D90">
        <f ca="1"/>
        <v>1</v>
      </c>
      <c r="E90" s="11">
        <f ca="1"/>
        <v>94.812953418904783</v>
      </c>
      <c r="F90" s="10">
        <f ca="1"/>
        <v>0</v>
      </c>
      <c r="G90" s="7">
        <f ca="1"/>
        <v>0</v>
      </c>
      <c r="H90" s="10">
        <f ca="1"/>
        <v>-94.693921021662845</v>
      </c>
      <c r="I90" s="7">
        <f ca="1"/>
        <v>1</v>
      </c>
      <c r="J90" s="7">
        <f ca="1"/>
        <v>0.11903239724193782</v>
      </c>
      <c r="K90">
        <f ca="1"/>
        <v>0</v>
      </c>
      <c r="L90">
        <f ca="1"/>
        <v>5.1870465810952169</v>
      </c>
    </row>
    <row r="91" spans="2:12" x14ac:dyDescent="0.35">
      <c r="B91">
        <v>8.1000000000000003E-2</v>
      </c>
      <c r="C91">
        <f ca="1"/>
        <v>-0.20938157731788171</v>
      </c>
      <c r="D91">
        <f ca="1"/>
        <v>1</v>
      </c>
      <c r="E91" s="11">
        <f ca="1"/>
        <v>95.743608179258473</v>
      </c>
      <c r="F91" s="10">
        <f ca="1"/>
        <v>0</v>
      </c>
      <c r="G91" s="7">
        <f ca="1"/>
        <v>0</v>
      </c>
      <c r="H91" s="10">
        <f ca="1"/>
        <v>-94.693921021662845</v>
      </c>
      <c r="I91" s="7">
        <f ca="1"/>
        <v>1</v>
      </c>
      <c r="J91" s="7">
        <f ca="1"/>
        <v>1.0496871575956277</v>
      </c>
      <c r="K91">
        <f ca="1"/>
        <v>0</v>
      </c>
      <c r="L91">
        <f ca="1"/>
        <v>4.256391820741527</v>
      </c>
    </row>
    <row r="92" spans="2:12" x14ac:dyDescent="0.35">
      <c r="B92">
        <v>8.2000000000000003E-2</v>
      </c>
      <c r="C92">
        <f ca="1"/>
        <v>-0.24525077791350072</v>
      </c>
      <c r="D92">
        <f ca="1"/>
        <v>1</v>
      </c>
      <c r="E92" s="11">
        <f ca="1"/>
        <v>95.057315469315114</v>
      </c>
      <c r="F92" s="10">
        <f ca="1"/>
        <v>0</v>
      </c>
      <c r="G92" s="7">
        <f ca="1"/>
        <v>0</v>
      </c>
      <c r="H92" s="10">
        <f ca="1"/>
        <v>-94.693921021662845</v>
      </c>
      <c r="I92" s="7">
        <f ca="1"/>
        <v>1</v>
      </c>
      <c r="J92" s="7">
        <f ca="1"/>
        <v>0.36339444765226858</v>
      </c>
      <c r="K92">
        <f ca="1"/>
        <v>0</v>
      </c>
      <c r="L92">
        <f ca="1"/>
        <v>4.9426845306848861</v>
      </c>
    </row>
    <row r="93" spans="2:12" x14ac:dyDescent="0.35">
      <c r="B93">
        <v>8.3000000000000004E-2</v>
      </c>
      <c r="C93">
        <f ca="1"/>
        <v>-0.27341051253106807</v>
      </c>
      <c r="D93">
        <f ca="1"/>
        <v>1</v>
      </c>
      <c r="E93" s="11">
        <f ca="1"/>
        <v>94.521571990614873</v>
      </c>
      <c r="F93" s="10">
        <f ca="1"/>
        <v>0</v>
      </c>
      <c r="G93" s="7">
        <f ca="1"/>
        <v>0</v>
      </c>
      <c r="H93" s="10">
        <f ca="1"/>
        <v>-94.693921021662845</v>
      </c>
      <c r="I93" s="7">
        <f ca="1"/>
        <v>1</v>
      </c>
      <c r="J93" s="7">
        <f ca="1"/>
        <v>-0.17234903104797183</v>
      </c>
      <c r="K93">
        <f ca="1"/>
        <v>0</v>
      </c>
      <c r="L93">
        <f ca="1"/>
        <v>5.4784280093851265</v>
      </c>
    </row>
    <row r="94" spans="2:12" x14ac:dyDescent="0.35">
      <c r="B94">
        <v>8.4000000000000005E-2</v>
      </c>
      <c r="C94">
        <f ca="1"/>
        <v>-0.28109581254106403</v>
      </c>
      <c r="D94">
        <f ca="1"/>
        <v>1</v>
      </c>
      <c r="E94" s="11">
        <f ca="1"/>
        <v>94.374510752839498</v>
      </c>
      <c r="F94" s="10">
        <f ca="1"/>
        <v>0</v>
      </c>
      <c r="G94" s="7">
        <f ca="1"/>
        <v>0</v>
      </c>
      <c r="H94" s="10">
        <f ca="1"/>
        <v>-94.693921021662845</v>
      </c>
      <c r="I94" s="7">
        <f ca="1"/>
        <v>1</v>
      </c>
      <c r="J94" s="7">
        <f ca="1"/>
        <v>-0.31941026882334711</v>
      </c>
      <c r="K94">
        <f ca="1"/>
        <v>0</v>
      </c>
      <c r="L94">
        <f ca="1"/>
        <v>5.6254892471605018</v>
      </c>
    </row>
    <row r="95" spans="2:12" x14ac:dyDescent="0.35">
      <c r="B95">
        <v>8.5000000000000006E-2</v>
      </c>
      <c r="C95">
        <f ca="1"/>
        <v>-0.26800069959687284</v>
      </c>
      <c r="D95">
        <f ca="1"/>
        <v>1</v>
      </c>
      <c r="E95" s="11">
        <f ca="1"/>
        <v>94.620111260479348</v>
      </c>
      <c r="F95" s="10">
        <f ca="1"/>
        <v>0</v>
      </c>
      <c r="G95" s="7">
        <f ca="1"/>
        <v>0</v>
      </c>
      <c r="H95" s="10">
        <f ca="1"/>
        <v>-94.693921021662845</v>
      </c>
      <c r="I95" s="7">
        <f ca="1"/>
        <v>1</v>
      </c>
      <c r="J95" s="7">
        <f ca="1"/>
        <v>-7.3809761183497358E-2</v>
      </c>
      <c r="K95">
        <f ca="1"/>
        <v>0</v>
      </c>
      <c r="L95">
        <f ca="1"/>
        <v>5.3798887395206521</v>
      </c>
    </row>
    <row r="96" spans="2:12" x14ac:dyDescent="0.35">
      <c r="B96">
        <v>8.6000000000000007E-2</v>
      </c>
      <c r="C96">
        <f ca="1"/>
        <v>-0.26059718446709468</v>
      </c>
      <c r="D96">
        <f ca="1"/>
        <v>1</v>
      </c>
      <c r="E96" s="11">
        <f ca="1"/>
        <v>94.758424135738849</v>
      </c>
      <c r="F96" s="10">
        <f ca="1"/>
        <v>0</v>
      </c>
      <c r="G96" s="7">
        <f ca="1"/>
        <v>0</v>
      </c>
      <c r="H96" s="10">
        <f ca="1"/>
        <v>-94.693921021662845</v>
      </c>
      <c r="I96" s="7">
        <f ca="1"/>
        <v>1</v>
      </c>
      <c r="J96" s="7">
        <f ca="1"/>
        <v>6.4503114076003953E-2</v>
      </c>
      <c r="K96">
        <f ca="1"/>
        <v>0</v>
      </c>
      <c r="L96">
        <f ca="1"/>
        <v>5.2415758642611507</v>
      </c>
    </row>
    <row r="97" spans="2:12" x14ac:dyDescent="0.35">
      <c r="B97">
        <v>8.7000000000000008E-2</v>
      </c>
      <c r="C97">
        <f ca="1"/>
        <v>-0.30544221931165244</v>
      </c>
      <c r="D97">
        <f ca="1"/>
        <v>1</v>
      </c>
      <c r="E97" s="11">
        <f ca="1"/>
        <v>93.910456902302087</v>
      </c>
      <c r="F97" s="10">
        <f ca="1"/>
        <v>0</v>
      </c>
      <c r="G97" s="7">
        <f ca="1"/>
        <v>0</v>
      </c>
      <c r="H97" s="10">
        <f ca="1"/>
        <v>-94.693921021662845</v>
      </c>
      <c r="I97" s="7">
        <f ca="1"/>
        <v>1</v>
      </c>
      <c r="J97" s="7">
        <f ca="1"/>
        <v>-0.7834641193607581</v>
      </c>
      <c r="K97">
        <f ca="1"/>
        <v>0</v>
      </c>
      <c r="L97">
        <f ca="1"/>
        <v>6.0895430976979128</v>
      </c>
    </row>
    <row r="98" spans="2:12" x14ac:dyDescent="0.35">
      <c r="B98">
        <v>8.7999999999999995E-2</v>
      </c>
      <c r="C98">
        <f ca="1"/>
        <v>-0.30391406681374511</v>
      </c>
      <c r="D98">
        <f ca="1"/>
        <v>1</v>
      </c>
      <c r="E98" s="11">
        <f ca="1"/>
        <v>93.937284424219868</v>
      </c>
      <c r="F98" s="10">
        <f ca="1"/>
        <v>0</v>
      </c>
      <c r="G98" s="7">
        <f ca="1"/>
        <v>0</v>
      </c>
      <c r="H98" s="10">
        <f ca="1"/>
        <v>-94.693921021662845</v>
      </c>
      <c r="I98" s="7">
        <f ca="1"/>
        <v>1</v>
      </c>
      <c r="J98" s="7">
        <f ca="1"/>
        <v>-0.75663659744297718</v>
      </c>
      <c r="K98">
        <f ca="1"/>
        <v>0</v>
      </c>
      <c r="L98">
        <f ca="1"/>
        <v>6.0627155757801319</v>
      </c>
    </row>
    <row r="99" spans="2:12" x14ac:dyDescent="0.35">
      <c r="B99">
        <v>8.8999999999999996E-2</v>
      </c>
      <c r="C99">
        <f ca="1"/>
        <v>-0.32806493163720835</v>
      </c>
      <c r="D99">
        <f ca="1"/>
        <v>1</v>
      </c>
      <c r="E99" s="11">
        <f ca="1"/>
        <v>93.482775461466005</v>
      </c>
      <c r="F99" s="10">
        <f ca="1"/>
        <v>0</v>
      </c>
      <c r="G99" s="7">
        <f ca="1"/>
        <v>0</v>
      </c>
      <c r="H99" s="10">
        <f ca="1"/>
        <v>-94.693921021662845</v>
      </c>
      <c r="I99" s="7">
        <f ca="1"/>
        <v>1</v>
      </c>
      <c r="J99">
        <f ca="1"/>
        <v>-1.2111455601968402</v>
      </c>
      <c r="K99">
        <f ca="1"/>
        <v>0</v>
      </c>
      <c r="L99">
        <f ca="1"/>
        <v>6.5172245385339949</v>
      </c>
    </row>
    <row r="100" spans="2:12" x14ac:dyDescent="0.35">
      <c r="B100">
        <v>0.09</v>
      </c>
      <c r="C100">
        <f ca="1"/>
        <v>-0.29123459767634857</v>
      </c>
      <c r="D100">
        <f ca="1"/>
        <v>1</v>
      </c>
      <c r="E100" s="11">
        <f ca="1"/>
        <v>94.172034746660358</v>
      </c>
      <c r="F100" s="10">
        <f ca="1"/>
        <v>0</v>
      </c>
      <c r="G100" s="7">
        <f ca="1"/>
        <v>0</v>
      </c>
      <c r="H100" s="10">
        <f ca="1"/>
        <v>-94.693921021662845</v>
      </c>
      <c r="I100" s="7">
        <f ca="1"/>
        <v>1</v>
      </c>
      <c r="J100">
        <f ca="1"/>
        <v>-0.52188627500248685</v>
      </c>
      <c r="K100">
        <f ca="1"/>
        <v>0</v>
      </c>
      <c r="L100">
        <f ca="1"/>
        <v>5.8279652533396415</v>
      </c>
    </row>
    <row r="101" spans="2:12" x14ac:dyDescent="0.35">
      <c r="B101">
        <v>9.0999999999999998E-2</v>
      </c>
      <c r="C101">
        <f ca="1"/>
        <v>-0.28881020860060352</v>
      </c>
      <c r="D101">
        <f ca="1"/>
        <v>1</v>
      </c>
      <c r="E101" s="11">
        <f ca="1"/>
        <v>94.215823413822889</v>
      </c>
      <c r="F101" s="10">
        <f ca="1"/>
        <v>0</v>
      </c>
      <c r="G101" s="7">
        <f ca="1"/>
        <v>0</v>
      </c>
      <c r="H101" s="10">
        <f ca="1"/>
        <v>-94.693921021662845</v>
      </c>
      <c r="I101" s="7">
        <f ca="1"/>
        <v>1</v>
      </c>
      <c r="J101">
        <f ca="1"/>
        <v>-0.47809760783995614</v>
      </c>
      <c r="K101">
        <f ca="1"/>
        <v>0</v>
      </c>
      <c r="L101">
        <f ca="1"/>
        <v>5.7841765861771108</v>
      </c>
    </row>
    <row r="102" spans="2:12" x14ac:dyDescent="0.35">
      <c r="B102">
        <v>9.1999999999999998E-2</v>
      </c>
      <c r="C102">
        <f ca="1"/>
        <v>-0.23155986284637819</v>
      </c>
      <c r="D102">
        <f ca="1"/>
        <v>1</v>
      </c>
      <c r="E102" s="11">
        <f ca="1"/>
        <v>95.298894789308946</v>
      </c>
      <c r="F102" s="10">
        <f ca="1"/>
        <v>0</v>
      </c>
      <c r="G102" s="7">
        <f ca="1"/>
        <v>0</v>
      </c>
      <c r="H102" s="10">
        <f ca="1"/>
        <v>-94.693921021662845</v>
      </c>
      <c r="I102" s="7">
        <f ca="1"/>
        <v>1</v>
      </c>
      <c r="J102">
        <f ca="1"/>
        <v>0.60497376764610067</v>
      </c>
      <c r="K102">
        <f ca="1"/>
        <v>0</v>
      </c>
      <c r="L102">
        <f ca="1"/>
        <v>4.701105210691054</v>
      </c>
    </row>
    <row r="103" spans="2:12" x14ac:dyDescent="0.35">
      <c r="B103">
        <v>9.2999999999999999E-2</v>
      </c>
      <c r="C103">
        <f ca="1"/>
        <v>-0.26213527849841239</v>
      </c>
      <c r="D103">
        <f ca="1"/>
        <v>1</v>
      </c>
      <c r="E103" s="11">
        <f ca="1"/>
        <v>94.716017974649461</v>
      </c>
      <c r="F103" s="10">
        <f ca="1"/>
        <v>0</v>
      </c>
      <c r="G103" s="7">
        <f ca="1"/>
        <v>0</v>
      </c>
      <c r="H103" s="10">
        <f ca="1"/>
        <v>-94.693921021662845</v>
      </c>
      <c r="I103" s="7">
        <f ca="1"/>
        <v>1</v>
      </c>
      <c r="J103">
        <f ca="1"/>
        <v>2.2096952986615293E-2</v>
      </c>
      <c r="K103">
        <f ca="1"/>
        <v>0</v>
      </c>
      <c r="L103">
        <f ca="1"/>
        <v>5.2839820253505394</v>
      </c>
    </row>
    <row r="104" spans="2:12" x14ac:dyDescent="0.35">
      <c r="B104">
        <v>9.4E-2</v>
      </c>
      <c r="C104">
        <f ca="1"/>
        <v>-0.28787344101112872</v>
      </c>
      <c r="D104">
        <f ca="1"/>
        <v>1</v>
      </c>
      <c r="E104" s="11">
        <f ca="1"/>
        <v>94.227822894447826</v>
      </c>
      <c r="F104" s="10">
        <f ca="1"/>
        <v>0</v>
      </c>
      <c r="G104" s="7">
        <f ca="1"/>
        <v>0</v>
      </c>
      <c r="H104" s="10">
        <f ca="1"/>
        <v>-94.693921021662845</v>
      </c>
      <c r="I104" s="7">
        <f ca="1"/>
        <v>1</v>
      </c>
      <c r="J104">
        <f ca="1"/>
        <v>-0.46609812721501953</v>
      </c>
      <c r="K104">
        <f ca="1"/>
        <v>0</v>
      </c>
      <c r="L104">
        <f ca="1"/>
        <v>5.7721771055521742</v>
      </c>
    </row>
    <row r="105" spans="2:12" x14ac:dyDescent="0.35">
      <c r="B105">
        <v>9.5000000000000001E-2</v>
      </c>
      <c r="C105">
        <f ca="1"/>
        <v>-0.33838058609809091</v>
      </c>
      <c r="D105">
        <f ca="1"/>
        <v>1</v>
      </c>
      <c r="E105" s="11">
        <f ca="1"/>
        <v>93.27891293672586</v>
      </c>
      <c r="F105" s="10">
        <f ca="1"/>
        <v>0</v>
      </c>
      <c r="G105" s="7">
        <f ca="1"/>
        <v>0</v>
      </c>
      <c r="H105" s="10">
        <f ca="1"/>
        <v>-94.693921021662845</v>
      </c>
      <c r="I105" s="7">
        <f ca="1"/>
        <v>1</v>
      </c>
      <c r="J105">
        <f ca="1"/>
        <v>-1.4150080849369857</v>
      </c>
      <c r="K105">
        <f ca="1"/>
        <v>0</v>
      </c>
      <c r="L105">
        <f ca="1"/>
        <v>6.7210870632741404</v>
      </c>
    </row>
    <row r="106" spans="2:12" x14ac:dyDescent="0.35">
      <c r="B106">
        <v>9.6000000000000002E-2</v>
      </c>
      <c r="C106">
        <f ca="1"/>
        <v>-0.36846188959617321</v>
      </c>
      <c r="D106">
        <f ca="1"/>
        <v>1</v>
      </c>
      <c r="E106" s="11">
        <f ca="1"/>
        <v>92.717553062232724</v>
      </c>
      <c r="F106" s="10">
        <f ca="1"/>
        <v>0</v>
      </c>
      <c r="G106" s="7">
        <f ca="1"/>
        <v>0</v>
      </c>
      <c r="H106" s="10">
        <f ca="1"/>
        <v>-94.693921021662845</v>
      </c>
      <c r="I106" s="7">
        <f ca="1"/>
        <v>1</v>
      </c>
      <c r="J106">
        <f ca="1"/>
        <v>-1.9763679594301209</v>
      </c>
      <c r="K106">
        <f ca="1"/>
        <v>0</v>
      </c>
      <c r="L106">
        <f ca="1"/>
        <v>7.2824469377672756</v>
      </c>
    </row>
    <row r="107" spans="2:12" x14ac:dyDescent="0.35">
      <c r="B107">
        <v>9.7000000000000003E-2</v>
      </c>
      <c r="C107">
        <f ca="1"/>
        <v>-0.37739265411238004</v>
      </c>
      <c r="D107">
        <f ca="1"/>
        <v>1</v>
      </c>
      <c r="E107" s="11">
        <f ca="1"/>
        <v>92.550242124639098</v>
      </c>
      <c r="F107" s="10">
        <f ca="1"/>
        <v>0</v>
      </c>
      <c r="G107" s="7">
        <f ca="1"/>
        <v>0</v>
      </c>
      <c r="H107" s="10">
        <f ca="1"/>
        <v>-94.693921021662845</v>
      </c>
      <c r="I107" s="7">
        <f ca="1"/>
        <v>1</v>
      </c>
      <c r="J107">
        <f ca="1"/>
        <v>-2.1436788970237473</v>
      </c>
      <c r="K107">
        <f ca="1"/>
        <v>0</v>
      </c>
      <c r="L107">
        <f ca="1"/>
        <v>7.4497578753609019</v>
      </c>
    </row>
    <row r="108" spans="2:12" x14ac:dyDescent="0.35">
      <c r="B108">
        <v>9.8000000000000004E-2</v>
      </c>
      <c r="C108">
        <f ca="1"/>
        <v>-0.42718729174033637</v>
      </c>
      <c r="D108">
        <f ca="1"/>
        <v>1</v>
      </c>
      <c r="E108" s="11">
        <f ca="1"/>
        <v>91.6312827064598</v>
      </c>
      <c r="F108" s="10">
        <f ca="1"/>
        <v>0</v>
      </c>
      <c r="G108" s="7">
        <f ca="1"/>
        <v>0</v>
      </c>
      <c r="H108" s="10">
        <f ca="1"/>
        <v>-94.693921021662845</v>
      </c>
      <c r="I108" s="7">
        <f ca="1"/>
        <v>1</v>
      </c>
      <c r="J108">
        <f ca="1"/>
        <v>-3.0626383152030456</v>
      </c>
      <c r="K108">
        <f ca="1"/>
        <v>0</v>
      </c>
      <c r="L108">
        <f ca="1"/>
        <v>8.3687172935402003</v>
      </c>
    </row>
    <row r="109" spans="2:12" x14ac:dyDescent="0.35">
      <c r="B109">
        <v>9.9000000000000005E-2</v>
      </c>
      <c r="C109">
        <f ca="1"/>
        <v>-0.43737477832602278</v>
      </c>
      <c r="D109">
        <f ca="1"/>
        <v>1</v>
      </c>
      <c r="E109" s="11">
        <f ca="1"/>
        <v>91.442945406310912</v>
      </c>
      <c r="F109" s="10">
        <f ca="1"/>
        <v>0</v>
      </c>
      <c r="G109" s="7">
        <f ca="1"/>
        <v>0</v>
      </c>
      <c r="H109" s="10">
        <f ca="1"/>
        <v>-94.693921021662845</v>
      </c>
      <c r="I109" s="7">
        <f ca="1"/>
        <v>1</v>
      </c>
      <c r="J109">
        <f ca="1"/>
        <v>-3.2509756153519334</v>
      </c>
      <c r="K109">
        <f ca="1"/>
        <v>0</v>
      </c>
      <c r="L109">
        <f ca="1"/>
        <v>8.5570545936890881</v>
      </c>
    </row>
    <row r="110" spans="2:12" x14ac:dyDescent="0.35">
      <c r="B110">
        <v>0.1</v>
      </c>
      <c r="C110">
        <f ca="1"/>
        <v>-0.43507209427267668</v>
      </c>
      <c r="D110">
        <f ca="1"/>
        <v>1</v>
      </c>
      <c r="E110" s="11">
        <f ca="1"/>
        <v>91.483238264430369</v>
      </c>
      <c r="F110" s="10">
        <f ca="1"/>
        <v>0</v>
      </c>
      <c r="G110" s="7">
        <f ca="1"/>
        <v>0</v>
      </c>
      <c r="H110" s="10">
        <f ca="1"/>
        <v>-94.693921021662845</v>
      </c>
      <c r="I110" s="7">
        <f ca="1"/>
        <v>1</v>
      </c>
      <c r="J110">
        <f ca="1"/>
        <v>-3.2106827572324761</v>
      </c>
      <c r="K110">
        <f ca="1"/>
        <v>0</v>
      </c>
      <c r="L110">
        <f ca="1"/>
        <v>8.5167617355696308</v>
      </c>
    </row>
    <row r="111" spans="2:12" x14ac:dyDescent="0.35">
      <c r="B111">
        <v>0.10100000000000001</v>
      </c>
      <c r="C111">
        <f ca="1"/>
        <v>-0.45648442250193139</v>
      </c>
      <c r="D111">
        <f ca="1"/>
        <v>1</v>
      </c>
      <c r="E111">
        <f ca="1"/>
        <v>91.090480294331797</v>
      </c>
      <c r="F111" s="10">
        <f ca="1"/>
        <v>0</v>
      </c>
      <c r="G111" s="7">
        <f ca="1"/>
        <v>0</v>
      </c>
      <c r="H111" s="10">
        <f ca="1"/>
        <v>-94.693921021662845</v>
      </c>
      <c r="I111" s="7">
        <f ca="1"/>
        <v>1</v>
      </c>
      <c r="J111">
        <f ca="1"/>
        <v>-3.6034407273310478</v>
      </c>
      <c r="K111">
        <f ca="1"/>
        <v>0</v>
      </c>
      <c r="L111">
        <f ca="1"/>
        <v>8.9095197056682025</v>
      </c>
    </row>
    <row r="112" spans="2:12" x14ac:dyDescent="0.35">
      <c r="B112">
        <v>0.10200000000000001</v>
      </c>
      <c r="C112">
        <f ca="1"/>
        <v>-0.42008449061163494</v>
      </c>
      <c r="D112">
        <f ca="1"/>
        <v>1</v>
      </c>
      <c r="E112">
        <f ca="1"/>
        <v>91.754202331661645</v>
      </c>
      <c r="F112" s="10">
        <f ca="1"/>
        <v>0</v>
      </c>
      <c r="G112" s="7">
        <f ca="1"/>
        <v>0</v>
      </c>
      <c r="H112" s="10">
        <f ca="1"/>
        <v>-94.693921021662845</v>
      </c>
      <c r="I112" s="7">
        <f ca="1"/>
        <v>1</v>
      </c>
      <c r="J112">
        <f ca="1"/>
        <v>-2.9397186900012002</v>
      </c>
      <c r="K112">
        <f ca="1"/>
        <v>0</v>
      </c>
      <c r="L112">
        <f ca="1"/>
        <v>8.2457976683383549</v>
      </c>
    </row>
    <row r="113" spans="2:12" x14ac:dyDescent="0.35">
      <c r="B113">
        <v>0.10300000000000001</v>
      </c>
      <c r="C113">
        <f ca="1"/>
        <v>-0.45362399319898172</v>
      </c>
      <c r="D113">
        <f ca="1"/>
        <v>1</v>
      </c>
      <c r="E113">
        <f ca="1"/>
        <v>91.138961147775262</v>
      </c>
      <c r="F113" s="10">
        <f ca="1"/>
        <v>0</v>
      </c>
      <c r="G113" s="7">
        <f ca="1"/>
        <v>0</v>
      </c>
      <c r="H113" s="10">
        <f ca="1"/>
        <v>-94.693921021662845</v>
      </c>
      <c r="I113" s="7">
        <f ca="1"/>
        <v>1</v>
      </c>
      <c r="J113">
        <f ca="1"/>
        <v>-3.5549598738875829</v>
      </c>
      <c r="K113">
        <f ca="1"/>
        <v>0</v>
      </c>
      <c r="L113">
        <f ca="1"/>
        <v>8.8610388522247376</v>
      </c>
    </row>
    <row r="114" spans="2:12" x14ac:dyDescent="0.35">
      <c r="B114">
        <v>0.10400000000000001</v>
      </c>
      <c r="C114">
        <f ca="1"/>
        <v>-0.49354304482715977</v>
      </c>
      <c r="D114">
        <f ca="1"/>
        <v>1</v>
      </c>
      <c r="E114">
        <f ca="1"/>
        <v>90.412413642294169</v>
      </c>
      <c r="F114" s="10">
        <f ca="1"/>
        <v>0</v>
      </c>
      <c r="G114" s="7">
        <f ca="1"/>
        <v>0</v>
      </c>
      <c r="H114" s="10">
        <f ca="1"/>
        <v>-94.693921021662845</v>
      </c>
      <c r="I114" s="7">
        <f ca="1"/>
        <v>1</v>
      </c>
      <c r="J114">
        <f ca="1"/>
        <v>-4.2815073793686764</v>
      </c>
      <c r="K114">
        <f ca="1"/>
        <v>0</v>
      </c>
      <c r="L114">
        <f ca="1"/>
        <v>9.5875863577058311</v>
      </c>
    </row>
    <row r="115" spans="2:12" x14ac:dyDescent="0.35">
      <c r="B115">
        <v>0.105</v>
      </c>
      <c r="C115">
        <f ca="1"/>
        <v>-0.52025041445089615</v>
      </c>
      <c r="D115">
        <f ca="1"/>
        <v>1</v>
      </c>
      <c r="E115">
        <f ca="1"/>
        <v>89.92896699544491</v>
      </c>
      <c r="F115" s="10">
        <f ca="1"/>
        <v>0</v>
      </c>
      <c r="G115" s="7">
        <f ca="1"/>
        <v>0</v>
      </c>
      <c r="H115" s="10">
        <f ca="1"/>
        <v>-94.693921021662845</v>
      </c>
      <c r="I115" s="7">
        <f ca="1"/>
        <v>1</v>
      </c>
      <c r="J115">
        <f ca="1"/>
        <v>-4.7649540262179357</v>
      </c>
      <c r="K115">
        <f ca="1"/>
        <v>0</v>
      </c>
      <c r="L115">
        <f ca="1"/>
        <v>10.07103300455509</v>
      </c>
    </row>
    <row r="116" spans="2:12" x14ac:dyDescent="0.35">
      <c r="B116">
        <v>0.106</v>
      </c>
      <c r="C116">
        <f ca="1"/>
        <v>-0.49504911194002099</v>
      </c>
      <c r="D116">
        <f ca="1"/>
        <v>1</v>
      </c>
      <c r="E116">
        <f ca="1"/>
        <v>90.381568975798629</v>
      </c>
      <c r="F116" s="10">
        <f ca="1"/>
        <v>0</v>
      </c>
      <c r="G116" s="7">
        <f ca="1"/>
        <v>0</v>
      </c>
      <c r="H116" s="10">
        <f ca="1"/>
        <v>-94.693921021662845</v>
      </c>
      <c r="I116" s="7">
        <f ca="1"/>
        <v>1</v>
      </c>
      <c r="J116">
        <f ca="1"/>
        <v>-4.3123520458642162</v>
      </c>
      <c r="K116">
        <f ca="1"/>
        <v>0</v>
      </c>
      <c r="L116">
        <f ca="1"/>
        <v>9.6184310242013709</v>
      </c>
    </row>
    <row r="117" spans="2:12" x14ac:dyDescent="0.35">
      <c r="B117">
        <v>0.107</v>
      </c>
      <c r="C117">
        <f ca="1"/>
        <v>-0.51437171262830717</v>
      </c>
      <c r="D117">
        <f ca="1"/>
        <v>1</v>
      </c>
      <c r="E117">
        <f ca="1"/>
        <v>90.031160975129836</v>
      </c>
      <c r="F117" s="10">
        <f ca="1"/>
        <v>0</v>
      </c>
      <c r="G117" s="7">
        <f ca="1"/>
        <v>0</v>
      </c>
      <c r="H117" s="10">
        <f ca="1"/>
        <v>-94.693921021662845</v>
      </c>
      <c r="I117" s="7">
        <f ca="1"/>
        <v>1</v>
      </c>
      <c r="J117">
        <f ca="1"/>
        <v>-4.662760046533009</v>
      </c>
      <c r="K117">
        <f ca="1"/>
        <v>0</v>
      </c>
      <c r="L117">
        <f ca="1"/>
        <v>9.9688390248701637</v>
      </c>
    </row>
    <row r="118" spans="2:12" x14ac:dyDescent="0.35">
      <c r="B118">
        <v>0.108</v>
      </c>
      <c r="C118">
        <f ca="1"/>
        <v>-0.48026981684102804</v>
      </c>
      <c r="D118">
        <f ca="1"/>
        <v>1</v>
      </c>
      <c r="E118">
        <f ca="1"/>
        <v>90.645493485255358</v>
      </c>
      <c r="F118" s="10">
        <f ca="1"/>
        <v>0</v>
      </c>
      <c r="G118" s="7">
        <f ca="1"/>
        <v>0</v>
      </c>
      <c r="H118" s="10">
        <f ca="1"/>
        <v>-94.693921021662845</v>
      </c>
      <c r="I118" s="7">
        <f ca="1"/>
        <v>1</v>
      </c>
      <c r="J118">
        <f ca="1"/>
        <v>-4.0484275364074875</v>
      </c>
      <c r="K118">
        <f ca="1"/>
        <v>0</v>
      </c>
      <c r="L118">
        <f ca="1"/>
        <v>9.3545065147446422</v>
      </c>
    </row>
    <row r="119" spans="2:12" x14ac:dyDescent="0.35">
      <c r="B119">
        <v>0.109</v>
      </c>
      <c r="C119">
        <f ca="1"/>
        <v>-0.44991242400751086</v>
      </c>
      <c r="D119">
        <f ca="1"/>
        <v>1</v>
      </c>
      <c r="E119">
        <f ca="1"/>
        <v>91.195695836065099</v>
      </c>
      <c r="F119" s="10">
        <f ca="1"/>
        <v>0</v>
      </c>
      <c r="G119" s="7">
        <f ca="1"/>
        <v>0</v>
      </c>
      <c r="H119" s="10">
        <f ca="1"/>
        <v>-94.693921021662845</v>
      </c>
      <c r="I119" s="7">
        <f ca="1"/>
        <v>1</v>
      </c>
      <c r="J119">
        <f ca="1"/>
        <v>-3.4982251855977466</v>
      </c>
      <c r="K119">
        <f ca="1"/>
        <v>0</v>
      </c>
      <c r="L119">
        <f ca="1"/>
        <v>8.8043041639349013</v>
      </c>
    </row>
    <row r="120" spans="2:12" x14ac:dyDescent="0.35">
      <c r="B120">
        <v>0.11</v>
      </c>
      <c r="C120">
        <f ca="1"/>
        <v>-0.4247683130905141</v>
      </c>
      <c r="D120">
        <f ca="1"/>
        <v>1</v>
      </c>
      <c r="E120">
        <f ca="1"/>
        <v>91.653624745250966</v>
      </c>
      <c r="F120" s="10">
        <f ca="1"/>
        <v>0</v>
      </c>
      <c r="G120" s="7">
        <f ca="1"/>
        <v>0</v>
      </c>
      <c r="H120" s="10">
        <f ca="1"/>
        <v>-94.693921021662845</v>
      </c>
      <c r="I120" s="7">
        <f ca="1"/>
        <v>1</v>
      </c>
      <c r="J120">
        <f ca="1"/>
        <v>-3.0402962764118797</v>
      </c>
      <c r="K120">
        <f ca="1"/>
        <v>0</v>
      </c>
      <c r="L120">
        <f ca="1"/>
        <v>8.3463752547490344</v>
      </c>
    </row>
    <row r="121" spans="2:12" x14ac:dyDescent="0.35">
      <c r="B121">
        <v>0.111</v>
      </c>
      <c r="C121">
        <f ca="1"/>
        <v>-0.41544670892752189</v>
      </c>
      <c r="D121">
        <f ca="1"/>
        <v>1</v>
      </c>
      <c r="E121">
        <f ca="1"/>
        <v>91.822819411415665</v>
      </c>
      <c r="F121" s="10">
        <f ca="1"/>
        <v>0</v>
      </c>
      <c r="G121" s="7">
        <f ca="1"/>
        <v>0</v>
      </c>
      <c r="H121" s="10">
        <f ca="1"/>
        <v>-94.693921021662845</v>
      </c>
      <c r="I121" s="7">
        <f ca="1"/>
        <v>1</v>
      </c>
      <c r="J121">
        <f ca="1"/>
        <v>-2.8711016102471802</v>
      </c>
      <c r="K121">
        <f ca="1"/>
        <v>0</v>
      </c>
      <c r="L121">
        <f ca="1"/>
        <v>8.1771805885843349</v>
      </c>
    </row>
    <row r="122" spans="2:12" x14ac:dyDescent="0.35">
      <c r="B122">
        <v>0.112</v>
      </c>
      <c r="C122">
        <f ca="1"/>
        <v>-0.39487345613617819</v>
      </c>
      <c r="D122">
        <f ca="1"/>
        <v>1</v>
      </c>
      <c r="E122">
        <f ca="1"/>
        <v>92.199572580074673</v>
      </c>
      <c r="F122" s="10">
        <f ca="1"/>
        <v>0</v>
      </c>
      <c r="G122" s="7">
        <f ca="1"/>
        <v>0</v>
      </c>
      <c r="H122" s="10">
        <f ca="1"/>
        <v>-94.693921021662845</v>
      </c>
      <c r="I122" s="7">
        <f ca="1"/>
        <v>1</v>
      </c>
      <c r="J122">
        <f ca="1"/>
        <v>-2.4943484415881727</v>
      </c>
      <c r="K122">
        <f ca="1"/>
        <v>0</v>
      </c>
      <c r="L122">
        <f ca="1"/>
        <v>7.8004274199253274</v>
      </c>
    </row>
    <row r="123" spans="2:12" x14ac:dyDescent="0.35">
      <c r="B123">
        <v>0.113</v>
      </c>
      <c r="C123">
        <f ca="1"/>
        <v>-0.35921537282665267</v>
      </c>
      <c r="D123">
        <f ca="1"/>
        <v>1</v>
      </c>
      <c r="E123">
        <f ca="1"/>
        <v>92.857597634321422</v>
      </c>
      <c r="F123" s="10">
        <f ca="1"/>
        <v>0</v>
      </c>
      <c r="G123" s="7">
        <f ca="1"/>
        <v>0</v>
      </c>
      <c r="H123" s="10">
        <f ca="1"/>
        <v>-94.693921021662845</v>
      </c>
      <c r="I123" s="7">
        <f ca="1"/>
        <v>1</v>
      </c>
      <c r="J123">
        <f ca="1"/>
        <v>-1.8363233873414231</v>
      </c>
      <c r="K123">
        <f ca="1"/>
        <v>0</v>
      </c>
      <c r="L123">
        <f ca="1"/>
        <v>7.1424023656785778</v>
      </c>
    </row>
    <row r="124" spans="2:12" x14ac:dyDescent="0.35">
      <c r="B124">
        <v>0.114</v>
      </c>
      <c r="C124">
        <f ca="1"/>
        <v>-0.33321084228951253</v>
      </c>
      <c r="D124">
        <f ca="1"/>
        <v>1</v>
      </c>
      <c r="E124">
        <f ca="1"/>
        <v>93.339932515999593</v>
      </c>
      <c r="F124" s="10">
        <f ca="1"/>
        <v>0</v>
      </c>
      <c r="G124" s="7">
        <f ca="1"/>
        <v>0</v>
      </c>
      <c r="H124" s="10">
        <f ca="1"/>
        <v>-94.693921021662845</v>
      </c>
      <c r="I124" s="7">
        <f ca="1"/>
        <v>1</v>
      </c>
      <c r="J124">
        <f ca="1"/>
        <v>-1.3539885056632528</v>
      </c>
      <c r="K124">
        <f ca="1"/>
        <v>0</v>
      </c>
      <c r="L124">
        <f ca="1"/>
        <v>6.6600674840004075</v>
      </c>
    </row>
    <row r="125" spans="2:12" x14ac:dyDescent="0.35">
      <c r="B125">
        <v>0.115</v>
      </c>
      <c r="C125">
        <f ca="1"/>
        <v>-0.29764143475216648</v>
      </c>
      <c r="D125">
        <f ca="1"/>
        <v>1</v>
      </c>
      <c r="E125">
        <f ca="1"/>
        <v>94.004429080500657</v>
      </c>
      <c r="F125" s="10">
        <f ca="1"/>
        <v>0</v>
      </c>
      <c r="G125" s="7">
        <f ca="1"/>
        <v>0</v>
      </c>
      <c r="H125" s="10">
        <f ca="1"/>
        <v>-94.693921021662845</v>
      </c>
      <c r="I125" s="7">
        <f ca="1"/>
        <v>1</v>
      </c>
      <c r="J125">
        <f ca="1"/>
        <v>-0.68949194116218848</v>
      </c>
      <c r="K125">
        <f ca="1"/>
        <v>0</v>
      </c>
      <c r="L125">
        <f ca="1"/>
        <v>5.9955709194993432</v>
      </c>
    </row>
    <row r="126" spans="2:12" x14ac:dyDescent="0.35">
      <c r="B126">
        <v>0.11600000000000001</v>
      </c>
      <c r="C126">
        <f ca="1"/>
        <v>-0.27130226602518182</v>
      </c>
      <c r="D126">
        <f ca="1"/>
        <v>1</v>
      </c>
      <c r="E126">
        <f ca="1"/>
        <v>94.49904539259893</v>
      </c>
      <c r="F126" s="10">
        <f ca="1"/>
        <v>0</v>
      </c>
      <c r="G126" s="7">
        <f ca="1"/>
        <v>0</v>
      </c>
      <c r="H126" s="10">
        <f ca="1"/>
        <v>-94.693921021662845</v>
      </c>
      <c r="I126" s="7">
        <f ca="1"/>
        <v>1</v>
      </c>
      <c r="J126">
        <f ca="1"/>
        <v>-0.19487562906391531</v>
      </c>
      <c r="K126">
        <f ca="1"/>
        <v>0</v>
      </c>
      <c r="L126">
        <f ca="1"/>
        <v>5.50095460740107</v>
      </c>
    </row>
    <row r="127" spans="2:12" x14ac:dyDescent="0.35">
      <c r="B127">
        <v>0.11700000000000001</v>
      </c>
      <c r="C127">
        <f ca="1"/>
        <v>-0.22514937762685244</v>
      </c>
      <c r="D127">
        <f ca="1"/>
        <v>1</v>
      </c>
      <c r="E127">
        <f ca="1"/>
        <v>95.37345692682409</v>
      </c>
      <c r="F127" s="10">
        <f ca="1"/>
        <v>0</v>
      </c>
      <c r="G127" s="7">
        <f ca="1"/>
        <v>0</v>
      </c>
      <c r="H127" s="10">
        <f ca="1"/>
        <v>-94.693921021662845</v>
      </c>
      <c r="I127" s="7">
        <f ca="1"/>
        <v>1</v>
      </c>
      <c r="J127">
        <f ca="1"/>
        <v>0.67953590516124507</v>
      </c>
      <c r="K127">
        <f ca="1"/>
        <v>0</v>
      </c>
      <c r="L127">
        <f ca="1"/>
        <v>4.6265430731759096</v>
      </c>
    </row>
    <row r="128" spans="2:12" x14ac:dyDescent="0.35">
      <c r="B128">
        <v>0.11800000000000001</v>
      </c>
      <c r="C128">
        <f ca="1"/>
        <v>-0.23994440237655018</v>
      </c>
      <c r="D128">
        <f ca="1"/>
        <v>1</v>
      </c>
      <c r="E128">
        <f ca="1"/>
        <v>95.089761701090822</v>
      </c>
      <c r="F128" s="10">
        <f ca="1"/>
        <v>0</v>
      </c>
      <c r="G128" s="7">
        <f ca="1"/>
        <v>0</v>
      </c>
      <c r="H128" s="10">
        <f ca="1"/>
        <v>-94.693921021662845</v>
      </c>
      <c r="I128" s="7">
        <f ca="1"/>
        <v>1</v>
      </c>
      <c r="J128">
        <f ca="1"/>
        <v>0.39584067942797674</v>
      </c>
      <c r="K128">
        <f ca="1"/>
        <v>0</v>
      </c>
      <c r="L128">
        <f ca="1"/>
        <v>4.910238298909178</v>
      </c>
    </row>
    <row r="129" spans="2:12" x14ac:dyDescent="0.35">
      <c r="B129">
        <v>0.11900000000000001</v>
      </c>
      <c r="C129">
        <f ca="1"/>
        <v>-0.24639391383864478</v>
      </c>
      <c r="D129">
        <f ca="1"/>
        <v>1</v>
      </c>
      <c r="E129">
        <f ca="1"/>
        <v>94.965284948243507</v>
      </c>
      <c r="F129" s="10">
        <f ca="1"/>
        <v>0</v>
      </c>
      <c r="G129" s="7">
        <f ca="1"/>
        <v>0</v>
      </c>
      <c r="H129" s="10">
        <f ca="1"/>
        <v>-94.693921021662845</v>
      </c>
      <c r="I129" s="7">
        <f ca="1"/>
        <v>1</v>
      </c>
      <c r="J129">
        <f ca="1"/>
        <v>0.271363926580662</v>
      </c>
      <c r="K129">
        <f ca="1"/>
        <v>0</v>
      </c>
      <c r="L129">
        <f ca="1"/>
        <v>5.0347150517564927</v>
      </c>
    </row>
    <row r="130" spans="2:12" x14ac:dyDescent="0.35">
      <c r="B130">
        <v>0.12</v>
      </c>
      <c r="C130">
        <f ca="1"/>
        <v>-0.2554070760200331</v>
      </c>
      <c r="D130">
        <f ca="1"/>
        <v>1</v>
      </c>
      <c r="E130">
        <f ca="1"/>
        <v>94.792355780603941</v>
      </c>
      <c r="F130" s="10">
        <f ca="1"/>
        <v>0</v>
      </c>
      <c r="G130" s="7">
        <f ca="1"/>
        <v>0</v>
      </c>
      <c r="H130" s="10">
        <f ca="1"/>
        <v>-94.693921021662845</v>
      </c>
      <c r="I130" s="7">
        <f ca="1"/>
        <v>1</v>
      </c>
      <c r="J130">
        <f ca="1"/>
        <v>9.8434758941095879E-2</v>
      </c>
      <c r="K130">
        <f ca="1"/>
        <v>0</v>
      </c>
      <c r="L130">
        <f ca="1"/>
        <v>5.2076442193960588</v>
      </c>
    </row>
    <row r="131" spans="2:12" x14ac:dyDescent="0.35">
      <c r="B131">
        <v>0.121</v>
      </c>
      <c r="C131">
        <f ca="1"/>
        <v>-0.31204289669258922</v>
      </c>
      <c r="D131">
        <f ca="1"/>
        <v>1</v>
      </c>
      <c r="E131">
        <f ca="1"/>
        <v>93.722810987049968</v>
      </c>
      <c r="F131" s="10">
        <f ca="1"/>
        <v>0</v>
      </c>
      <c r="G131" s="7">
        <f ca="1"/>
        <v>0</v>
      </c>
      <c r="H131" s="10">
        <f ca="1"/>
        <v>-94.693921021662845</v>
      </c>
      <c r="I131" s="7">
        <f ca="1"/>
        <v>1</v>
      </c>
      <c r="J131">
        <f ca="1"/>
        <v>-0.97111003461287737</v>
      </c>
      <c r="K131">
        <f ca="1"/>
        <v>0</v>
      </c>
      <c r="L131">
        <f ca="1"/>
        <v>6.2771890129500321</v>
      </c>
    </row>
    <row r="132" spans="2:12" x14ac:dyDescent="0.35">
      <c r="B132">
        <v>0.122</v>
      </c>
      <c r="C132">
        <f ca="1"/>
        <v>-0.33914052855810178</v>
      </c>
      <c r="D132">
        <f ca="1"/>
        <v>1</v>
      </c>
      <c r="E132">
        <f ca="1"/>
        <v>93.214387330490482</v>
      </c>
      <c r="F132" s="10">
        <f ca="1"/>
        <v>0</v>
      </c>
      <c r="G132" s="7">
        <f ca="1"/>
        <v>0</v>
      </c>
      <c r="H132" s="10">
        <f ca="1"/>
        <v>-94.693921021662845</v>
      </c>
      <c r="I132" s="7">
        <f ca="1"/>
        <v>1</v>
      </c>
      <c r="J132">
        <f ca="1"/>
        <v>-1.4795336911723638</v>
      </c>
      <c r="K132">
        <f ca="1"/>
        <v>0</v>
      </c>
      <c r="L132">
        <f ca="1"/>
        <v>6.7856126695095185</v>
      </c>
    </row>
    <row r="133" spans="2:12" x14ac:dyDescent="0.35">
      <c r="B133">
        <v>0.123</v>
      </c>
      <c r="C133">
        <f ca="1"/>
        <v>-0.30875674709595291</v>
      </c>
      <c r="D133">
        <f ca="1"/>
        <v>1</v>
      </c>
      <c r="E133">
        <f ca="1"/>
        <v>93.78067736670792</v>
      </c>
      <c r="F133" s="10">
        <f ca="1"/>
        <v>0</v>
      </c>
      <c r="G133" s="7">
        <f ca="1"/>
        <v>0</v>
      </c>
      <c r="H133" s="10">
        <f ca="1"/>
        <v>-94.693921021662845</v>
      </c>
      <c r="I133" s="7">
        <f ca="1"/>
        <v>1</v>
      </c>
      <c r="J133">
        <f ca="1"/>
        <v>-0.91324365495492543</v>
      </c>
      <c r="K133">
        <f ca="1"/>
        <v>0</v>
      </c>
      <c r="L133">
        <f ca="1"/>
        <v>6.2193226332920801</v>
      </c>
    </row>
    <row r="134" spans="2:12" x14ac:dyDescent="0.35">
      <c r="B134">
        <v>0.124</v>
      </c>
      <c r="C134">
        <f ca="1"/>
        <v>-0.30955735276142693</v>
      </c>
      <c r="D134">
        <f ca="1"/>
        <v>1</v>
      </c>
      <c r="E134">
        <f ca="1"/>
        <v>93.763787006039351</v>
      </c>
      <c r="F134" s="10">
        <f ca="1"/>
        <v>0</v>
      </c>
      <c r="G134" s="7">
        <f ca="1"/>
        <v>0</v>
      </c>
      <c r="H134" s="10">
        <f ca="1"/>
        <v>-94.693921021662845</v>
      </c>
      <c r="I134" s="7">
        <f ca="1"/>
        <v>1</v>
      </c>
      <c r="J134">
        <f ca="1"/>
        <v>-0.93013401562349429</v>
      </c>
      <c r="K134">
        <f ca="1"/>
        <v>0</v>
      </c>
      <c r="L134">
        <f ca="1"/>
        <v>6.236212993960649</v>
      </c>
    </row>
    <row r="135" spans="2:12" x14ac:dyDescent="0.35">
      <c r="B135">
        <v>0.125</v>
      </c>
      <c r="C135">
        <f ca="1"/>
        <v>-0.32962205642891657</v>
      </c>
      <c r="D135">
        <f ca="1"/>
        <v>1</v>
      </c>
      <c r="E135">
        <f ca="1"/>
        <v>93.386404701826947</v>
      </c>
      <c r="F135" s="10">
        <f ca="1"/>
        <v>0</v>
      </c>
      <c r="G135" s="7">
        <f ca="1"/>
        <v>0</v>
      </c>
      <c r="H135" s="10">
        <f ca="1"/>
        <v>-94.693921021662845</v>
      </c>
      <c r="I135" s="7">
        <f ca="1"/>
        <v>1</v>
      </c>
      <c r="J135">
        <f ca="1"/>
        <v>-1.3075163198358979</v>
      </c>
      <c r="K135">
        <f ca="1"/>
        <v>0</v>
      </c>
      <c r="L135">
        <f ca="1"/>
        <v>6.6135952981730526</v>
      </c>
    </row>
    <row r="136" spans="2:12" x14ac:dyDescent="0.35">
      <c r="B136">
        <v>0.126</v>
      </c>
      <c r="C136">
        <f ca="1"/>
        <v>-0.3345952121291203</v>
      </c>
      <c r="D136">
        <f ca="1"/>
        <v>1</v>
      </c>
      <c r="E136">
        <f ca="1"/>
        <v>93.291700000854078</v>
      </c>
      <c r="F136" s="10">
        <f ca="1"/>
        <v>0</v>
      </c>
      <c r="G136" s="7">
        <f ca="1"/>
        <v>0</v>
      </c>
      <c r="H136" s="10">
        <f ca="1"/>
        <v>-94.693921021662845</v>
      </c>
      <c r="I136" s="7">
        <f ca="1"/>
        <v>1</v>
      </c>
      <c r="J136">
        <f ca="1"/>
        <v>-1.4022210208087671</v>
      </c>
      <c r="K136">
        <f ca="1"/>
        <v>0</v>
      </c>
      <c r="L136">
        <f ca="1"/>
        <v>6.7082999991459218</v>
      </c>
    </row>
    <row r="137" spans="2:12" x14ac:dyDescent="0.35">
      <c r="B137">
        <v>0.127</v>
      </c>
      <c r="C137">
        <f ca="1"/>
        <v>-0.2753298391566793</v>
      </c>
      <c r="D137">
        <f ca="1"/>
        <v>1</v>
      </c>
      <c r="E137">
        <f ca="1"/>
        <v>94.402184913785192</v>
      </c>
      <c r="F137" s="10">
        <f ca="1"/>
        <v>0</v>
      </c>
      <c r="G137" s="7">
        <f ca="1"/>
        <v>0</v>
      </c>
      <c r="H137" s="10">
        <f ca="1"/>
        <v>-94.693921021662845</v>
      </c>
      <c r="I137" s="7">
        <f ca="1"/>
        <v>1</v>
      </c>
      <c r="J137">
        <f ca="1"/>
        <v>-0.29173610787765369</v>
      </c>
      <c r="K137">
        <f ca="1"/>
        <v>0</v>
      </c>
      <c r="L137">
        <f ca="1"/>
        <v>5.5978150862148084</v>
      </c>
    </row>
    <row r="138" spans="2:12" x14ac:dyDescent="0.35">
      <c r="B138">
        <v>0.128</v>
      </c>
      <c r="C138">
        <f ca="1"/>
        <v>-0.28866106242496453</v>
      </c>
      <c r="D138">
        <f ca="1"/>
        <v>1</v>
      </c>
      <c r="E138">
        <f ca="1"/>
        <v>94.148937843345493</v>
      </c>
      <c r="F138" s="10">
        <f ca="1"/>
        <v>0</v>
      </c>
      <c r="G138" s="7">
        <f ca="1"/>
        <v>0</v>
      </c>
      <c r="H138" s="10">
        <f ca="1"/>
        <v>-94.693921021662845</v>
      </c>
      <c r="I138" s="7">
        <f ca="1"/>
        <v>1</v>
      </c>
      <c r="J138">
        <f ca="1"/>
        <v>-0.54498317831735221</v>
      </c>
      <c r="K138">
        <f ca="1"/>
        <v>0</v>
      </c>
      <c r="L138">
        <f ca="1"/>
        <v>5.8510621566545069</v>
      </c>
    </row>
    <row r="139" spans="2:12" x14ac:dyDescent="0.35">
      <c r="B139">
        <v>0.129</v>
      </c>
      <c r="C139">
        <f ca="1"/>
        <v>-0.34097736950659246</v>
      </c>
      <c r="D139">
        <f ca="1"/>
        <v>1</v>
      </c>
      <c r="E139">
        <f ca="1"/>
        <v>93.16710531124734</v>
      </c>
      <c r="F139" s="10">
        <f ca="1"/>
        <v>0</v>
      </c>
      <c r="G139" s="7">
        <f ca="1"/>
        <v>0</v>
      </c>
      <c r="H139" s="10">
        <f ca="1"/>
        <v>-94.693921021662845</v>
      </c>
      <c r="I139" s="7">
        <f ca="1"/>
        <v>1</v>
      </c>
      <c r="J139">
        <f ca="1"/>
        <v>-1.5268157104155051</v>
      </c>
      <c r="K139">
        <f ca="1"/>
        <v>0</v>
      </c>
      <c r="L139">
        <f ca="1"/>
        <v>6.8328946887526598</v>
      </c>
    </row>
    <row r="140" spans="2:12" x14ac:dyDescent="0.35">
      <c r="B140">
        <v>0.13</v>
      </c>
      <c r="C140">
        <f ca="1"/>
        <v>-0.35542469403750598</v>
      </c>
      <c r="D140">
        <f ca="1"/>
        <v>1</v>
      </c>
      <c r="E140">
        <f ca="1"/>
        <v>92.896432834905653</v>
      </c>
      <c r="F140" s="10">
        <f ca="1"/>
        <v>0</v>
      </c>
      <c r="G140" s="7">
        <f ca="1"/>
        <v>0</v>
      </c>
      <c r="H140" s="10">
        <f ca="1"/>
        <v>-94.693921021662845</v>
      </c>
      <c r="I140" s="7">
        <f ca="1"/>
        <v>1</v>
      </c>
      <c r="J140">
        <f ca="1"/>
        <v>-1.7974881867571924</v>
      </c>
      <c r="K140">
        <f ca="1"/>
        <v>0</v>
      </c>
      <c r="L140">
        <f ca="1"/>
        <v>7.103567165094347</v>
      </c>
    </row>
    <row r="141" spans="2:12" x14ac:dyDescent="0.35">
      <c r="B141">
        <v>0.13100000000000001</v>
      </c>
      <c r="C141">
        <f ca="1"/>
        <v>-0.36149027757084584</v>
      </c>
      <c r="D141">
        <f ca="1"/>
        <v>1</v>
      </c>
      <c r="E141">
        <f ca="1"/>
        <v>92.781951290645992</v>
      </c>
      <c r="F141" s="10">
        <f ca="1"/>
        <v>0</v>
      </c>
      <c r="G141" s="7">
        <f ca="1"/>
        <v>0</v>
      </c>
      <c r="H141" s="10">
        <f ca="1"/>
        <v>-94.693921021662845</v>
      </c>
      <c r="I141" s="7">
        <f ca="1"/>
        <v>1</v>
      </c>
      <c r="J141">
        <f ca="1"/>
        <v>-1.9119697310168533</v>
      </c>
      <c r="K141">
        <f ca="1"/>
        <v>0</v>
      </c>
      <c r="L141">
        <f ca="1"/>
        <v>7.218048709354008</v>
      </c>
    </row>
    <row r="142" spans="2:12" x14ac:dyDescent="0.35">
      <c r="B142">
        <v>0.13200000000000001</v>
      </c>
      <c r="C142">
        <f ca="1"/>
        <v>-0.3016132595246564</v>
      </c>
      <c r="D142">
        <f ca="1"/>
        <v>1</v>
      </c>
      <c r="E142">
        <f ca="1"/>
        <v>93.897854209411776</v>
      </c>
      <c r="F142" s="10">
        <f ca="1"/>
        <v>0</v>
      </c>
      <c r="G142" s="7">
        <f ca="1"/>
        <v>0</v>
      </c>
      <c r="H142" s="10">
        <f ca="1"/>
        <v>-94.693921021662845</v>
      </c>
      <c r="I142" s="7">
        <f ca="1"/>
        <v>1</v>
      </c>
      <c r="J142">
        <f ca="1"/>
        <v>-0.79606681225106968</v>
      </c>
      <c r="K142">
        <f ca="1"/>
        <v>0</v>
      </c>
      <c r="L142">
        <f ca="1"/>
        <v>6.1021457905882244</v>
      </c>
    </row>
    <row r="143" spans="2:12" x14ac:dyDescent="0.35">
      <c r="B143">
        <v>0.13300000000000001</v>
      </c>
      <c r="C143">
        <f ca="1"/>
        <v>-0.29903089636453684</v>
      </c>
      <c r="D143">
        <f ca="1"/>
        <v>1</v>
      </c>
      <c r="E143">
        <f ca="1"/>
        <v>93.944483498357627</v>
      </c>
      <c r="F143" s="10">
        <f ca="1"/>
        <v>0</v>
      </c>
      <c r="G143" s="7">
        <f ca="1"/>
        <v>0</v>
      </c>
      <c r="H143">
        <f ca="1"/>
        <v>-94.693921021662845</v>
      </c>
      <c r="I143" s="7">
        <f ca="1"/>
        <v>1</v>
      </c>
      <c r="J143">
        <f ca="1"/>
        <v>-0.74943752330521818</v>
      </c>
      <c r="K143">
        <f ca="1"/>
        <v>0</v>
      </c>
      <c r="L143">
        <f ca="1"/>
        <v>6.0555165016423729</v>
      </c>
    </row>
    <row r="144" spans="2:12" x14ac:dyDescent="0.35">
      <c r="B144">
        <v>0.13400000000000001</v>
      </c>
      <c r="C144">
        <f ca="1"/>
        <v>-0.28642839505854967</v>
      </c>
      <c r="D144">
        <f ca="1"/>
        <v>1</v>
      </c>
      <c r="E144">
        <f ca="1"/>
        <v>94.179685642845072</v>
      </c>
      <c r="F144" s="10">
        <f ca="1"/>
        <v>0</v>
      </c>
      <c r="G144" s="7">
        <f ca="1"/>
        <v>0</v>
      </c>
      <c r="H144">
        <f ca="1"/>
        <v>-94.693921021662845</v>
      </c>
      <c r="I144" s="7">
        <f ca="1"/>
        <v>1</v>
      </c>
      <c r="J144">
        <f ca="1"/>
        <v>-0.51423537881777293</v>
      </c>
      <c r="K144">
        <f ca="1"/>
        <v>0</v>
      </c>
      <c r="L144">
        <f ca="1"/>
        <v>5.8203143571549276</v>
      </c>
    </row>
    <row r="145" spans="2:12" x14ac:dyDescent="0.35">
      <c r="B145">
        <v>0.13500000000000001</v>
      </c>
      <c r="C145">
        <f ca="1"/>
        <v>-0.27411952256792982</v>
      </c>
      <c r="D145">
        <f ca="1"/>
        <v>1</v>
      </c>
      <c r="E145">
        <f ca="1"/>
        <v>94.409932188161221</v>
      </c>
      <c r="F145" s="10">
        <f ca="1"/>
        <v>0</v>
      </c>
      <c r="G145" s="7">
        <f ca="1"/>
        <v>0</v>
      </c>
      <c r="H145">
        <f ca="1"/>
        <v>-94.693921021662845</v>
      </c>
      <c r="I145" s="7">
        <f ca="1"/>
        <v>1</v>
      </c>
      <c r="J145">
        <f ca="1"/>
        <v>-0.28398883350162407</v>
      </c>
      <c r="K145">
        <f ca="1"/>
        <v>0</v>
      </c>
      <c r="L145">
        <f ca="1"/>
        <v>5.5900678118387788</v>
      </c>
    </row>
    <row r="146" spans="2:12" x14ac:dyDescent="0.35">
      <c r="B146">
        <v>0.13600000000000001</v>
      </c>
      <c r="C146">
        <f ca="1"/>
        <v>-0.28460556227692413</v>
      </c>
      <c r="D146">
        <f ca="1"/>
        <v>1</v>
      </c>
      <c r="E146">
        <f ca="1"/>
        <v>94.210258180233154</v>
      </c>
      <c r="F146" s="10">
        <f ca="1"/>
        <v>0</v>
      </c>
      <c r="G146" s="7">
        <f ca="1"/>
        <v>0</v>
      </c>
      <c r="H146">
        <f ca="1"/>
        <v>-94.693921021662845</v>
      </c>
      <c r="I146" s="7">
        <f ca="1"/>
        <v>1</v>
      </c>
      <c r="J146">
        <f ca="1"/>
        <v>-0.48366284142969107</v>
      </c>
      <c r="K146">
        <f ca="1"/>
        <v>0</v>
      </c>
      <c r="L146">
        <f ca="1"/>
        <v>5.7897418197668458</v>
      </c>
    </row>
    <row r="147" spans="2:12" x14ac:dyDescent="0.35">
      <c r="B147">
        <v>0.13700000000000001</v>
      </c>
      <c r="C147">
        <f ca="1"/>
        <v>-0.26183979273706831</v>
      </c>
      <c r="D147">
        <f ca="1"/>
        <v>1</v>
      </c>
      <c r="E147">
        <f ca="1"/>
        <v>94.63829723072287</v>
      </c>
      <c r="F147" s="10">
        <f ca="1"/>
        <v>0</v>
      </c>
      <c r="G147" s="7">
        <f ca="1"/>
        <v>0</v>
      </c>
      <c r="H147">
        <f ca="1"/>
        <v>-94.693921021662845</v>
      </c>
      <c r="I147" s="7">
        <f ca="1"/>
        <v>1</v>
      </c>
      <c r="J147">
        <f ca="1"/>
        <v>-5.5623790939975493E-2</v>
      </c>
      <c r="K147">
        <f ca="1"/>
        <v>0</v>
      </c>
      <c r="L147">
        <f ca="1"/>
        <v>5.3617027692771302</v>
      </c>
    </row>
    <row r="148" spans="2:12" x14ac:dyDescent="0.35">
      <c r="B148">
        <v>0.13800000000000001</v>
      </c>
      <c r="C148">
        <f ca="1"/>
        <v>-0.2875535766657214</v>
      </c>
      <c r="D148">
        <f ca="1"/>
        <v>1</v>
      </c>
      <c r="E148">
        <f ca="1"/>
        <v>94.150961799113261</v>
      </c>
      <c r="F148" s="10">
        <f ca="1"/>
        <v>0</v>
      </c>
      <c r="G148" s="7">
        <f ca="1"/>
        <v>0</v>
      </c>
      <c r="H148">
        <f ca="1"/>
        <v>-94.693921021662845</v>
      </c>
      <c r="I148" s="7">
        <f ca="1"/>
        <v>1</v>
      </c>
      <c r="J148">
        <f ca="1"/>
        <v>-0.54295922254958384</v>
      </c>
      <c r="K148">
        <f ca="1"/>
        <v>0</v>
      </c>
      <c r="L148">
        <f ca="1"/>
        <v>5.8490382008867385</v>
      </c>
    </row>
    <row r="149" spans="2:12" x14ac:dyDescent="0.35">
      <c r="B149">
        <v>0.13900000000000001</v>
      </c>
      <c r="C149">
        <f ca="1"/>
        <v>-0.24100693521940975</v>
      </c>
      <c r="D149">
        <f ca="1"/>
        <v>1</v>
      </c>
      <c r="E149">
        <f ca="1"/>
        <v>95.029635819223074</v>
      </c>
      <c r="F149" s="10">
        <f ca="1"/>
        <v>0</v>
      </c>
      <c r="G149" s="7">
        <f ca="1"/>
        <v>0</v>
      </c>
      <c r="H149">
        <f ca="1"/>
        <v>-94.693921021662845</v>
      </c>
      <c r="I149" s="7">
        <f ca="1"/>
        <v>1</v>
      </c>
      <c r="J149">
        <f ca="1"/>
        <v>0.33571479756022882</v>
      </c>
      <c r="K149">
        <f ca="1"/>
        <v>0</v>
      </c>
      <c r="L149">
        <f ca="1"/>
        <v>4.9703641807769259</v>
      </c>
    </row>
    <row r="150" spans="2:12" x14ac:dyDescent="0.35">
      <c r="B150">
        <v>0.14000000000000001</v>
      </c>
      <c r="C150">
        <f ca="1"/>
        <v>-0.23582999397749763</v>
      </c>
      <c r="D150">
        <f ca="1"/>
        <v>1</v>
      </c>
      <c r="E150">
        <f ca="1"/>
        <v>95.126176799675903</v>
      </c>
      <c r="F150" s="10">
        <f ca="1"/>
        <v>0</v>
      </c>
      <c r="G150" s="7">
        <f ca="1"/>
        <v>0</v>
      </c>
      <c r="H150">
        <f ca="1"/>
        <v>-94.693921021662845</v>
      </c>
      <c r="I150" s="7">
        <f ca="1"/>
        <v>1</v>
      </c>
      <c r="J150">
        <f ca="1"/>
        <v>0.43225577801305803</v>
      </c>
      <c r="K150">
        <f ca="1"/>
        <v>0</v>
      </c>
      <c r="L150">
        <f ca="1"/>
        <v>4.8738232003240967</v>
      </c>
    </row>
    <row r="151" spans="2:12" x14ac:dyDescent="0.35">
      <c r="B151">
        <v>0.14100000000000001</v>
      </c>
      <c r="C151">
        <f ca="1"/>
        <v>-0.28717562116044626</v>
      </c>
      <c r="D151">
        <f ca="1"/>
        <v>1</v>
      </c>
      <c r="E151">
        <f ca="1"/>
        <v>94.152429727716395</v>
      </c>
      <c r="F151" s="10">
        <f ca="1"/>
        <v>0</v>
      </c>
      <c r="G151" s="7">
        <f ca="1"/>
        <v>0</v>
      </c>
      <c r="H151">
        <f ca="1"/>
        <v>-94.693921021662845</v>
      </c>
      <c r="I151" s="7">
        <f ca="1"/>
        <v>1</v>
      </c>
      <c r="J151">
        <f ca="1"/>
        <v>-0.54149129394645001</v>
      </c>
      <c r="K151">
        <f ca="1"/>
        <v>0</v>
      </c>
      <c r="L151">
        <f ca="1"/>
        <v>5.8475702722836047</v>
      </c>
    </row>
    <row r="152" spans="2:12" x14ac:dyDescent="0.35">
      <c r="B152">
        <v>0.14200000000000002</v>
      </c>
      <c r="C152">
        <f ca="1"/>
        <v>-0.28820489977808222</v>
      </c>
      <c r="D152">
        <f ca="1"/>
        <v>1</v>
      </c>
      <c r="E152">
        <f ca="1"/>
        <v>94.131167263793358</v>
      </c>
      <c r="F152" s="10">
        <f ca="1"/>
        <v>0</v>
      </c>
      <c r="G152" s="7">
        <f ca="1"/>
        <v>0</v>
      </c>
      <c r="H152">
        <f ca="1"/>
        <v>-94.693921021662845</v>
      </c>
      <c r="I152" s="7">
        <f ca="1"/>
        <v>1</v>
      </c>
      <c r="J152">
        <f ca="1"/>
        <v>-0.562753757869487</v>
      </c>
      <c r="K152">
        <f ca="1"/>
        <v>0</v>
      </c>
      <c r="L152">
        <f ca="1"/>
        <v>5.8688327362066417</v>
      </c>
    </row>
    <row r="153" spans="2:12" x14ac:dyDescent="0.35">
      <c r="B153">
        <v>0.14300000000000002</v>
      </c>
      <c r="C153">
        <f ca="1"/>
        <v>-0.28384860524062028</v>
      </c>
      <c r="D153">
        <f ca="1"/>
        <v>1</v>
      </c>
      <c r="E153">
        <f ca="1"/>
        <v>94.211331373764807</v>
      </c>
      <c r="F153" s="10">
        <f ca="1"/>
        <v>0</v>
      </c>
      <c r="G153" s="7">
        <f ca="1"/>
        <v>0</v>
      </c>
      <c r="H153">
        <f ca="1"/>
        <v>-94.693921021662845</v>
      </c>
      <c r="I153" s="7">
        <f ca="1"/>
        <v>1</v>
      </c>
      <c r="J153">
        <f ca="1"/>
        <v>-0.48258964789803827</v>
      </c>
      <c r="K153">
        <f ca="1"/>
        <v>0</v>
      </c>
      <c r="L153">
        <f ca="1"/>
        <v>5.788668626235193</v>
      </c>
    </row>
    <row r="154" spans="2:12" x14ac:dyDescent="0.35">
      <c r="B154">
        <v>0.14400000000000002</v>
      </c>
      <c r="C154">
        <f ca="1"/>
        <v>-0.28318285639779817</v>
      </c>
      <c r="D154">
        <f ca="1"/>
        <v>1</v>
      </c>
      <c r="E154">
        <f ca="1"/>
        <v>94.221991967216354</v>
      </c>
      <c r="F154" s="10">
        <f ca="1"/>
        <v>0</v>
      </c>
      <c r="G154" s="7">
        <f ca="1"/>
        <v>0</v>
      </c>
      <c r="H154">
        <f ca="1"/>
        <v>-94.693921021662845</v>
      </c>
      <c r="I154" s="7">
        <f ca="1"/>
        <v>1</v>
      </c>
      <c r="J154">
        <f ca="1"/>
        <v>-0.47192905444649114</v>
      </c>
      <c r="K154">
        <f ca="1"/>
        <v>0</v>
      </c>
      <c r="L154">
        <f ca="1"/>
        <v>5.7780080327836458</v>
      </c>
    </row>
    <row r="155" spans="2:12" x14ac:dyDescent="0.35">
      <c r="B155">
        <v>0.14499999999999999</v>
      </c>
      <c r="C155">
        <f ca="1"/>
        <v>-0.2475607418638186</v>
      </c>
      <c r="D155">
        <f ca="1"/>
        <v>1</v>
      </c>
      <c r="E155">
        <f ca="1"/>
        <v>94.893768311360887</v>
      </c>
      <c r="F155" s="10">
        <f ca="1"/>
        <v>0</v>
      </c>
      <c r="G155" s="7">
        <f ca="1"/>
        <v>0</v>
      </c>
      <c r="H155">
        <f ca="1"/>
        <v>-94.693921021662845</v>
      </c>
      <c r="I155" s="7">
        <f ca="1"/>
        <v>1</v>
      </c>
      <c r="J155">
        <f ca="1"/>
        <v>0.19984728969804166</v>
      </c>
      <c r="K155">
        <f ca="1"/>
        <v>0</v>
      </c>
      <c r="L155">
        <f ca="1"/>
        <v>5.106231688639113</v>
      </c>
    </row>
    <row r="156" spans="2:12" x14ac:dyDescent="0.35">
      <c r="B156">
        <v>0.14599999999999999</v>
      </c>
      <c r="C156">
        <f ca="1"/>
        <v>-0.2520840768145558</v>
      </c>
      <c r="D156">
        <f ca="1"/>
        <v>1</v>
      </c>
      <c r="E156">
        <f ca="1"/>
        <v>94.806063731246738</v>
      </c>
      <c r="F156" s="10">
        <f ca="1"/>
        <v>0</v>
      </c>
      <c r="G156" s="7">
        <f ca="1"/>
        <v>0</v>
      </c>
      <c r="H156">
        <f ca="1"/>
        <v>-94.693921021662845</v>
      </c>
      <c r="I156" s="7">
        <f ca="1"/>
        <v>1</v>
      </c>
      <c r="J156">
        <f ca="1"/>
        <v>0.1121427095838925</v>
      </c>
      <c r="K156">
        <f ca="1"/>
        <v>0</v>
      </c>
      <c r="L156">
        <f ca="1"/>
        <v>5.1939362687532622</v>
      </c>
    </row>
    <row r="157" spans="2:12" x14ac:dyDescent="0.35">
      <c r="B157">
        <v>0.14699999999999999</v>
      </c>
      <c r="C157">
        <f ca="1"/>
        <v>-0.30205301055632039</v>
      </c>
      <c r="D157">
        <f ca="1"/>
        <v>1</v>
      </c>
      <c r="E157">
        <f ca="1"/>
        <v>93.861433582648644</v>
      </c>
      <c r="F157" s="10">
        <f ca="1"/>
        <v>0</v>
      </c>
      <c r="G157" s="7">
        <f ca="1"/>
        <v>0</v>
      </c>
      <c r="H157">
        <f ca="1"/>
        <v>-94.693921021662845</v>
      </c>
      <c r="I157" s="7">
        <f ca="1"/>
        <v>1</v>
      </c>
      <c r="J157">
        <f ca="1"/>
        <v>-0.83248743901420141</v>
      </c>
      <c r="K157">
        <f ca="1"/>
        <v>0</v>
      </c>
      <c r="L157">
        <f ca="1"/>
        <v>6.1385664173513561</v>
      </c>
    </row>
    <row r="158" spans="2:12" x14ac:dyDescent="0.35">
      <c r="B158">
        <v>0.14799999999999999</v>
      </c>
      <c r="C158">
        <f ca="1"/>
        <v>-0.25446457302291969</v>
      </c>
      <c r="D158">
        <f ca="1"/>
        <v>1</v>
      </c>
      <c r="E158">
        <f ca="1"/>
        <v>94.757147017674242</v>
      </c>
      <c r="F158" s="10">
        <f ca="1"/>
        <v>0</v>
      </c>
      <c r="G158" s="7">
        <f ca="1"/>
        <v>0</v>
      </c>
      <c r="H158">
        <f ca="1"/>
        <v>-94.693921021662845</v>
      </c>
      <c r="I158" s="7">
        <f ca="1"/>
        <v>1</v>
      </c>
      <c r="J158">
        <f ca="1"/>
        <v>6.3225996011397001E-2</v>
      </c>
      <c r="K158">
        <f ca="1"/>
        <v>0</v>
      </c>
      <c r="L158">
        <f ca="1"/>
        <v>5.2428529823257577</v>
      </c>
    </row>
    <row r="159" spans="2:12" x14ac:dyDescent="0.35">
      <c r="B159">
        <v>0.14899999999999999</v>
      </c>
      <c r="C159">
        <f ca="1"/>
        <v>-0.32600680090326706</v>
      </c>
      <c r="D159">
        <f ca="1"/>
        <v>1</v>
      </c>
      <c r="E159">
        <f ca="1"/>
        <v>93.409105129264063</v>
      </c>
      <c r="F159" s="10">
        <f ca="1"/>
        <v>0</v>
      </c>
      <c r="G159" s="7">
        <f ca="1"/>
        <v>0</v>
      </c>
      <c r="H159">
        <f ca="1"/>
        <v>-94.693921021662845</v>
      </c>
      <c r="I159" s="7">
        <f ca="1"/>
        <v>1</v>
      </c>
      <c r="J159">
        <f ca="1"/>
        <v>-1.2848158923987825</v>
      </c>
      <c r="K159">
        <f ca="1"/>
        <v>0</v>
      </c>
      <c r="L159">
        <f ca="1"/>
        <v>6.5908948707359372</v>
      </c>
    </row>
    <row r="160" spans="2:12" x14ac:dyDescent="0.35">
      <c r="B160">
        <v>0.15</v>
      </c>
      <c r="C160">
        <f ca="1"/>
        <v>-0.295296825593794</v>
      </c>
      <c r="D160">
        <f ca="1"/>
        <v>1</v>
      </c>
      <c r="E160">
        <f ca="1"/>
        <v>93.982709218803819</v>
      </c>
      <c r="F160" s="10">
        <f ca="1"/>
        <v>0</v>
      </c>
      <c r="G160" s="7">
        <f ca="1"/>
        <v>0</v>
      </c>
      <c r="H160">
        <f ca="1"/>
        <v>-94.693921021662845</v>
      </c>
      <c r="I160" s="7">
        <f ca="1"/>
        <v>1</v>
      </c>
      <c r="J160">
        <f ca="1"/>
        <v>-0.71121180285902597</v>
      </c>
      <c r="K160">
        <f ca="1"/>
        <v>0</v>
      </c>
      <c r="L160">
        <f ca="1"/>
        <v>6.0172907811961807</v>
      </c>
    </row>
    <row r="161" spans="2:12" x14ac:dyDescent="0.35">
      <c r="B161">
        <v>0.151</v>
      </c>
      <c r="C161">
        <f ca="1"/>
        <v>-0.29075804042466125</v>
      </c>
      <c r="D161">
        <f ca="1"/>
        <v>1</v>
      </c>
      <c r="E161">
        <f ca="1"/>
        <v>94.066180075408894</v>
      </c>
      <c r="F161" s="10">
        <f ca="1"/>
        <v>0</v>
      </c>
      <c r="G161" s="7">
        <f ca="1"/>
        <v>0</v>
      </c>
      <c r="H161">
        <f ca="1"/>
        <v>-94.693921021662845</v>
      </c>
      <c r="I161" s="7">
        <f ca="1"/>
        <v>1</v>
      </c>
      <c r="J161">
        <f ca="1"/>
        <v>-0.62774094625395094</v>
      </c>
      <c r="K161">
        <f ca="1"/>
        <v>0</v>
      </c>
      <c r="L161">
        <f ca="1"/>
        <v>5.9338199245911056</v>
      </c>
    </row>
    <row r="162" spans="2:12" x14ac:dyDescent="0.35">
      <c r="B162">
        <v>0.152</v>
      </c>
      <c r="C162">
        <f ca="1"/>
        <v>-0.26939161897332725</v>
      </c>
      <c r="D162">
        <f ca="1"/>
        <v>1</v>
      </c>
      <c r="E162">
        <f ca="1"/>
        <v>94.467122337647126</v>
      </c>
      <c r="F162" s="10">
        <f ca="1"/>
        <v>0</v>
      </c>
      <c r="G162" s="7">
        <f ca="1"/>
        <v>0</v>
      </c>
      <c r="H162">
        <f ca="1"/>
        <v>-94.693921021662845</v>
      </c>
      <c r="I162" s="7">
        <f ca="1"/>
        <v>1</v>
      </c>
      <c r="J162">
        <f ca="1"/>
        <v>-0.22679868401571923</v>
      </c>
      <c r="K162">
        <f ca="1"/>
        <v>0</v>
      </c>
      <c r="L162">
        <f ca="1"/>
        <v>5.5328776623528739</v>
      </c>
    </row>
    <row r="163" spans="2:12" x14ac:dyDescent="0.35">
      <c r="B163">
        <v>0.153</v>
      </c>
      <c r="C163">
        <f ca="1"/>
        <v>-0.27131188678727752</v>
      </c>
      <c r="D163">
        <f ca="1"/>
        <v>1</v>
      </c>
      <c r="E163">
        <f ca="1"/>
        <v>94.428960270578841</v>
      </c>
      <c r="F163" s="10">
        <f ca="1"/>
        <v>0</v>
      </c>
      <c r="G163" s="7">
        <f ca="1"/>
        <v>0</v>
      </c>
      <c r="H163">
        <f ca="1"/>
        <v>-94.693921021662845</v>
      </c>
      <c r="I163" s="7">
        <f ca="1"/>
        <v>1</v>
      </c>
      <c r="J163">
        <f ca="1"/>
        <v>-0.26496075108400419</v>
      </c>
      <c r="K163">
        <f ca="1"/>
        <v>0</v>
      </c>
      <c r="L163">
        <f ca="1"/>
        <v>5.5710397294211589</v>
      </c>
    </row>
    <row r="164" spans="2:12" x14ac:dyDescent="0.35">
      <c r="B164">
        <v>0.154</v>
      </c>
      <c r="C164">
        <f ca="1"/>
        <v>-0.21745199773928608</v>
      </c>
      <c r="D164">
        <f ca="1"/>
        <v>1</v>
      </c>
      <c r="E164">
        <f ca="1"/>
        <v>95.449736202190721</v>
      </c>
      <c r="F164" s="10">
        <f ca="1"/>
        <v>0</v>
      </c>
      <c r="G164" s="7">
        <f ca="1"/>
        <v>0</v>
      </c>
      <c r="H164">
        <f ca="1"/>
        <v>-94.693921021662845</v>
      </c>
      <c r="I164" s="7">
        <f ca="1"/>
        <v>1</v>
      </c>
      <c r="J164">
        <f ca="1"/>
        <v>0.75581518052787544</v>
      </c>
      <c r="K164">
        <f ca="1"/>
        <v>0</v>
      </c>
      <c r="L164">
        <f ca="1"/>
        <v>4.5502637978092793</v>
      </c>
    </row>
    <row r="165" spans="2:12" x14ac:dyDescent="0.35">
      <c r="B165">
        <v>0.155</v>
      </c>
      <c r="C165">
        <f ca="1"/>
        <v>-0.22976945139597241</v>
      </c>
      <c r="D165">
        <f ca="1"/>
        <v>1</v>
      </c>
      <c r="E165">
        <f ca="1"/>
        <v>95.212981777420097</v>
      </c>
      <c r="F165" s="10">
        <f ca="1"/>
        <v>0</v>
      </c>
      <c r="G165" s="7">
        <f ca="1"/>
        <v>0</v>
      </c>
      <c r="H165">
        <f ca="1"/>
        <v>-94.693921021662845</v>
      </c>
      <c r="I165">
        <f ca="1"/>
        <v>1</v>
      </c>
      <c r="J165">
        <f ca="1"/>
        <v>0.51906075575725197</v>
      </c>
      <c r="K165">
        <f ca="1"/>
        <v>0</v>
      </c>
      <c r="L165">
        <f ca="1"/>
        <v>4.7870182225799027</v>
      </c>
    </row>
    <row r="166" spans="2:12" x14ac:dyDescent="0.35">
      <c r="B166">
        <v>0.156</v>
      </c>
      <c r="C166">
        <f ca="1"/>
        <v>-0.2553976907676338</v>
      </c>
      <c r="D166">
        <f ca="1"/>
        <v>1</v>
      </c>
      <c r="E166">
        <f ca="1"/>
        <v>94.724307650865001</v>
      </c>
      <c r="F166" s="10">
        <f ca="1"/>
        <v>0</v>
      </c>
      <c r="G166" s="7">
        <f ca="1"/>
        <v>0</v>
      </c>
      <c r="H166">
        <f ca="1"/>
        <v>-94.693921021662845</v>
      </c>
      <c r="I166">
        <f ca="1"/>
        <v>1</v>
      </c>
      <c r="J166">
        <f ca="1"/>
        <v>3.0386629202155291E-2</v>
      </c>
      <c r="K166">
        <f ca="1"/>
        <v>0</v>
      </c>
      <c r="L166">
        <f ca="1"/>
        <v>5.2756923491349994</v>
      </c>
    </row>
    <row r="167" spans="2:12" x14ac:dyDescent="0.35">
      <c r="B167">
        <v>0.157</v>
      </c>
      <c r="C167">
        <f ca="1"/>
        <v>-0.25601187977160561</v>
      </c>
      <c r="D167">
        <f ca="1"/>
        <v>1</v>
      </c>
      <c r="E167">
        <f ca="1"/>
        <v>94.710778405345224</v>
      </c>
      <c r="F167" s="10">
        <f ca="1"/>
        <v>0</v>
      </c>
      <c r="G167" s="7">
        <f ca="1"/>
        <v>0</v>
      </c>
      <c r="H167">
        <f ca="1"/>
        <v>-94.693921021662845</v>
      </c>
      <c r="I167">
        <f ca="1"/>
        <v>1</v>
      </c>
      <c r="J167">
        <f ca="1"/>
        <v>1.6857383682378213E-2</v>
      </c>
      <c r="K167">
        <f ca="1"/>
        <v>0</v>
      </c>
      <c r="L167">
        <f ca="1"/>
        <v>5.2892215946547765</v>
      </c>
    </row>
    <row r="168" spans="2:12" x14ac:dyDescent="0.35">
      <c r="B168">
        <v>0.158</v>
      </c>
      <c r="C168">
        <f ca="1"/>
        <v>-0.24657401445080437</v>
      </c>
      <c r="D168">
        <f ca="1"/>
        <v>1</v>
      </c>
      <c r="E168">
        <f ca="1"/>
        <v>94.887822974356382</v>
      </c>
      <c r="F168" s="10">
        <f ca="1"/>
        <v>0</v>
      </c>
      <c r="G168" s="7">
        <f ca="1"/>
        <v>0</v>
      </c>
      <c r="H168">
        <f ca="1"/>
        <v>-94.693921021662845</v>
      </c>
      <c r="I168">
        <f ca="1"/>
        <v>1</v>
      </c>
      <c r="J168">
        <f ca="1"/>
        <v>0.19390195269353683</v>
      </c>
      <c r="K168">
        <f ca="1"/>
        <v>0</v>
      </c>
      <c r="L168">
        <f ca="1"/>
        <v>5.1121770256436179</v>
      </c>
    </row>
    <row r="169" spans="2:12" x14ac:dyDescent="0.35">
      <c r="B169">
        <v>0.159</v>
      </c>
      <c r="C169">
        <f ca="1"/>
        <v>-0.2679237210792712</v>
      </c>
      <c r="D169">
        <f ca="1"/>
        <v>1</v>
      </c>
      <c r="E169">
        <f ca="1"/>
        <v>94.481631672647509</v>
      </c>
      <c r="F169" s="10">
        <f ca="1"/>
        <v>0</v>
      </c>
      <c r="G169" s="7">
        <f ca="1"/>
        <v>0</v>
      </c>
      <c r="H169">
        <f ca="1"/>
        <v>-94.693921021662845</v>
      </c>
      <c r="I169">
        <f ca="1"/>
        <v>1</v>
      </c>
      <c r="J169">
        <f ca="1"/>
        <v>-0.21228934901533592</v>
      </c>
      <c r="K169">
        <f ca="1"/>
        <v>0</v>
      </c>
      <c r="L169">
        <f ca="1"/>
        <v>5.5183683273524906</v>
      </c>
    </row>
    <row r="170" spans="2:12" x14ac:dyDescent="0.35">
      <c r="B170">
        <v>0.16</v>
      </c>
      <c r="C170">
        <f ca="1"/>
        <v>-0.17945997544858477</v>
      </c>
      <c r="D170">
        <f ca="1"/>
        <v>1</v>
      </c>
      <c r="E170">
        <f ca="1"/>
        <v>96.166223687316318</v>
      </c>
      <c r="F170" s="10">
        <f ca="1"/>
        <v>0</v>
      </c>
      <c r="G170" s="7">
        <f ca="1"/>
        <v>0</v>
      </c>
      <c r="H170">
        <f ca="1"/>
        <v>-94.693921021662845</v>
      </c>
      <c r="I170">
        <f ca="1"/>
        <v>1</v>
      </c>
      <c r="J170">
        <f ca="1"/>
        <v>1.4723026656534728</v>
      </c>
      <c r="K170">
        <f ca="1"/>
        <v>0</v>
      </c>
      <c r="L170">
        <f ca="1"/>
        <v>3.8337763126836819</v>
      </c>
    </row>
    <row r="171" spans="2:12" x14ac:dyDescent="0.35">
      <c r="B171">
        <v>0.161</v>
      </c>
      <c r="C171">
        <f ca="1"/>
        <v>-0.1523154562245948</v>
      </c>
      <c r="D171">
        <f ca="1"/>
        <v>1</v>
      </c>
      <c r="E171">
        <f ca="1"/>
        <v>96.687786815181411</v>
      </c>
      <c r="F171" s="10">
        <f ca="1"/>
        <v>0</v>
      </c>
      <c r="G171" s="7">
        <f ca="1"/>
        <v>0</v>
      </c>
      <c r="H171">
        <f ca="1"/>
        <v>-94.693921021662845</v>
      </c>
      <c r="I171">
        <f ca="1"/>
        <v>1</v>
      </c>
      <c r="J171">
        <f ca="1"/>
        <v>1.993865793518566</v>
      </c>
      <c r="K171">
        <f ca="1"/>
        <v>0</v>
      </c>
      <c r="L171">
        <f ca="1"/>
        <v>3.3122131848185887</v>
      </c>
    </row>
    <row r="172" spans="2:12" x14ac:dyDescent="0.35">
      <c r="B172">
        <v>0.16200000000000001</v>
      </c>
      <c r="C172">
        <f ca="1"/>
        <v>-0.14137584306493289</v>
      </c>
      <c r="D172">
        <f ca="1"/>
        <v>1</v>
      </c>
      <c r="E172">
        <f ca="1"/>
        <v>96.897625831640923</v>
      </c>
      <c r="F172" s="10">
        <f ca="1"/>
        <v>0</v>
      </c>
      <c r="G172" s="7">
        <f ca="1"/>
        <v>0</v>
      </c>
      <c r="H172">
        <f ca="1"/>
        <v>-94.693921021662845</v>
      </c>
      <c r="I172">
        <f ca="1"/>
        <v>1</v>
      </c>
      <c r="J172">
        <f ca="1"/>
        <v>2.2037048099780776</v>
      </c>
      <c r="K172">
        <f ca="1"/>
        <v>0</v>
      </c>
      <c r="L172">
        <f ca="1"/>
        <v>3.1023741683590771</v>
      </c>
    </row>
    <row r="173" spans="2:12" x14ac:dyDescent="0.35">
      <c r="B173">
        <v>0.16300000000000001</v>
      </c>
      <c r="C173">
        <f ca="1"/>
        <v>-9.790885453144671E-2</v>
      </c>
      <c r="D173">
        <f ca="1"/>
        <v>1</v>
      </c>
      <c r="E173">
        <f ca="1"/>
        <v>97.741712736463697</v>
      </c>
      <c r="F173" s="10">
        <f ca="1"/>
        <v>0</v>
      </c>
      <c r="G173" s="7">
        <f ca="1"/>
        <v>0</v>
      </c>
      <c r="H173">
        <f ca="1"/>
        <v>-94.693921021662845</v>
      </c>
      <c r="I173">
        <f ca="1"/>
        <v>1</v>
      </c>
      <c r="J173">
        <f ca="1"/>
        <v>3.0477917148008515</v>
      </c>
      <c r="K173">
        <f ca="1"/>
        <v>0</v>
      </c>
      <c r="L173">
        <f ca="1"/>
        <v>2.2582872635363032</v>
      </c>
    </row>
    <row r="174" spans="2:12" x14ac:dyDescent="0.35">
      <c r="B174">
        <v>0.16400000000000001</v>
      </c>
      <c r="C174">
        <f ca="1"/>
        <v>-9.3826700964911081E-2</v>
      </c>
      <c r="D174">
        <f ca="1"/>
        <v>1</v>
      </c>
      <c r="E174">
        <f ca="1"/>
        <v>97.819588245565498</v>
      </c>
      <c r="F174" s="10">
        <f ca="1"/>
        <v>0</v>
      </c>
      <c r="G174" s="7">
        <f ca="1"/>
        <v>0</v>
      </c>
      <c r="H174">
        <f ca="1"/>
        <v>-94.693921021662845</v>
      </c>
      <c r="I174">
        <f ca="1"/>
        <v>1</v>
      </c>
      <c r="J174">
        <f ca="1"/>
        <v>3.1256672239026528</v>
      </c>
      <c r="K174">
        <f ca="1"/>
        <v>0</v>
      </c>
      <c r="L174">
        <f ca="1"/>
        <v>2.1804117544345019</v>
      </c>
    </row>
    <row r="175" spans="2:12" x14ac:dyDescent="0.35">
      <c r="B175">
        <v>0.16500000000000001</v>
      </c>
      <c r="C175">
        <f ca="1"/>
        <v>-8.4617640995184554E-2</v>
      </c>
      <c r="D175">
        <f ca="1"/>
        <v>1</v>
      </c>
      <c r="E175">
        <f ca="1"/>
        <v>97.997959574853084</v>
      </c>
      <c r="F175" s="10">
        <f ca="1"/>
        <v>0</v>
      </c>
      <c r="G175" s="7">
        <f ca="1"/>
        <v>0</v>
      </c>
      <c r="H175">
        <f ca="1"/>
        <v>-94.693921021662845</v>
      </c>
      <c r="I175">
        <f ca="1"/>
        <v>1</v>
      </c>
      <c r="J175">
        <f ca="1"/>
        <v>3.3040385531902388</v>
      </c>
      <c r="K175">
        <f ca="1"/>
        <v>0</v>
      </c>
      <c r="L175">
        <f ca="1"/>
        <v>2.0020404251469159</v>
      </c>
    </row>
    <row r="176" spans="2:12" x14ac:dyDescent="0.35">
      <c r="B176">
        <v>0.16600000000000001</v>
      </c>
      <c r="C176">
        <f ca="1"/>
        <v>-3.513989407259361E-2</v>
      </c>
      <c r="D176">
        <f ca="1"/>
        <v>1</v>
      </c>
      <c r="E176">
        <f ca="1"/>
        <v>98.970537731695188</v>
      </c>
      <c r="F176" s="10">
        <f ca="1"/>
        <v>0</v>
      </c>
      <c r="G176" s="7">
        <f ca="1"/>
        <v>0</v>
      </c>
      <c r="H176">
        <f ca="1"/>
        <v>-94.693921021662845</v>
      </c>
      <c r="I176">
        <f ca="1"/>
        <v>1</v>
      </c>
      <c r="J176">
        <f ca="1"/>
        <v>4.2766167100323429</v>
      </c>
      <c r="K176">
        <f ca="1"/>
        <v>0</v>
      </c>
      <c r="L176">
        <f ca="1"/>
        <v>1.0294622683048118</v>
      </c>
    </row>
    <row r="177" spans="2:12" x14ac:dyDescent="0.35">
      <c r="B177">
        <v>0.16700000000000001</v>
      </c>
      <c r="C177">
        <f ca="1"/>
        <v>-9.0865698690470481E-2</v>
      </c>
      <c r="D177">
        <f ca="1"/>
        <v>1</v>
      </c>
      <c r="E177">
        <f ca="1"/>
        <v>97.871661730463842</v>
      </c>
      <c r="F177" s="10">
        <f ca="1"/>
        <v>0</v>
      </c>
      <c r="G177" s="7">
        <f ca="1"/>
        <v>0</v>
      </c>
      <c r="H177">
        <f ca="1"/>
        <v>-94.693921021662845</v>
      </c>
      <c r="I177">
        <f ca="1"/>
        <v>1</v>
      </c>
      <c r="J177">
        <f ca="1"/>
        <v>3.1777407088009966</v>
      </c>
      <c r="K177">
        <f ca="1"/>
        <v>0</v>
      </c>
      <c r="L177">
        <f ca="1"/>
        <v>2.1283382695361581</v>
      </c>
    </row>
    <row r="178" spans="2:12" x14ac:dyDescent="0.35">
      <c r="B178">
        <v>0.16800000000000001</v>
      </c>
      <c r="C178">
        <f ca="1"/>
        <v>-7.2168154634391607E-2</v>
      </c>
      <c r="D178">
        <f ca="1"/>
        <v>1</v>
      </c>
      <c r="E178">
        <f ca="1"/>
        <v>98.2363740935876</v>
      </c>
      <c r="F178" s="10">
        <f ca="1"/>
        <v>0</v>
      </c>
      <c r="G178" s="7">
        <f ca="1"/>
        <v>0</v>
      </c>
      <c r="H178">
        <f ca="1"/>
        <v>-94.693921021662845</v>
      </c>
      <c r="I178">
        <f ca="1"/>
        <v>1</v>
      </c>
      <c r="J178">
        <f ca="1"/>
        <v>3.5424530719247542</v>
      </c>
      <c r="K178">
        <f ca="1"/>
        <v>0</v>
      </c>
      <c r="L178">
        <f ca="1"/>
        <v>1.7636259064124005</v>
      </c>
    </row>
    <row r="179" spans="2:12" x14ac:dyDescent="0.35">
      <c r="B179">
        <v>0.16900000000000001</v>
      </c>
      <c r="C179">
        <f ca="1"/>
        <v>-7.8250468596087169E-2</v>
      </c>
      <c r="D179">
        <f ca="1"/>
        <v>1</v>
      </c>
      <c r="E179">
        <f ca="1"/>
        <v>98.114983535086594</v>
      </c>
      <c r="F179" s="10">
        <f ca="1"/>
        <v>0</v>
      </c>
      <c r="G179" s="7">
        <f ca="1"/>
        <v>0</v>
      </c>
      <c r="H179">
        <f ca="1"/>
        <v>-94.693921021662845</v>
      </c>
      <c r="I179">
        <f ca="1"/>
        <v>1</v>
      </c>
      <c r="J179">
        <f ca="1"/>
        <v>3.4210625134237489</v>
      </c>
      <c r="K179">
        <f ca="1"/>
        <v>0</v>
      </c>
      <c r="L179">
        <f ca="1"/>
        <v>1.8850164649134058</v>
      </c>
    </row>
    <row r="180" spans="2:12" x14ac:dyDescent="0.35">
      <c r="B180">
        <v>0.17</v>
      </c>
      <c r="C180">
        <f ca="1"/>
        <v>-6.4793093979336205E-2</v>
      </c>
      <c r="D180">
        <f ca="1"/>
        <v>1</v>
      </c>
      <c r="E180">
        <f ca="1"/>
        <v>98.37744567762708</v>
      </c>
      <c r="F180" s="10">
        <f ca="1"/>
        <v>0</v>
      </c>
      <c r="G180" s="7">
        <f ca="1"/>
        <v>0</v>
      </c>
      <c r="H180">
        <f ca="1"/>
        <v>-94.693921021662845</v>
      </c>
      <c r="I180">
        <f ca="1"/>
        <v>1</v>
      </c>
      <c r="J180">
        <f ca="1"/>
        <v>3.6835246559642343</v>
      </c>
      <c r="K180">
        <f ca="1"/>
        <v>0</v>
      </c>
      <c r="L180">
        <f ca="1"/>
        <v>1.6225543223729204</v>
      </c>
    </row>
    <row r="181" spans="2:12" x14ac:dyDescent="0.35">
      <c r="B181">
        <v>0.17100000000000001</v>
      </c>
      <c r="C181">
        <f ca="1"/>
        <v>-9.9065021952388213E-2</v>
      </c>
      <c r="D181">
        <f ca="1"/>
        <v>1</v>
      </c>
      <c r="E181">
        <f ca="1"/>
        <v>97.70348038501497</v>
      </c>
      <c r="F181" s="10">
        <f ca="1"/>
        <v>0</v>
      </c>
      <c r="G181" s="7">
        <f ca="1"/>
        <v>0</v>
      </c>
      <c r="H181">
        <f ca="1"/>
        <v>-94.693921021662845</v>
      </c>
      <c r="I181">
        <f ca="1"/>
        <v>1</v>
      </c>
      <c r="J181">
        <f ca="1"/>
        <v>3.0095593633521247</v>
      </c>
      <c r="K181">
        <f ca="1"/>
        <v>0</v>
      </c>
      <c r="L181">
        <f ca="1"/>
        <v>2.29651961498503</v>
      </c>
    </row>
    <row r="182" spans="2:12" x14ac:dyDescent="0.35">
      <c r="B182">
        <v>0.17200000000000001</v>
      </c>
      <c r="C182">
        <f ca="1"/>
        <v>-0.14703443823540682</v>
      </c>
      <c r="D182">
        <f ca="1"/>
        <v>1</v>
      </c>
      <c r="E182">
        <f ca="1"/>
        <v>96.768671303620224</v>
      </c>
      <c r="F182" s="10">
        <f ca="1"/>
        <v>0</v>
      </c>
      <c r="G182" s="7">
        <f ca="1"/>
        <v>0</v>
      </c>
      <c r="H182">
        <f ca="1"/>
        <v>-94.693921021662845</v>
      </c>
      <c r="I182">
        <f ca="1"/>
        <v>1</v>
      </c>
      <c r="J182">
        <f ca="1"/>
        <v>2.0747502819573782</v>
      </c>
      <c r="K182">
        <f ca="1"/>
        <v>0</v>
      </c>
      <c r="L182">
        <f ca="1"/>
        <v>3.2313286963797765</v>
      </c>
    </row>
    <row r="183" spans="2:12" x14ac:dyDescent="0.35">
      <c r="B183">
        <v>0.17300000000000001</v>
      </c>
      <c r="C183">
        <f ca="1"/>
        <v>-0.17745854497457414</v>
      </c>
      <c r="D183">
        <f ca="1"/>
        <v>1</v>
      </c>
      <c r="E183">
        <f ca="1"/>
        <v>96.17971541761824</v>
      </c>
      <c r="F183" s="10">
        <f ca="1"/>
        <v>0</v>
      </c>
      <c r="G183" s="7">
        <f ca="1"/>
        <v>0</v>
      </c>
      <c r="H183">
        <f ca="1"/>
        <v>-94.693921021662845</v>
      </c>
      <c r="I183">
        <f ca="1"/>
        <v>1</v>
      </c>
      <c r="J183">
        <f ca="1"/>
        <v>1.485794395955395</v>
      </c>
      <c r="K183">
        <f ca="1"/>
        <v>0</v>
      </c>
      <c r="L183">
        <f ca="1"/>
        <v>3.8202845823817597</v>
      </c>
    </row>
    <row r="184" spans="2:12" x14ac:dyDescent="0.35">
      <c r="B184">
        <v>0.17400000000000002</v>
      </c>
      <c r="C184">
        <f ca="1"/>
        <v>-0.21416651318764637</v>
      </c>
      <c r="D184">
        <f ca="1"/>
        <v>1</v>
      </c>
      <c r="E184">
        <f ca="1"/>
        <v>95.474279189287799</v>
      </c>
      <c r="F184" s="10">
        <f ca="1"/>
        <v>0</v>
      </c>
      <c r="G184" s="7">
        <f ca="1"/>
        <v>0</v>
      </c>
      <c r="H184">
        <f ca="1"/>
        <v>-94.693921021662845</v>
      </c>
      <c r="I184">
        <f ca="1"/>
        <v>1</v>
      </c>
      <c r="J184">
        <f ca="1"/>
        <v>0.78035816762495358</v>
      </c>
      <c r="K184">
        <f ca="1"/>
        <v>0</v>
      </c>
      <c r="L184">
        <f ca="1"/>
        <v>4.5257208107122011</v>
      </c>
    </row>
    <row r="185" spans="2:12" x14ac:dyDescent="0.35">
      <c r="B185">
        <v>0.17500000000000002</v>
      </c>
      <c r="C185">
        <f ca="1"/>
        <v>-0.16207213806601745</v>
      </c>
      <c r="D185">
        <f ca="1"/>
        <v>1</v>
      </c>
      <c r="E185">
        <f ca="1"/>
        <v>96.472284358739074</v>
      </c>
      <c r="F185" s="10">
        <f ca="1"/>
        <v>0</v>
      </c>
      <c r="G185" s="7">
        <f ca="1"/>
        <v>0</v>
      </c>
      <c r="H185">
        <f ca="1"/>
        <v>-94.693921021662845</v>
      </c>
      <c r="I185">
        <f ca="1"/>
        <v>1</v>
      </c>
      <c r="J185">
        <f ca="1"/>
        <v>1.7783633370762288</v>
      </c>
      <c r="K185">
        <f ca="1"/>
        <v>0</v>
      </c>
      <c r="L185">
        <f ca="1"/>
        <v>3.5277156412609258</v>
      </c>
    </row>
    <row r="186" spans="2:12" x14ac:dyDescent="0.35">
      <c r="B186">
        <v>0.17599999999999999</v>
      </c>
      <c r="C186">
        <f ca="1"/>
        <v>-0.15787864603312218</v>
      </c>
      <c r="D186">
        <f ca="1"/>
        <v>1</v>
      </c>
      <c r="E186">
        <f ca="1"/>
        <v>96.551298404145783</v>
      </c>
      <c r="F186" s="10">
        <f ca="1"/>
        <v>0</v>
      </c>
      <c r="G186" s="7">
        <f ca="1"/>
        <v>0</v>
      </c>
      <c r="H186">
        <f ca="1"/>
        <v>-94.693921021662845</v>
      </c>
      <c r="I186">
        <f ca="1"/>
        <v>1</v>
      </c>
      <c r="J186">
        <f ca="1"/>
        <v>1.8573773824829374</v>
      </c>
      <c r="K186">
        <f ca="1"/>
        <v>0</v>
      </c>
      <c r="L186">
        <f ca="1"/>
        <v>3.4487015958542173</v>
      </c>
    </row>
    <row r="187" spans="2:12" x14ac:dyDescent="0.35">
      <c r="B187">
        <v>0.17699999999999999</v>
      </c>
      <c r="C187">
        <f ca="1"/>
        <v>-0.16952363731513426</v>
      </c>
      <c r="D187">
        <f ca="1"/>
        <v>1</v>
      </c>
      <c r="E187">
        <f ca="1"/>
        <v>96.324765739121986</v>
      </c>
      <c r="F187">
        <f ca="1"/>
        <v>0</v>
      </c>
      <c r="G187" s="7">
        <f ca="1"/>
        <v>0</v>
      </c>
      <c r="H187">
        <f ca="1"/>
        <v>-94.693921021662845</v>
      </c>
      <c r="I187">
        <f ca="1"/>
        <v>1</v>
      </c>
      <c r="J187">
        <f ca="1"/>
        <v>1.6308447174591407</v>
      </c>
      <c r="K187">
        <f ca="1"/>
        <v>0</v>
      </c>
      <c r="L187">
        <f ca="1"/>
        <v>3.675234260878014</v>
      </c>
    </row>
    <row r="188" spans="2:12" x14ac:dyDescent="0.35">
      <c r="B188">
        <v>0.17799999999999999</v>
      </c>
      <c r="C188">
        <f ca="1"/>
        <v>-0.15398715898494983</v>
      </c>
      <c r="D188">
        <f ca="1"/>
        <v>1</v>
      </c>
      <c r="E188">
        <f ca="1"/>
        <v>96.622608298370352</v>
      </c>
      <c r="F188">
        <f ca="1"/>
        <v>0</v>
      </c>
      <c r="G188" s="7">
        <f ca="1"/>
        <v>0</v>
      </c>
      <c r="H188">
        <f ca="1"/>
        <v>-94.693921021662845</v>
      </c>
      <c r="I188">
        <f ca="1"/>
        <v>1</v>
      </c>
      <c r="J188">
        <f ca="1"/>
        <v>1.9286872767075067</v>
      </c>
      <c r="K188">
        <f ca="1"/>
        <v>0</v>
      </c>
      <c r="L188">
        <f ca="1"/>
        <v>3.377391701629648</v>
      </c>
    </row>
    <row r="189" spans="2:12" x14ac:dyDescent="0.35">
      <c r="B189">
        <v>0.17899999999999999</v>
      </c>
      <c r="C189">
        <f ca="1"/>
        <v>-0.13271721728903058</v>
      </c>
      <c r="D189">
        <f ca="1"/>
        <v>1</v>
      </c>
      <c r="E189">
        <f ca="1"/>
        <v>97.032574578989411</v>
      </c>
      <c r="F189">
        <f ca="1"/>
        <v>0</v>
      </c>
      <c r="G189" s="7">
        <f ca="1"/>
        <v>0</v>
      </c>
      <c r="H189">
        <f ca="1"/>
        <v>-94.693921021662845</v>
      </c>
      <c r="I189">
        <f ca="1"/>
        <v>1</v>
      </c>
      <c r="J189">
        <f ca="1"/>
        <v>2.3386535573265661</v>
      </c>
      <c r="K189">
        <f ca="1"/>
        <v>0</v>
      </c>
      <c r="L189">
        <f ca="1"/>
        <v>2.9674254210105886</v>
      </c>
    </row>
    <row r="190" spans="2:12" x14ac:dyDescent="0.35">
      <c r="B190">
        <v>0.18</v>
      </c>
      <c r="C190">
        <f ca="1"/>
        <v>-0.1412814862275921</v>
      </c>
      <c r="D190">
        <f ca="1"/>
        <v>1</v>
      </c>
      <c r="E190">
        <f ca="1"/>
        <v>96.864576914331863</v>
      </c>
      <c r="F190">
        <f ca="1"/>
        <v>0</v>
      </c>
      <c r="G190" s="7">
        <f ca="1"/>
        <v>0</v>
      </c>
      <c r="H190">
        <f ca="1"/>
        <v>-94.693921021662845</v>
      </c>
      <c r="I190">
        <f ca="1"/>
        <v>1</v>
      </c>
      <c r="J190">
        <f ca="1"/>
        <v>2.1706558926690178</v>
      </c>
      <c r="K190">
        <f ca="1"/>
        <v>0</v>
      </c>
      <c r="L190">
        <f ca="1"/>
        <v>3.1354230856681369</v>
      </c>
    </row>
    <row r="191" spans="2:12" x14ac:dyDescent="0.35">
      <c r="B191">
        <v>0.18099999999999999</v>
      </c>
      <c r="C191">
        <f ca="1"/>
        <v>-0.14023724536557441</v>
      </c>
      <c r="D191">
        <f ca="1"/>
        <v>1</v>
      </c>
      <c r="E191">
        <f ca="1"/>
        <v>96.882871340032835</v>
      </c>
      <c r="F191">
        <f ca="1"/>
        <v>0</v>
      </c>
      <c r="G191" s="7">
        <f ca="1"/>
        <v>0</v>
      </c>
      <c r="H191">
        <f ca="1"/>
        <v>-94.693921021662845</v>
      </c>
      <c r="I191">
        <f ca="1"/>
        <v>1</v>
      </c>
      <c r="J191">
        <f ca="1"/>
        <v>2.1889503183699901</v>
      </c>
      <c r="K191">
        <f ca="1"/>
        <v>0</v>
      </c>
      <c r="L191">
        <f ca="1"/>
        <v>3.1171286599671646</v>
      </c>
    </row>
    <row r="192" spans="2:12" x14ac:dyDescent="0.35">
      <c r="B192">
        <v>0.182</v>
      </c>
      <c r="C192">
        <f ca="1"/>
        <v>-8.3752465419961425E-2</v>
      </c>
      <c r="D192">
        <f ca="1"/>
        <v>1</v>
      </c>
      <c r="E192">
        <f ca="1"/>
        <v>97.981598722688716</v>
      </c>
      <c r="F192">
        <f ca="1"/>
        <v>0</v>
      </c>
      <c r="G192" s="7">
        <f ca="1"/>
        <v>0</v>
      </c>
      <c r="H192">
        <f ca="1"/>
        <v>-94.693921021662845</v>
      </c>
      <c r="I192">
        <f ca="1"/>
        <v>1</v>
      </c>
      <c r="J192">
        <f ca="1"/>
        <v>3.2876777010258706</v>
      </c>
      <c r="K192">
        <f ca="1"/>
        <v>0</v>
      </c>
      <c r="L192">
        <f ca="1"/>
        <v>2.018401277311284</v>
      </c>
    </row>
    <row r="193" spans="2:12" x14ac:dyDescent="0.35">
      <c r="B193">
        <v>0.183</v>
      </c>
      <c r="C193">
        <f ca="1"/>
        <v>-0.1011974072698751</v>
      </c>
      <c r="D193">
        <f ca="1"/>
        <v>1</v>
      </c>
      <c r="E193">
        <f ca="1"/>
        <v>97.638384951030915</v>
      </c>
      <c r="F193">
        <f ca="1"/>
        <v>0</v>
      </c>
      <c r="G193" s="7">
        <f ca="1"/>
        <v>0</v>
      </c>
      <c r="H193">
        <f ca="1"/>
        <v>-94.693921021662845</v>
      </c>
      <c r="I193">
        <f ca="1"/>
        <v>1</v>
      </c>
      <c r="J193">
        <f ca="1"/>
        <v>2.9444639293680694</v>
      </c>
      <c r="K193">
        <f ca="1"/>
        <v>0</v>
      </c>
      <c r="L193">
        <f ca="1"/>
        <v>2.3616150489690853</v>
      </c>
    </row>
    <row r="194" spans="2:12" x14ac:dyDescent="0.35">
      <c r="B194">
        <v>0.184</v>
      </c>
      <c r="C194">
        <f ca="1"/>
        <v>-7.0559822378758463E-2</v>
      </c>
      <c r="D194">
        <f ca="1"/>
        <v>1</v>
      </c>
      <c r="E194">
        <f ca="1"/>
        <v>98.236537799840278</v>
      </c>
      <c r="F194">
        <f ca="1"/>
        <v>0</v>
      </c>
      <c r="G194" s="7">
        <f ca="1"/>
        <v>0</v>
      </c>
      <c r="H194">
        <f ca="1"/>
        <v>-94.693921021662845</v>
      </c>
      <c r="I194">
        <f ca="1"/>
        <v>1</v>
      </c>
      <c r="J194">
        <f ca="1"/>
        <v>3.5426167781774325</v>
      </c>
      <c r="K194">
        <f ca="1"/>
        <v>0</v>
      </c>
      <c r="L194">
        <f ca="1"/>
        <v>1.7634622001597222</v>
      </c>
    </row>
    <row r="195" spans="2:12" x14ac:dyDescent="0.35">
      <c r="B195">
        <v>0.185</v>
      </c>
      <c r="C195">
        <f ca="1"/>
        <v>-6.9508884080394032E-2</v>
      </c>
      <c r="D195">
        <f ca="1"/>
        <v>1</v>
      </c>
      <c r="E195">
        <f ca="1"/>
        <v>98.255222953845333</v>
      </c>
      <c r="F195">
        <f ca="1"/>
        <v>0</v>
      </c>
      <c r="G195" s="7">
        <f ca="1"/>
        <v>0</v>
      </c>
      <c r="H195">
        <f ca="1"/>
        <v>-94.693921021662845</v>
      </c>
      <c r="I195">
        <f ca="1"/>
        <v>1</v>
      </c>
      <c r="J195">
        <f ca="1"/>
        <v>3.5613019321824879</v>
      </c>
      <c r="K195">
        <f ca="1"/>
        <v>0</v>
      </c>
      <c r="L195">
        <f ca="1"/>
        <v>1.7447770461546668</v>
      </c>
    </row>
    <row r="196" spans="2:12" x14ac:dyDescent="0.35">
      <c r="B196">
        <v>0.186</v>
      </c>
      <c r="C196">
        <f ca="1"/>
        <v>-4.9861495700977081E-2</v>
      </c>
      <c r="D196">
        <f ca="1"/>
        <v>1</v>
      </c>
      <c r="E196">
        <f ca="1"/>
        <v>98.640101401163975</v>
      </c>
      <c r="F196">
        <f ca="1"/>
        <v>0</v>
      </c>
      <c r="G196" s="7">
        <f ca="1"/>
        <v>0</v>
      </c>
      <c r="H196">
        <f ca="1"/>
        <v>-94.693921021662845</v>
      </c>
      <c r="I196">
        <f ca="1"/>
        <v>1</v>
      </c>
      <c r="J196">
        <f ca="1"/>
        <v>3.9461803795011292</v>
      </c>
      <c r="K196">
        <f ca="1"/>
        <v>0</v>
      </c>
      <c r="L196">
        <f ca="1"/>
        <v>1.3598985988360255</v>
      </c>
    </row>
    <row r="197" spans="2:12" x14ac:dyDescent="0.35">
      <c r="B197">
        <v>0.187</v>
      </c>
      <c r="C197">
        <f ca="1"/>
        <v>-4.2091975222441451E-2</v>
      </c>
      <c r="D197">
        <f ca="1"/>
        <v>1</v>
      </c>
      <c r="E197">
        <f ca="1"/>
        <v>98.791521959322054</v>
      </c>
      <c r="F197">
        <f ca="1"/>
        <v>0</v>
      </c>
      <c r="G197" s="7">
        <f ca="1"/>
        <v>0</v>
      </c>
      <c r="H197">
        <f ca="1"/>
        <v>-94.693921021662845</v>
      </c>
      <c r="I197">
        <f ca="1"/>
        <v>1</v>
      </c>
      <c r="J197">
        <f ca="1"/>
        <v>4.0976009376592089</v>
      </c>
      <c r="K197">
        <f ca="1"/>
        <v>0</v>
      </c>
      <c r="L197">
        <f ca="1"/>
        <v>1.2084780406779458</v>
      </c>
    </row>
    <row r="198" spans="2:12" x14ac:dyDescent="0.35">
      <c r="B198">
        <v>0.188</v>
      </c>
      <c r="C198">
        <f ca="1"/>
        <v>-2.5185258027406468E-2</v>
      </c>
      <c r="D198">
        <f ca="1"/>
        <v>1</v>
      </c>
      <c r="E198">
        <f ca="1"/>
        <v>99.124152923755034</v>
      </c>
      <c r="F198">
        <f ca="1"/>
        <v>0</v>
      </c>
      <c r="G198" s="7">
        <f ca="1"/>
        <v>0</v>
      </c>
      <c r="H198">
        <f ca="1"/>
        <v>-94.693921021662845</v>
      </c>
      <c r="I198">
        <f ca="1"/>
        <v>1</v>
      </c>
      <c r="J198">
        <f ca="1"/>
        <v>4.4302319020921885</v>
      </c>
      <c r="K198">
        <f ca="1"/>
        <v>0</v>
      </c>
      <c r="L198">
        <f ca="1"/>
        <v>0.87584707624496616</v>
      </c>
    </row>
    <row r="199" spans="2:12" x14ac:dyDescent="0.35">
      <c r="B199">
        <v>0.189</v>
      </c>
      <c r="C199">
        <f ca="1"/>
        <v>-2.5019226474262413E-3</v>
      </c>
      <c r="D199">
        <f ca="1"/>
        <v>1</v>
      </c>
      <c r="E199">
        <f ca="1"/>
        <v>99.572876325970213</v>
      </c>
      <c r="F199">
        <f ca="1"/>
        <v>0</v>
      </c>
      <c r="G199" s="7">
        <f ca="1"/>
        <v>0</v>
      </c>
      <c r="H199">
        <f ca="1"/>
        <v>-94.693921021662845</v>
      </c>
      <c r="I199">
        <f ca="1"/>
        <v>1</v>
      </c>
      <c r="J199">
        <f ca="1"/>
        <v>4.8789553043073681</v>
      </c>
      <c r="K199">
        <f ca="1"/>
        <v>0</v>
      </c>
      <c r="L199">
        <f ca="1"/>
        <v>0.42712367402978657</v>
      </c>
    </row>
    <row r="200" spans="2:12" x14ac:dyDescent="0.35">
      <c r="B200">
        <v>0.19</v>
      </c>
      <c r="C200">
        <f ca="1"/>
        <v>-1.9809586699263936E-2</v>
      </c>
      <c r="D200">
        <f ca="1"/>
        <v>1</v>
      </c>
      <c r="E200">
        <f ca="1"/>
        <v>99.226812855237498</v>
      </c>
      <c r="F200">
        <f ca="1"/>
        <v>0</v>
      </c>
      <c r="G200" s="7">
        <f ca="1"/>
        <v>0</v>
      </c>
      <c r="H200">
        <f ca="1"/>
        <v>-94.693921021662845</v>
      </c>
      <c r="I200">
        <f ca="1"/>
        <v>1</v>
      </c>
      <c r="J200">
        <f ca="1"/>
        <v>4.5328918335746522</v>
      </c>
      <c r="K200">
        <f ca="1"/>
        <v>0</v>
      </c>
      <c r="L200">
        <f ca="1"/>
        <v>0.7731871447625025</v>
      </c>
    </row>
    <row r="201" spans="2:12" x14ac:dyDescent="0.35">
      <c r="B201">
        <v>0.191</v>
      </c>
      <c r="C201">
        <f ca="1"/>
        <v>-2.2383985723406198E-2</v>
      </c>
      <c r="D201">
        <f ca="1"/>
        <v>1</v>
      </c>
      <c r="E201">
        <f ca="1"/>
        <v>99.173752628630595</v>
      </c>
      <c r="F201">
        <f ca="1"/>
        <v>0</v>
      </c>
      <c r="G201" s="7">
        <f ca="1"/>
        <v>0</v>
      </c>
      <c r="H201">
        <f ca="1"/>
        <v>-94.693921021662845</v>
      </c>
      <c r="I201">
        <f ca="1"/>
        <v>1</v>
      </c>
      <c r="J201">
        <f ca="1"/>
        <v>4.4798316069677497</v>
      </c>
      <c r="K201">
        <f ca="1"/>
        <v>0</v>
      </c>
      <c r="L201">
        <f ca="1"/>
        <v>0.82624737136940496</v>
      </c>
    </row>
    <row r="202" spans="2:12" x14ac:dyDescent="0.35">
      <c r="B202">
        <v>0.192</v>
      </c>
      <c r="C202">
        <f ca="1"/>
        <v>-6.0519875077659629E-2</v>
      </c>
      <c r="D202">
        <f ca="1"/>
        <v>1</v>
      </c>
      <c r="E202">
        <f ca="1"/>
        <v>98.418245731762354</v>
      </c>
      <c r="F202">
        <f ca="1"/>
        <v>0</v>
      </c>
      <c r="G202" s="7">
        <f ca="1"/>
        <v>0</v>
      </c>
      <c r="H202">
        <f ca="1"/>
        <v>-94.693921021662845</v>
      </c>
      <c r="I202">
        <f ca="1"/>
        <v>1</v>
      </c>
      <c r="J202">
        <f ca="1"/>
        <v>3.7243247100995092</v>
      </c>
      <c r="K202">
        <f ca="1"/>
        <v>0</v>
      </c>
      <c r="L202">
        <f ca="1"/>
        <v>1.5817542682376455</v>
      </c>
    </row>
    <row r="203" spans="2:12" x14ac:dyDescent="0.35">
      <c r="B203">
        <v>0.193</v>
      </c>
      <c r="C203">
        <f ca="1"/>
        <v>-9.7369230700038473E-2</v>
      </c>
      <c r="D203">
        <f ca="1"/>
        <v>1</v>
      </c>
      <c r="E203">
        <f ca="1"/>
        <v>97.693628291877275</v>
      </c>
      <c r="F203">
        <f ca="1"/>
        <v>0</v>
      </c>
      <c r="G203" s="7">
        <f ca="1"/>
        <v>0</v>
      </c>
      <c r="H203">
        <f ca="1"/>
        <v>-94.693921021662845</v>
      </c>
      <c r="I203">
        <f ca="1"/>
        <v>1</v>
      </c>
      <c r="J203">
        <f ca="1"/>
        <v>2.9997072702144294</v>
      </c>
      <c r="K203">
        <f ca="1"/>
        <v>0</v>
      </c>
      <c r="L203">
        <f ca="1"/>
        <v>2.3063717081227253</v>
      </c>
    </row>
    <row r="204" spans="2:12" x14ac:dyDescent="0.35">
      <c r="B204">
        <v>0.19400000000000001</v>
      </c>
      <c r="C204">
        <f ca="1"/>
        <v>-8.9972626266725891E-2</v>
      </c>
      <c r="D204">
        <f ca="1"/>
        <v>1</v>
      </c>
      <c r="E204">
        <f ca="1"/>
        <v>97.836298719785688</v>
      </c>
      <c r="F204">
        <f ca="1"/>
        <v>0</v>
      </c>
      <c r="G204" s="7">
        <f ca="1"/>
        <v>0</v>
      </c>
      <c r="H204">
        <f ca="1"/>
        <v>-94.693921021662845</v>
      </c>
      <c r="I204">
        <f ca="1"/>
        <v>1</v>
      </c>
      <c r="J204">
        <f ca="1"/>
        <v>3.1423776981228428</v>
      </c>
      <c r="K204">
        <f ca="1"/>
        <v>0</v>
      </c>
      <c r="L204">
        <f ca="1"/>
        <v>2.1637012802143119</v>
      </c>
    </row>
    <row r="205" spans="2:12" x14ac:dyDescent="0.35">
      <c r="B205">
        <v>0.19500000000000001</v>
      </c>
      <c r="C205">
        <f ca="1"/>
        <v>-9.1256767550744619E-2</v>
      </c>
      <c r="D205">
        <f ca="1"/>
        <v>1</v>
      </c>
      <c r="E205">
        <f ca="1"/>
        <v>97.809218616200837</v>
      </c>
      <c r="F205">
        <f ca="1"/>
        <v>0</v>
      </c>
      <c r="G205" s="7">
        <f ca="1"/>
        <v>0</v>
      </c>
      <c r="H205">
        <f ca="1"/>
        <v>-94.693921021662845</v>
      </c>
      <c r="I205">
        <f ca="1"/>
        <v>1</v>
      </c>
      <c r="J205">
        <f ca="1"/>
        <v>3.1152975945379922</v>
      </c>
      <c r="K205">
        <f ca="1"/>
        <v>0</v>
      </c>
      <c r="L205">
        <f ca="1"/>
        <v>2.1907813837991625</v>
      </c>
    </row>
    <row r="206" spans="2:12" x14ac:dyDescent="0.35">
      <c r="B206">
        <v>0.19600000000000001</v>
      </c>
      <c r="C206">
        <f ca="1"/>
        <v>-8.185007818899824E-2</v>
      </c>
      <c r="D206">
        <f ca="1"/>
        <v>1</v>
      </c>
      <c r="E206">
        <f ca="1"/>
        <v>97.991444158116067</v>
      </c>
      <c r="F206">
        <f ca="1"/>
        <v>0</v>
      </c>
      <c r="G206" s="7">
        <f ca="1"/>
        <v>0</v>
      </c>
      <c r="H206">
        <f ca="1"/>
        <v>-94.693921021662845</v>
      </c>
      <c r="I206">
        <f ca="1"/>
        <v>1</v>
      </c>
      <c r="J206">
        <f ca="1"/>
        <v>3.297523136453222</v>
      </c>
      <c r="K206">
        <f ca="1"/>
        <v>0</v>
      </c>
      <c r="L206">
        <f ca="1"/>
        <v>2.0085558418839327</v>
      </c>
    </row>
    <row r="207" spans="2:12" x14ac:dyDescent="0.35">
      <c r="B207">
        <v>0.19700000000000001</v>
      </c>
      <c r="C207">
        <f ca="1"/>
        <v>-6.3956453277085615E-2</v>
      </c>
      <c r="D207">
        <f ca="1"/>
        <v>1</v>
      </c>
      <c r="E207">
        <f ca="1"/>
        <v>98.340790002702121</v>
      </c>
      <c r="F207">
        <f ca="1"/>
        <v>0</v>
      </c>
      <c r="G207" s="7">
        <f ca="1"/>
        <v>0</v>
      </c>
      <c r="H207">
        <f ca="1"/>
        <v>-94.693921021662845</v>
      </c>
      <c r="I207">
        <f ca="1"/>
        <v>1</v>
      </c>
      <c r="J207">
        <f ca="1"/>
        <v>3.646868981039276</v>
      </c>
      <c r="K207">
        <f ca="1"/>
        <v>0</v>
      </c>
      <c r="L207">
        <f ca="1"/>
        <v>1.6592099972978787</v>
      </c>
    </row>
    <row r="208" spans="2:12" x14ac:dyDescent="0.35">
      <c r="B208">
        <v>0.19800000000000001</v>
      </c>
      <c r="C208">
        <f ca="1"/>
        <v>-9.2520530331805614E-2</v>
      </c>
      <c r="D208">
        <f ca="1"/>
        <v>1</v>
      </c>
      <c r="E208">
        <f ca="1"/>
        <v>97.778633316122182</v>
      </c>
      <c r="F208">
        <f ca="1"/>
        <v>0</v>
      </c>
      <c r="G208" s="7">
        <f ca="1"/>
        <v>0</v>
      </c>
      <c r="H208">
        <f ca="1"/>
        <v>-94.693921021662845</v>
      </c>
      <c r="I208">
        <f ca="1"/>
        <v>1</v>
      </c>
      <c r="J208">
        <f ca="1"/>
        <v>3.0847122944593366</v>
      </c>
      <c r="K208">
        <f ca="1"/>
        <v>0</v>
      </c>
      <c r="L208">
        <f ca="1"/>
        <v>2.2213666838778181</v>
      </c>
    </row>
    <row r="209" spans="2:12" x14ac:dyDescent="0.35">
      <c r="B209">
        <v>0.19900000000000001</v>
      </c>
      <c r="C209">
        <f ca="1"/>
        <v>-7.9221526198161751E-2</v>
      </c>
      <c r="D209">
        <f ca="1"/>
        <v>1</v>
      </c>
      <c r="E209">
        <f ca="1"/>
        <v>98.03709042073649</v>
      </c>
      <c r="F209">
        <f ca="1"/>
        <v>0</v>
      </c>
      <c r="G209">
        <f ca="1"/>
        <v>0</v>
      </c>
      <c r="H209">
        <f ca="1"/>
        <v>-94.693921021662845</v>
      </c>
      <c r="I209">
        <f ca="1"/>
        <v>1</v>
      </c>
      <c r="J209">
        <f ca="1"/>
        <v>3.3431693990736449</v>
      </c>
      <c r="K209">
        <f ca="1"/>
        <v>0</v>
      </c>
      <c r="L209">
        <f ca="1"/>
        <v>1.9629095792635098</v>
      </c>
    </row>
    <row r="210" spans="2:12" x14ac:dyDescent="0.35">
      <c r="B210">
        <v>0.2</v>
      </c>
      <c r="C210">
        <f ca="1"/>
        <v>-6.8539453739430961E-2</v>
      </c>
      <c r="D210">
        <f ca="1"/>
        <v>1</v>
      </c>
      <c r="E210">
        <f ca="1"/>
        <v>98.244797258982601</v>
      </c>
      <c r="F210">
        <f ca="1"/>
        <v>0</v>
      </c>
      <c r="G210">
        <f ca="1"/>
        <v>0</v>
      </c>
      <c r="H210">
        <f ca="1"/>
        <v>-94.693921021662845</v>
      </c>
      <c r="I210">
        <f ca="1"/>
        <v>1</v>
      </c>
      <c r="J210">
        <f ca="1"/>
        <v>3.5508762373197555</v>
      </c>
      <c r="K210">
        <f ca="1"/>
        <v>0</v>
      </c>
      <c r="L210">
        <f ca="1"/>
        <v>1.7552027410173991</v>
      </c>
    </row>
    <row r="211" spans="2:12" x14ac:dyDescent="0.35">
      <c r="B211">
        <v>0.20100000000000001</v>
      </c>
      <c r="C211">
        <f ca="1"/>
        <v>-9.3893306408461524E-2</v>
      </c>
      <c r="D211">
        <f ca="1"/>
        <v>1</v>
      </c>
      <c r="E211">
        <f ca="1"/>
        <v>97.745926435832089</v>
      </c>
      <c r="F211">
        <f ca="1"/>
        <v>0</v>
      </c>
      <c r="G211">
        <f ca="1"/>
        <v>0</v>
      </c>
      <c r="H211">
        <f ca="1"/>
        <v>-94.693921021662845</v>
      </c>
      <c r="I211">
        <f ca="1"/>
        <v>1</v>
      </c>
      <c r="J211">
        <f ca="1"/>
        <v>3.0520054141692441</v>
      </c>
      <c r="K211">
        <f ca="1"/>
        <v>0</v>
      </c>
      <c r="L211">
        <f ca="1"/>
        <v>2.2540735641679106</v>
      </c>
    </row>
    <row r="212" spans="2:12" x14ac:dyDescent="0.35">
      <c r="B212">
        <v>0.20200000000000001</v>
      </c>
      <c r="C212">
        <f ca="1"/>
        <v>-3.3596341474395996E-2</v>
      </c>
      <c r="D212">
        <f ca="1"/>
        <v>1</v>
      </c>
      <c r="E212">
        <f ca="1"/>
        <v>98.92984056039343</v>
      </c>
      <c r="F212">
        <f ca="1"/>
        <v>0</v>
      </c>
      <c r="G212">
        <f ca="1"/>
        <v>0</v>
      </c>
      <c r="H212">
        <f ca="1"/>
        <v>-94.693921021662845</v>
      </c>
      <c r="I212">
        <f ca="1"/>
        <v>1</v>
      </c>
      <c r="J212">
        <f ca="1"/>
        <v>4.2359195387305846</v>
      </c>
      <c r="K212">
        <f ca="1"/>
        <v>0</v>
      </c>
      <c r="L212">
        <f ca="1"/>
        <v>1.0701594396065701</v>
      </c>
    </row>
    <row r="213" spans="2:12" x14ac:dyDescent="0.35">
      <c r="B213">
        <v>0.20300000000000001</v>
      </c>
      <c r="C213">
        <f ca="1"/>
        <v>-3.8695120513846985E-2</v>
      </c>
      <c r="D213">
        <f ca="1"/>
        <v>1</v>
      </c>
      <c r="E213">
        <f ca="1"/>
        <v>98.827031141704396</v>
      </c>
      <c r="F213">
        <f ca="1"/>
        <v>0</v>
      </c>
      <c r="G213">
        <f ca="1"/>
        <v>0</v>
      </c>
      <c r="H213">
        <f ca="1"/>
        <v>-94.693921021662845</v>
      </c>
      <c r="I213">
        <f ca="1"/>
        <v>1</v>
      </c>
      <c r="J213">
        <f ca="1"/>
        <v>4.1331101200415503</v>
      </c>
      <c r="K213">
        <f ca="1"/>
        <v>0</v>
      </c>
      <c r="L213">
        <f ca="1"/>
        <v>1.1729688582956044</v>
      </c>
    </row>
    <row r="214" spans="2:12" x14ac:dyDescent="0.35">
      <c r="B214">
        <v>0.20400000000000001</v>
      </c>
      <c r="C214">
        <f ca="1"/>
        <v>-1.8274459886064465E-2</v>
      </c>
      <c r="D214">
        <f ca="1"/>
        <v>1</v>
      </c>
      <c r="E214">
        <f ca="1"/>
        <v>99.229494532075009</v>
      </c>
      <c r="F214">
        <f ca="1"/>
        <v>0</v>
      </c>
      <c r="G214">
        <f ca="1"/>
        <v>0</v>
      </c>
      <c r="H214">
        <f ca="1"/>
        <v>-94.693921021662845</v>
      </c>
      <c r="I214">
        <f ca="1"/>
        <v>1</v>
      </c>
      <c r="J214">
        <f ca="1"/>
        <v>4.5355735104121635</v>
      </c>
      <c r="K214">
        <f ca="1"/>
        <v>0</v>
      </c>
      <c r="L214">
        <f ca="1"/>
        <v>0.77050546792499119</v>
      </c>
    </row>
    <row r="215" spans="2:12" x14ac:dyDescent="0.35">
      <c r="B215">
        <v>0.20500000000000002</v>
      </c>
      <c r="C215">
        <f ca="1"/>
        <v>-8.1859884371708394E-2</v>
      </c>
      <c r="D215">
        <f ca="1"/>
        <v>1</v>
      </c>
      <c r="E215">
        <f ca="1"/>
        <v>97.973615135911174</v>
      </c>
      <c r="F215">
        <f ca="1"/>
        <v>0</v>
      </c>
      <c r="G215">
        <f ca="1"/>
        <v>0</v>
      </c>
      <c r="H215">
        <f ca="1"/>
        <v>-94.693921021662845</v>
      </c>
      <c r="I215">
        <f ca="1"/>
        <v>1</v>
      </c>
      <c r="J215">
        <f ca="1"/>
        <v>3.2796941142483291</v>
      </c>
      <c r="K215">
        <f ca="1"/>
        <v>0</v>
      </c>
      <c r="L215">
        <f ca="1"/>
        <v>2.0263848640888256</v>
      </c>
    </row>
    <row r="216" spans="2:12" x14ac:dyDescent="0.35">
      <c r="B216">
        <v>0.20600000000000002</v>
      </c>
      <c r="C216">
        <f ca="1"/>
        <v>-9.2320711958299426E-2</v>
      </c>
      <c r="D216">
        <f ca="1"/>
        <v>1</v>
      </c>
      <c r="E216">
        <f ca="1"/>
        <v>97.766897032690451</v>
      </c>
      <c r="F216">
        <f ca="1"/>
        <v>0</v>
      </c>
      <c r="G216">
        <f ca="1"/>
        <v>0</v>
      </c>
      <c r="H216">
        <f ca="1"/>
        <v>-94.693921021662845</v>
      </c>
      <c r="I216">
        <f ca="1"/>
        <v>1</v>
      </c>
      <c r="J216">
        <f ca="1"/>
        <v>3.0729760110276061</v>
      </c>
      <c r="K216">
        <f ca="1"/>
        <v>0</v>
      </c>
      <c r="L216">
        <f ca="1"/>
        <v>2.2331029673095486</v>
      </c>
    </row>
    <row r="217" spans="2:12" x14ac:dyDescent="0.35">
      <c r="B217">
        <v>0.20700000000000002</v>
      </c>
      <c r="C217">
        <f ca="1"/>
        <v>-0.12352594508982825</v>
      </c>
      <c r="D217">
        <f ca="1"/>
        <v>1</v>
      </c>
      <c r="E217">
        <f ca="1"/>
        <v>97.156686204473118</v>
      </c>
      <c r="F217">
        <f ca="1"/>
        <v>0</v>
      </c>
      <c r="G217">
        <f ca="1"/>
        <v>0</v>
      </c>
      <c r="H217">
        <f ca="1"/>
        <v>-94.693921021662845</v>
      </c>
      <c r="I217">
        <f ca="1"/>
        <v>1</v>
      </c>
      <c r="J217">
        <f ca="1"/>
        <v>2.4627651828102728</v>
      </c>
      <c r="K217">
        <f ca="1"/>
        <v>0</v>
      </c>
      <c r="L217">
        <f ca="1"/>
        <v>2.8433137955268819</v>
      </c>
    </row>
    <row r="218" spans="2:12" x14ac:dyDescent="0.35">
      <c r="B218">
        <v>0.20800000000000002</v>
      </c>
      <c r="C218">
        <f ca="1"/>
        <v>-0.13037454909599666</v>
      </c>
      <c r="D218">
        <f ca="1"/>
        <v>1</v>
      </c>
      <c r="E218">
        <f ca="1"/>
        <v>97.021759313744809</v>
      </c>
      <c r="F218">
        <f ca="1"/>
        <v>0</v>
      </c>
      <c r="G218">
        <f ca="1"/>
        <v>0</v>
      </c>
      <c r="H218">
        <f ca="1"/>
        <v>-94.693921021662845</v>
      </c>
      <c r="I218">
        <f ca="1"/>
        <v>1</v>
      </c>
      <c r="J218">
        <f ca="1"/>
        <v>2.3278382920819638</v>
      </c>
      <c r="K218">
        <f ca="1"/>
        <v>0</v>
      </c>
      <c r="L218">
        <f ca="1"/>
        <v>2.9782406862551909</v>
      </c>
    </row>
    <row r="219" spans="2:12" x14ac:dyDescent="0.35">
      <c r="B219">
        <v>0.20899999999999999</v>
      </c>
      <c r="C219">
        <f ca="1"/>
        <v>-0.1473890062175458</v>
      </c>
      <c r="D219">
        <f ca="1"/>
        <v>1</v>
      </c>
      <c r="E219">
        <f ca="1"/>
        <v>96.690232080366528</v>
      </c>
      <c r="F219">
        <f ca="1"/>
        <v>0</v>
      </c>
      <c r="G219">
        <f ca="1"/>
        <v>0</v>
      </c>
      <c r="H219">
        <f ca="1"/>
        <v>-94.693921021662845</v>
      </c>
      <c r="I219">
        <f ca="1"/>
        <v>1</v>
      </c>
      <c r="J219">
        <f ca="1"/>
        <v>1.9963110587036823</v>
      </c>
      <c r="K219">
        <f ca="1"/>
        <v>0</v>
      </c>
      <c r="L219">
        <f ca="1"/>
        <v>3.3097679196334724</v>
      </c>
    </row>
    <row r="220" spans="2:12" x14ac:dyDescent="0.35">
      <c r="B220">
        <v>0.21</v>
      </c>
      <c r="C220">
        <f ca="1"/>
        <v>-7.4158119103869019E-2</v>
      </c>
      <c r="D220">
        <f ca="1"/>
        <v>1</v>
      </c>
      <c r="E220">
        <f ca="1"/>
        <v>98.114833409312439</v>
      </c>
      <c r="F220">
        <f ca="1"/>
        <v>0</v>
      </c>
      <c r="G220">
        <f ca="1"/>
        <v>0</v>
      </c>
      <c r="H220">
        <f ca="1"/>
        <v>-94.693921021662845</v>
      </c>
      <c r="I220">
        <f ca="1"/>
        <v>1</v>
      </c>
      <c r="J220">
        <f ca="1"/>
        <v>3.4209123876495937</v>
      </c>
      <c r="K220">
        <f ca="1"/>
        <v>0</v>
      </c>
      <c r="L220">
        <f ca="1"/>
        <v>1.885166590687561</v>
      </c>
    </row>
    <row r="221" spans="2:12" x14ac:dyDescent="0.35">
      <c r="B221">
        <v>0.21099999999999999</v>
      </c>
      <c r="C221">
        <f ca="1"/>
        <v>-2.5303540751038557E-2</v>
      </c>
      <c r="D221">
        <f ca="1"/>
        <v>1</v>
      </c>
      <c r="E221">
        <f ca="1"/>
        <v>99.076222470326087</v>
      </c>
      <c r="F221">
        <f ca="1"/>
        <v>0</v>
      </c>
      <c r="G221">
        <f ca="1"/>
        <v>0</v>
      </c>
      <c r="H221">
        <f ca="1"/>
        <v>-94.693921021662845</v>
      </c>
      <c r="I221">
        <f ca="1"/>
        <v>1</v>
      </c>
      <c r="J221">
        <f ca="1"/>
        <v>4.3823014486632417</v>
      </c>
      <c r="K221">
        <f ca="1"/>
        <v>0</v>
      </c>
      <c r="L221">
        <f ca="1"/>
        <v>0.92377752967391302</v>
      </c>
    </row>
    <row r="222" spans="2:12" x14ac:dyDescent="0.35">
      <c r="B222">
        <v>0.21199999999999999</v>
      </c>
      <c r="C222">
        <f ca="1"/>
        <v>1.2170182373032017E-3</v>
      </c>
      <c r="D222">
        <f ca="1"/>
        <v>1</v>
      </c>
      <c r="E222">
        <f ca="1"/>
        <v>99.60113794098244</v>
      </c>
      <c r="F222">
        <f ca="1"/>
        <v>0</v>
      </c>
      <c r="G222">
        <f ca="1"/>
        <v>0</v>
      </c>
      <c r="H222">
        <f ca="1"/>
        <v>-94.693921021662845</v>
      </c>
      <c r="I222">
        <f ca="1"/>
        <v>1</v>
      </c>
      <c r="J222">
        <f ca="1"/>
        <v>4.9072169193195947</v>
      </c>
      <c r="K222">
        <f ca="1"/>
        <v>0</v>
      </c>
      <c r="L222">
        <f ca="1"/>
        <v>0.39886205901756</v>
      </c>
    </row>
    <row r="223" spans="2:12" x14ac:dyDescent="0.35">
      <c r="B223">
        <v>0.21299999999999999</v>
      </c>
      <c r="C223">
        <f ca="1"/>
        <v>2.8242143674966854E-2</v>
      </c>
      <c r="D223">
        <f ca="1"/>
        <v>1</v>
      </c>
      <c r="E223">
        <f ca="1"/>
        <v>100.13893930484113</v>
      </c>
      <c r="F223">
        <f ca="1"/>
        <v>100.13893930484113</v>
      </c>
      <c r="G223">
        <f ca="1"/>
        <v>-1</v>
      </c>
      <c r="H223">
        <f ca="1"/>
        <v>5.4450182831782854</v>
      </c>
      <c r="I223">
        <f ca="1"/>
        <v>0</v>
      </c>
      <c r="J223">
        <f ca="1"/>
        <v>5.4450182831782854</v>
      </c>
      <c r="K223">
        <f ca="1"/>
        <v>0</v>
      </c>
      <c r="L223">
        <f ca="1"/>
        <v>0</v>
      </c>
    </row>
    <row r="224" spans="2:12" x14ac:dyDescent="0.35">
      <c r="B224">
        <v>0.214</v>
      </c>
      <c r="C224">
        <f ca="1"/>
        <v>5.649892958618849E-2</v>
      </c>
      <c r="D224">
        <f ca="1"/>
        <v>1</v>
      </c>
      <c r="E224">
        <f ca="1"/>
        <v>100.70444823685125</v>
      </c>
      <c r="F224">
        <f ca="1"/>
        <v>0</v>
      </c>
      <c r="G224">
        <f ca="1"/>
        <v>0</v>
      </c>
      <c r="H224">
        <f ca="1"/>
        <v>5.4450182831782854</v>
      </c>
      <c r="I224">
        <f ca="1"/>
        <v>0</v>
      </c>
      <c r="J224">
        <f ca="1"/>
        <v>5.4450182831782854</v>
      </c>
      <c r="K224">
        <f ca="1"/>
        <v>0</v>
      </c>
      <c r="L224">
        <f ca="1"/>
        <v>0</v>
      </c>
    </row>
    <row r="225" spans="2:12" x14ac:dyDescent="0.35">
      <c r="B225">
        <v>0.215</v>
      </c>
      <c r="C225">
        <f ca="1"/>
        <v>9.8794664444526614E-2</v>
      </c>
      <c r="D225">
        <f ca="1"/>
        <v>1</v>
      </c>
      <c r="E225">
        <f ca="1"/>
        <v>101.55790403046345</v>
      </c>
      <c r="F225">
        <f ca="1"/>
        <v>0</v>
      </c>
      <c r="G225">
        <f ca="1"/>
        <v>0</v>
      </c>
      <c r="H225">
        <f ca="1"/>
        <v>5.4450182831782854</v>
      </c>
      <c r="I225">
        <f ca="1"/>
        <v>0</v>
      </c>
      <c r="J225">
        <f ca="1"/>
        <v>5.4450182831782854</v>
      </c>
      <c r="K225">
        <f ca="1"/>
        <v>0</v>
      </c>
      <c r="L225">
        <f ca="1"/>
        <v>0</v>
      </c>
    </row>
    <row r="226" spans="2:12" x14ac:dyDescent="0.35">
      <c r="B226">
        <v>0.216</v>
      </c>
      <c r="C226">
        <f ca="1"/>
        <v>0.13061701084542612</v>
      </c>
      <c r="D226">
        <f ca="1"/>
        <v>1</v>
      </c>
      <c r="E226">
        <f ca="1"/>
        <v>102.20428333136734</v>
      </c>
      <c r="F226">
        <f ca="1"/>
        <v>0</v>
      </c>
      <c r="G226">
        <f ca="1"/>
        <v>0</v>
      </c>
      <c r="H226">
        <f ca="1"/>
        <v>5.4450182831782854</v>
      </c>
      <c r="I226">
        <f ca="1"/>
        <v>0</v>
      </c>
      <c r="J226">
        <f ca="1"/>
        <v>5.4450182831782854</v>
      </c>
      <c r="K226">
        <f ca="1"/>
        <v>0</v>
      </c>
      <c r="L226">
        <f ca="1"/>
        <v>0</v>
      </c>
    </row>
    <row r="227" spans="2:12" x14ac:dyDescent="0.35">
      <c r="B227">
        <v>0.217</v>
      </c>
      <c r="C227">
        <f ca="1"/>
        <v>0.14541239363870689</v>
      </c>
      <c r="D227">
        <f ca="1"/>
        <v>1</v>
      </c>
      <c r="E227">
        <f ca="1"/>
        <v>102.5051114065224</v>
      </c>
      <c r="F227">
        <f ca="1"/>
        <v>0</v>
      </c>
      <c r="G227">
        <f ca="1"/>
        <v>0</v>
      </c>
      <c r="H227">
        <f ca="1"/>
        <v>5.4450182831782854</v>
      </c>
      <c r="I227">
        <f ca="1"/>
        <v>0</v>
      </c>
      <c r="J227">
        <f ca="1"/>
        <v>5.4450182831782854</v>
      </c>
      <c r="K227">
        <f ca="1"/>
        <v>0</v>
      </c>
      <c r="L227">
        <f ca="1"/>
        <v>0</v>
      </c>
    </row>
    <row r="228" spans="2:12" x14ac:dyDescent="0.35">
      <c r="B228">
        <v>0.218</v>
      </c>
      <c r="C228">
        <f ca="1"/>
        <v>0.18370717685434057</v>
      </c>
      <c r="D228">
        <f ca="1"/>
        <v>1</v>
      </c>
      <c r="E228">
        <f ca="1"/>
        <v>103.29114191242381</v>
      </c>
      <c r="F228">
        <f ca="1"/>
        <v>0</v>
      </c>
      <c r="G228">
        <f ca="1"/>
        <v>0</v>
      </c>
      <c r="H228">
        <f ca="1"/>
        <v>5.4450182831782854</v>
      </c>
      <c r="I228">
        <f ca="1"/>
        <v>0</v>
      </c>
      <c r="J228">
        <f ca="1"/>
        <v>5.4450182831782854</v>
      </c>
      <c r="K228">
        <f ca="1"/>
        <v>0</v>
      </c>
      <c r="L228">
        <f ca="1"/>
        <v>0</v>
      </c>
    </row>
    <row r="229" spans="2:12" x14ac:dyDescent="0.35">
      <c r="B229">
        <v>0.219</v>
      </c>
      <c r="C229">
        <f ca="1"/>
        <v>0.1909904713013407</v>
      </c>
      <c r="D229">
        <f ca="1"/>
        <v>1</v>
      </c>
      <c r="E229">
        <f ca="1"/>
        <v>103.4396426965924</v>
      </c>
      <c r="F229">
        <f ca="1"/>
        <v>0</v>
      </c>
      <c r="G229">
        <f ca="1"/>
        <v>0</v>
      </c>
      <c r="H229">
        <f ca="1"/>
        <v>5.4450182831782854</v>
      </c>
      <c r="I229">
        <f ca="1"/>
        <v>0</v>
      </c>
      <c r="J229">
        <f ca="1"/>
        <v>5.4450182831782854</v>
      </c>
      <c r="K229">
        <f ca="1"/>
        <v>0</v>
      </c>
      <c r="L229">
        <f ca="1"/>
        <v>0</v>
      </c>
    </row>
    <row r="230" spans="2:12" x14ac:dyDescent="0.35">
      <c r="B230">
        <v>0.22</v>
      </c>
      <c r="C230">
        <f ca="1"/>
        <v>0.18704123436179734</v>
      </c>
      <c r="D230">
        <f ca="1"/>
        <v>1</v>
      </c>
      <c r="E230">
        <f ca="1"/>
        <v>103.3559062835826</v>
      </c>
      <c r="F230">
        <f ca="1"/>
        <v>0</v>
      </c>
      <c r="G230">
        <f ca="1"/>
        <v>0</v>
      </c>
      <c r="H230">
        <f ca="1"/>
        <v>5.4450182831782854</v>
      </c>
      <c r="I230">
        <f ca="1"/>
        <v>0</v>
      </c>
      <c r="J230">
        <f ca="1"/>
        <v>5.4450182831782854</v>
      </c>
      <c r="K230">
        <f ca="1"/>
        <v>0</v>
      </c>
      <c r="L230">
        <f ca="1"/>
        <v>0</v>
      </c>
    </row>
    <row r="231" spans="2:12" x14ac:dyDescent="0.35">
      <c r="B231">
        <v>0.221</v>
      </c>
      <c r="C231">
        <f ca="1"/>
        <v>0.18865038028980075</v>
      </c>
      <c r="D231">
        <f ca="1"/>
        <v>1</v>
      </c>
      <c r="E231">
        <f ca="1"/>
        <v>103.38710682098274</v>
      </c>
      <c r="F231">
        <f ca="1"/>
        <v>0</v>
      </c>
      <c r="G231">
        <f ca="1"/>
        <v>0</v>
      </c>
      <c r="H231">
        <f ca="1"/>
        <v>5.4450182831782854</v>
      </c>
      <c r="I231">
        <f ca="1"/>
        <v>0</v>
      </c>
      <c r="J231">
        <f ca="1"/>
        <v>5.4450182831782854</v>
      </c>
      <c r="K231">
        <f ca="1"/>
        <v>0</v>
      </c>
      <c r="L231">
        <f ca="1"/>
        <v>0</v>
      </c>
    </row>
    <row r="232" spans="2:12" x14ac:dyDescent="0.35">
      <c r="B232">
        <v>0.222</v>
      </c>
      <c r="C232">
        <f ca="1"/>
        <v>0.15069984321087543</v>
      </c>
      <c r="D232">
        <f ca="1"/>
        <v>1</v>
      </c>
      <c r="E232">
        <f ca="1"/>
        <v>102.6033060195459</v>
      </c>
      <c r="F232">
        <f ca="1"/>
        <v>0</v>
      </c>
      <c r="G232">
        <f ca="1"/>
        <v>0</v>
      </c>
      <c r="H232">
        <f ca="1"/>
        <v>5.4450182831782854</v>
      </c>
      <c r="I232">
        <f ca="1"/>
        <v>0</v>
      </c>
      <c r="J232">
        <f ca="1"/>
        <v>5.4450182831782854</v>
      </c>
      <c r="K232">
        <f ca="1"/>
        <v>0</v>
      </c>
      <c r="L232">
        <f ca="1"/>
        <v>0</v>
      </c>
    </row>
    <row r="233" spans="2:12" x14ac:dyDescent="0.35">
      <c r="B233">
        <v>0.223</v>
      </c>
      <c r="C233">
        <f ca="1"/>
        <v>0.14561867331185188</v>
      </c>
      <c r="D233">
        <f ca="1"/>
        <v>1</v>
      </c>
      <c r="E233">
        <f ca="1"/>
        <v>102.49704005511863</v>
      </c>
      <c r="F233">
        <f ca="1"/>
        <v>0</v>
      </c>
      <c r="G233">
        <f ca="1"/>
        <v>0</v>
      </c>
      <c r="H233">
        <f ca="1"/>
        <v>5.4450182831782854</v>
      </c>
      <c r="I233">
        <f ca="1"/>
        <v>0</v>
      </c>
      <c r="J233">
        <f ca="1"/>
        <v>5.4450182831782854</v>
      </c>
      <c r="K233">
        <f ca="1"/>
        <v>0</v>
      </c>
      <c r="L233">
        <f ca="1"/>
        <v>0</v>
      </c>
    </row>
    <row r="234" spans="2:12" x14ac:dyDescent="0.35">
      <c r="B234">
        <v>0.224</v>
      </c>
      <c r="C234">
        <f ca="1"/>
        <v>0.1461923966178591</v>
      </c>
      <c r="D234">
        <f ca="1"/>
        <v>1</v>
      </c>
      <c r="E234">
        <f ca="1"/>
        <v>102.50675156250229</v>
      </c>
      <c r="F234">
        <f ca="1"/>
        <v>0</v>
      </c>
      <c r="G234">
        <f ca="1"/>
        <v>0</v>
      </c>
      <c r="H234">
        <f ca="1"/>
        <v>5.4450182831782854</v>
      </c>
      <c r="I234">
        <f ca="1"/>
        <v>0</v>
      </c>
      <c r="J234">
        <f ca="1"/>
        <v>5.4450182831782854</v>
      </c>
      <c r="K234">
        <f ca="1"/>
        <v>0</v>
      </c>
      <c r="L234">
        <f ca="1"/>
        <v>0</v>
      </c>
    </row>
    <row r="235" spans="2:12" x14ac:dyDescent="0.35">
      <c r="B235">
        <v>0.22500000000000001</v>
      </c>
      <c r="C235">
        <f ca="1"/>
        <v>0.19148536006869002</v>
      </c>
      <c r="D235">
        <f ca="1"/>
        <v>1</v>
      </c>
      <c r="E235">
        <f ca="1"/>
        <v>103.43746818577928</v>
      </c>
      <c r="F235">
        <f ca="1"/>
        <v>0</v>
      </c>
      <c r="G235">
        <f ca="1"/>
        <v>0</v>
      </c>
      <c r="H235">
        <f ca="1"/>
        <v>5.4450182831782854</v>
      </c>
      <c r="I235">
        <f ca="1"/>
        <v>0</v>
      </c>
      <c r="J235">
        <f ca="1"/>
        <v>5.4450182831782854</v>
      </c>
      <c r="K235">
        <f ca="1"/>
        <v>0</v>
      </c>
      <c r="L235">
        <f ca="1"/>
        <v>0</v>
      </c>
    </row>
    <row r="236" spans="2:12" x14ac:dyDescent="0.35">
      <c r="B236">
        <v>0.22600000000000001</v>
      </c>
      <c r="C236">
        <f ca="1"/>
        <v>0.16813728536008904</v>
      </c>
      <c r="D236">
        <f ca="1"/>
        <v>1</v>
      </c>
      <c r="E236">
        <f ca="1"/>
        <v>102.95352193715235</v>
      </c>
      <c r="F236">
        <f ca="1"/>
        <v>0</v>
      </c>
      <c r="G236">
        <f ca="1"/>
        <v>0</v>
      </c>
      <c r="H236">
        <f ca="1"/>
        <v>5.4450182831782854</v>
      </c>
      <c r="I236">
        <f ca="1"/>
        <v>0</v>
      </c>
      <c r="J236">
        <f ca="1"/>
        <v>5.4450182831782854</v>
      </c>
      <c r="K236">
        <f ca="1"/>
        <v>0</v>
      </c>
      <c r="L236">
        <f ca="1"/>
        <v>0</v>
      </c>
    </row>
    <row r="237" spans="2:12" x14ac:dyDescent="0.35">
      <c r="B237">
        <v>0.22700000000000001</v>
      </c>
      <c r="C237">
        <f ca="1"/>
        <v>0.15099150104950387</v>
      </c>
      <c r="D237">
        <f ca="1"/>
        <v>1</v>
      </c>
      <c r="E237">
        <f ca="1"/>
        <v>102.59903078970957</v>
      </c>
      <c r="F237">
        <f ca="1"/>
        <v>0</v>
      </c>
      <c r="G237">
        <f ca="1"/>
        <v>0</v>
      </c>
      <c r="H237">
        <f ca="1"/>
        <v>5.4450182831782854</v>
      </c>
      <c r="I237">
        <f ca="1"/>
        <v>0</v>
      </c>
      <c r="J237">
        <f ca="1"/>
        <v>5.4450182831782854</v>
      </c>
      <c r="K237">
        <f ca="1"/>
        <v>0</v>
      </c>
      <c r="L237">
        <f ca="1"/>
        <v>0</v>
      </c>
    </row>
    <row r="238" spans="2:12" x14ac:dyDescent="0.35">
      <c r="B238">
        <v>0.22800000000000001</v>
      </c>
      <c r="C238">
        <f ca="1"/>
        <v>0.17783094469161204</v>
      </c>
      <c r="D238">
        <f ca="1"/>
        <v>1</v>
      </c>
      <c r="E238">
        <f ca="1"/>
        <v>103.14918877064412</v>
      </c>
      <c r="F238">
        <f ca="1"/>
        <v>0</v>
      </c>
      <c r="G238">
        <f ca="1"/>
        <v>0</v>
      </c>
      <c r="H238">
        <f ca="1"/>
        <v>5.4450182831782854</v>
      </c>
      <c r="I238">
        <f ca="1"/>
        <v>0</v>
      </c>
      <c r="J238">
        <f ca="1"/>
        <v>5.4450182831782854</v>
      </c>
      <c r="K238">
        <f ca="1"/>
        <v>0</v>
      </c>
      <c r="L238">
        <f ca="1"/>
        <v>0</v>
      </c>
    </row>
    <row r="239" spans="2:12" x14ac:dyDescent="0.35">
      <c r="B239">
        <v>0.22900000000000001</v>
      </c>
      <c r="C239">
        <f ca="1"/>
        <v>0.20371869390956174</v>
      </c>
      <c r="D239">
        <f ca="1"/>
        <v>1</v>
      </c>
      <c r="E239">
        <f ca="1"/>
        <v>103.68256011538222</v>
      </c>
      <c r="F239">
        <f ca="1"/>
        <v>0</v>
      </c>
      <c r="G239">
        <f ca="1"/>
        <v>0</v>
      </c>
      <c r="H239">
        <f ca="1"/>
        <v>5.4450182831782854</v>
      </c>
      <c r="I239">
        <f ca="1"/>
        <v>0</v>
      </c>
      <c r="J239">
        <f ca="1"/>
        <v>5.4450182831782854</v>
      </c>
      <c r="K239">
        <f ca="1"/>
        <v>0</v>
      </c>
      <c r="L239">
        <f ca="1"/>
        <v>0</v>
      </c>
    </row>
    <row r="240" spans="2:12" x14ac:dyDescent="0.35">
      <c r="B240">
        <v>0.23</v>
      </c>
      <c r="C240">
        <f ca="1"/>
        <v>0.20810714094605384</v>
      </c>
      <c r="D240">
        <f ca="1"/>
        <v>1</v>
      </c>
      <c r="E240">
        <f ca="1"/>
        <v>103.77152569587894</v>
      </c>
      <c r="F240">
        <f ca="1"/>
        <v>0</v>
      </c>
      <c r="G240">
        <f ca="1"/>
        <v>0</v>
      </c>
      <c r="H240">
        <f ca="1"/>
        <v>5.4450182831782854</v>
      </c>
      <c r="I240">
        <f ca="1"/>
        <v>0</v>
      </c>
      <c r="J240">
        <f ca="1"/>
        <v>5.4450182831782854</v>
      </c>
      <c r="K240">
        <f ca="1"/>
        <v>0</v>
      </c>
      <c r="L240">
        <f ca="1"/>
        <v>0</v>
      </c>
    </row>
    <row r="241" spans="2:12" x14ac:dyDescent="0.35">
      <c r="B241">
        <v>0.23100000000000001</v>
      </c>
      <c r="C241">
        <f ca="1"/>
        <v>0.20135069215426415</v>
      </c>
      <c r="D241">
        <f ca="1"/>
        <v>1</v>
      </c>
      <c r="E241">
        <f ca="1"/>
        <v>103.62932238873601</v>
      </c>
      <c r="F241">
        <f ca="1"/>
        <v>0</v>
      </c>
      <c r="G241">
        <f ca="1"/>
        <v>0</v>
      </c>
      <c r="H241">
        <f ca="1"/>
        <v>5.4450182831782854</v>
      </c>
      <c r="I241">
        <f ca="1"/>
        <v>0</v>
      </c>
      <c r="J241">
        <f ca="1"/>
        <v>5.4450182831782854</v>
      </c>
      <c r="K241">
        <f ca="1"/>
        <v>0</v>
      </c>
      <c r="L241">
        <f ca="1"/>
        <v>0</v>
      </c>
    </row>
    <row r="242" spans="2:12" x14ac:dyDescent="0.35">
      <c r="B242">
        <v>0.23200000000000001</v>
      </c>
      <c r="C242">
        <f ca="1"/>
        <v>0.26012485282559505</v>
      </c>
      <c r="D242">
        <f ca="1"/>
        <v>1</v>
      </c>
      <c r="E242">
        <f ca="1"/>
        <v>104.85255828788374</v>
      </c>
      <c r="F242">
        <f ca="1"/>
        <v>0</v>
      </c>
      <c r="G242">
        <f ca="1"/>
        <v>0</v>
      </c>
      <c r="H242">
        <f ca="1"/>
        <v>5.4450182831782854</v>
      </c>
      <c r="I242">
        <f ca="1"/>
        <v>0</v>
      </c>
      <c r="J242">
        <f ca="1"/>
        <v>5.4450182831782854</v>
      </c>
      <c r="K242">
        <f ca="1"/>
        <v>0</v>
      </c>
      <c r="L242">
        <f ca="1"/>
        <v>0</v>
      </c>
    </row>
    <row r="243" spans="2:12" x14ac:dyDescent="0.35">
      <c r="B243">
        <v>0.23300000000000001</v>
      </c>
      <c r="C243">
        <f ca="1"/>
        <v>0.27980158510622066</v>
      </c>
      <c r="D243">
        <f ca="1"/>
        <v>1</v>
      </c>
      <c r="E243">
        <f ca="1"/>
        <v>105.26389712193182</v>
      </c>
      <c r="F243">
        <f ca="1"/>
        <v>0</v>
      </c>
      <c r="G243">
        <f ca="1"/>
        <v>0</v>
      </c>
      <c r="H243">
        <f ca="1"/>
        <v>5.4450182831782854</v>
      </c>
      <c r="I243">
        <f ca="1"/>
        <v>0</v>
      </c>
      <c r="J243">
        <f ca="1"/>
        <v>5.4450182831782854</v>
      </c>
      <c r="K243">
        <f ca="1"/>
        <v>0</v>
      </c>
      <c r="L243">
        <f ca="1"/>
        <v>0</v>
      </c>
    </row>
    <row r="244" spans="2:12" x14ac:dyDescent="0.35">
      <c r="B244">
        <v>0.23400000000000001</v>
      </c>
      <c r="C244">
        <f ca="1"/>
        <v>0.22926123622967862</v>
      </c>
      <c r="D244">
        <f ca="1"/>
        <v>1</v>
      </c>
      <c r="E244">
        <f ca="1"/>
        <v>104.20315771576338</v>
      </c>
      <c r="F244">
        <f ca="1"/>
        <v>0</v>
      </c>
      <c r="G244">
        <f ca="1"/>
        <v>0</v>
      </c>
      <c r="H244">
        <f ca="1"/>
        <v>5.4450182831782854</v>
      </c>
      <c r="I244">
        <f ca="1"/>
        <v>0</v>
      </c>
      <c r="J244">
        <f ca="1"/>
        <v>5.4450182831782854</v>
      </c>
      <c r="K244">
        <f ca="1"/>
        <v>0</v>
      </c>
      <c r="L244">
        <f ca="1"/>
        <v>0</v>
      </c>
    </row>
    <row r="245" spans="2:12" x14ac:dyDescent="0.35">
      <c r="B245">
        <v>0.23500000000000001</v>
      </c>
      <c r="C245">
        <f ca="1"/>
        <v>0.22477665801025321</v>
      </c>
      <c r="D245">
        <f ca="1"/>
        <v>1</v>
      </c>
      <c r="E245">
        <f ca="1"/>
        <v>104.1076560005109</v>
      </c>
      <c r="F245">
        <f ca="1"/>
        <v>0</v>
      </c>
      <c r="G245">
        <f ca="1"/>
        <v>0</v>
      </c>
      <c r="H245">
        <f ca="1"/>
        <v>5.4450182831782854</v>
      </c>
      <c r="I245">
        <f ca="1"/>
        <v>0</v>
      </c>
      <c r="J245">
        <f ca="1"/>
        <v>5.4450182831782854</v>
      </c>
      <c r="K245">
        <f ca="1"/>
        <v>0</v>
      </c>
      <c r="L245">
        <f ca="1"/>
        <v>0</v>
      </c>
    </row>
    <row r="246" spans="2:12" x14ac:dyDescent="0.35">
      <c r="B246">
        <v>0.23600000000000002</v>
      </c>
      <c r="C246">
        <f ca="1"/>
        <v>0.24237466128293866</v>
      </c>
      <c r="D246">
        <f ca="1"/>
        <v>1</v>
      </c>
      <c r="E246">
        <f ca="1"/>
        <v>104.47262947981415</v>
      </c>
      <c r="F246">
        <f ca="1"/>
        <v>0</v>
      </c>
      <c r="G246">
        <f ca="1"/>
        <v>0</v>
      </c>
      <c r="H246">
        <f ca="1"/>
        <v>5.4450182831782854</v>
      </c>
      <c r="I246">
        <f ca="1"/>
        <v>0</v>
      </c>
      <c r="J246">
        <f ca="1"/>
        <v>5.4450182831782854</v>
      </c>
      <c r="K246">
        <f ca="1"/>
        <v>0</v>
      </c>
      <c r="L246">
        <f ca="1"/>
        <v>0</v>
      </c>
    </row>
    <row r="247" spans="2:12" x14ac:dyDescent="0.35">
      <c r="B247">
        <v>0.23700000000000002</v>
      </c>
      <c r="C247">
        <f ca="1"/>
        <v>0.22245112696680097</v>
      </c>
      <c r="D247">
        <f ca="1"/>
        <v>1</v>
      </c>
      <c r="E247">
        <f ca="1"/>
        <v>104.05508385546899</v>
      </c>
      <c r="F247">
        <f ca="1"/>
        <v>0</v>
      </c>
      <c r="G247">
        <f ca="1"/>
        <v>0</v>
      </c>
      <c r="H247">
        <f ca="1"/>
        <v>5.4450182831782854</v>
      </c>
      <c r="I247">
        <f ca="1"/>
        <v>0</v>
      </c>
      <c r="J247">
        <f ca="1"/>
        <v>5.4450182831782854</v>
      </c>
      <c r="K247">
        <f ca="1"/>
        <v>0</v>
      </c>
      <c r="L247">
        <f ca="1"/>
        <v>0</v>
      </c>
    </row>
    <row r="248" spans="2:12" x14ac:dyDescent="0.35">
      <c r="B248">
        <v>0.23800000000000002</v>
      </c>
      <c r="C248">
        <f ca="1"/>
        <v>0.24936324857541448</v>
      </c>
      <c r="D248">
        <f ca="1"/>
        <v>1</v>
      </c>
      <c r="E248">
        <f ca="1"/>
        <v>104.61457012863787</v>
      </c>
      <c r="F248">
        <f ca="1"/>
        <v>0</v>
      </c>
      <c r="G248">
        <f ca="1"/>
        <v>0</v>
      </c>
      <c r="H248">
        <f ca="1"/>
        <v>5.4450182831782854</v>
      </c>
      <c r="I248">
        <f ca="1"/>
        <v>0</v>
      </c>
      <c r="J248">
        <f ca="1"/>
        <v>5.4450182831782854</v>
      </c>
      <c r="K248">
        <f ca="1"/>
        <v>0</v>
      </c>
      <c r="L248">
        <f ca="1"/>
        <v>0</v>
      </c>
    </row>
    <row r="249" spans="2:12" x14ac:dyDescent="0.35">
      <c r="B249">
        <v>0.23900000000000002</v>
      </c>
      <c r="C249">
        <f ca="1"/>
        <v>0.25346905340882653</v>
      </c>
      <c r="D249">
        <f ca="1"/>
        <v>1</v>
      </c>
      <c r="E249">
        <f ca="1"/>
        <v>104.69841682163519</v>
      </c>
      <c r="F249">
        <f ca="1"/>
        <v>0</v>
      </c>
      <c r="G249">
        <f ca="1"/>
        <v>0</v>
      </c>
      <c r="H249">
        <f ca="1"/>
        <v>5.4450182831782854</v>
      </c>
      <c r="I249">
        <f ca="1"/>
        <v>0</v>
      </c>
      <c r="J249">
        <f ca="1"/>
        <v>5.4450182831782854</v>
      </c>
      <c r="K249">
        <f ca="1"/>
        <v>0</v>
      </c>
      <c r="L249">
        <f ca="1"/>
        <v>0</v>
      </c>
    </row>
    <row r="250" spans="2:12" x14ac:dyDescent="0.35">
      <c r="B250">
        <v>0.24</v>
      </c>
      <c r="C250">
        <f ca="1"/>
        <v>0.25405849124535884</v>
      </c>
      <c r="D250">
        <f ca="1"/>
        <v>1</v>
      </c>
      <c r="E250">
        <f ca="1"/>
        <v>104.7086659965839</v>
      </c>
      <c r="F250">
        <f ca="1"/>
        <v>0</v>
      </c>
      <c r="G250">
        <f ca="1"/>
        <v>0</v>
      </c>
      <c r="H250">
        <f ca="1"/>
        <v>5.4450182831782854</v>
      </c>
      <c r="I250">
        <f ca="1"/>
        <v>0</v>
      </c>
      <c r="J250">
        <f ca="1"/>
        <v>5.4450182831782854</v>
      </c>
      <c r="K250">
        <f ca="1"/>
        <v>0</v>
      </c>
      <c r="L250">
        <f ca="1"/>
        <v>0</v>
      </c>
    </row>
    <row r="251" spans="2:12" x14ac:dyDescent="0.35">
      <c r="B251">
        <v>0.24099999999999999</v>
      </c>
      <c r="C251">
        <f ca="1"/>
        <v>0.25028675701083164</v>
      </c>
      <c r="D251">
        <f ca="1"/>
        <v>1</v>
      </c>
      <c r="E251">
        <f ca="1"/>
        <v>104.62761655546522</v>
      </c>
      <c r="F251">
        <f ca="1"/>
        <v>0</v>
      </c>
      <c r="G251">
        <f ca="1"/>
        <v>0</v>
      </c>
      <c r="H251">
        <f ca="1"/>
        <v>5.4450182831782854</v>
      </c>
      <c r="I251">
        <f ca="1"/>
        <v>0</v>
      </c>
      <c r="J251">
        <f ca="1"/>
        <v>5.4450182831782854</v>
      </c>
      <c r="K251">
        <f ca="1"/>
        <v>0</v>
      </c>
      <c r="L251">
        <f ca="1"/>
        <v>0</v>
      </c>
    </row>
    <row r="252" spans="2:12" x14ac:dyDescent="0.35">
      <c r="B252">
        <v>0.24199999999999999</v>
      </c>
      <c r="C252">
        <f ca="1"/>
        <v>0.25070890648139482</v>
      </c>
      <c r="D252">
        <f ca="1"/>
        <v>1</v>
      </c>
      <c r="E252">
        <f ca="1"/>
        <v>104.63435791889148</v>
      </c>
      <c r="F252">
        <f ca="1"/>
        <v>0</v>
      </c>
      <c r="G252">
        <f ca="1"/>
        <v>0</v>
      </c>
      <c r="H252">
        <f ca="1"/>
        <v>5.4450182831782854</v>
      </c>
      <c r="I252">
        <f ca="1"/>
        <v>0</v>
      </c>
      <c r="J252">
        <f ca="1"/>
        <v>5.4450182831782854</v>
      </c>
      <c r="K252">
        <f ca="1"/>
        <v>0</v>
      </c>
      <c r="L252">
        <f ca="1"/>
        <v>0</v>
      </c>
    </row>
    <row r="253" spans="2:12" x14ac:dyDescent="0.35">
      <c r="B253">
        <v>0.24299999999999999</v>
      </c>
      <c r="C253">
        <f ca="1"/>
        <v>0.23589902864519452</v>
      </c>
      <c r="D253">
        <f ca="1"/>
        <v>1</v>
      </c>
      <c r="E253">
        <f ca="1"/>
        <v>104.32280557169203</v>
      </c>
      <c r="F253">
        <f ca="1"/>
        <v>0</v>
      </c>
      <c r="G253">
        <f ca="1"/>
        <v>0</v>
      </c>
      <c r="H253">
        <f ca="1"/>
        <v>5.4450182831782854</v>
      </c>
      <c r="I253">
        <f ca="1"/>
        <v>0</v>
      </c>
      <c r="J253">
        <f ca="1"/>
        <v>5.4450182831782854</v>
      </c>
      <c r="K253">
        <f ca="1"/>
        <v>0</v>
      </c>
      <c r="L253">
        <f ca="1"/>
        <v>0</v>
      </c>
    </row>
    <row r="254" spans="2:12" x14ac:dyDescent="0.35">
      <c r="B254">
        <v>0.24399999999999999</v>
      </c>
      <c r="C254">
        <f ca="1"/>
        <v>0.26898068622655391</v>
      </c>
      <c r="D254">
        <f ca="1"/>
        <v>1</v>
      </c>
      <c r="E254">
        <f ca="1"/>
        <v>105.01322800613609</v>
      </c>
      <c r="F254">
        <f ca="1"/>
        <v>0</v>
      </c>
      <c r="G254">
        <f ca="1"/>
        <v>0</v>
      </c>
      <c r="H254">
        <f ca="1"/>
        <v>5.4450182831782854</v>
      </c>
      <c r="I254">
        <f ca="1"/>
        <v>0</v>
      </c>
      <c r="J254">
        <f ca="1"/>
        <v>5.4450182831782854</v>
      </c>
      <c r="K254">
        <f ca="1"/>
        <v>0</v>
      </c>
      <c r="L254">
        <f ca="1"/>
        <v>0</v>
      </c>
    </row>
    <row r="255" spans="2:12" x14ac:dyDescent="0.35">
      <c r="B255">
        <v>0.245</v>
      </c>
      <c r="C255">
        <f ca="1"/>
        <v>0.33087640087593251</v>
      </c>
      <c r="D255">
        <f ca="1"/>
        <v>1</v>
      </c>
      <c r="E255">
        <f ca="1"/>
        <v>106.31915494629953</v>
      </c>
      <c r="F255">
        <f ca="1"/>
        <v>0</v>
      </c>
      <c r="G255">
        <f ca="1"/>
        <v>0</v>
      </c>
      <c r="H255">
        <f ca="1"/>
        <v>5.4450182831782854</v>
      </c>
      <c r="I255">
        <f ca="1"/>
        <v>0</v>
      </c>
      <c r="J255">
        <f ca="1"/>
        <v>5.4450182831782854</v>
      </c>
      <c r="K255">
        <f ca="1"/>
        <v>0</v>
      </c>
      <c r="L255">
        <f ca="1"/>
        <v>0</v>
      </c>
    </row>
    <row r="256" spans="2:12" x14ac:dyDescent="0.35">
      <c r="B256">
        <v>0.246</v>
      </c>
      <c r="C256">
        <f ca="1"/>
        <v>0.37945562854570908</v>
      </c>
      <c r="D256">
        <f ca="1"/>
        <v>1</v>
      </c>
      <c r="E256">
        <f ca="1"/>
        <v>107.35502274193132</v>
      </c>
      <c r="F256">
        <f ca="1"/>
        <v>0</v>
      </c>
      <c r="G256">
        <f ca="1"/>
        <v>0</v>
      </c>
      <c r="H256">
        <f ca="1"/>
        <v>5.4450182831782854</v>
      </c>
      <c r="I256">
        <f ca="1"/>
        <v>0</v>
      </c>
      <c r="J256">
        <f ca="1"/>
        <v>5.4450182831782854</v>
      </c>
      <c r="K256">
        <f ca="1"/>
        <v>0</v>
      </c>
      <c r="L256">
        <f ca="1"/>
        <v>0</v>
      </c>
    </row>
    <row r="257" spans="2:12" x14ac:dyDescent="0.35">
      <c r="B257">
        <v>0.247</v>
      </c>
      <c r="C257">
        <f ca="1"/>
        <v>0.34089434659548512</v>
      </c>
      <c r="D257">
        <f ca="1"/>
        <v>1</v>
      </c>
      <c r="E257">
        <f ca="1"/>
        <v>106.52812718540766</v>
      </c>
      <c r="F257">
        <f ca="1"/>
        <v>0</v>
      </c>
      <c r="G257">
        <f ca="1"/>
        <v>0</v>
      </c>
      <c r="H257">
        <f ca="1"/>
        <v>5.4450182831782854</v>
      </c>
      <c r="I257">
        <f ca="1"/>
        <v>0</v>
      </c>
      <c r="J257">
        <f ca="1"/>
        <v>5.4450182831782854</v>
      </c>
      <c r="K257">
        <f ca="1"/>
        <v>0</v>
      </c>
      <c r="L257">
        <f ca="1"/>
        <v>0</v>
      </c>
    </row>
    <row r="258" spans="2:12" x14ac:dyDescent="0.35">
      <c r="B258">
        <v>0.248</v>
      </c>
      <c r="C258">
        <f ca="1"/>
        <v>0.33513675854968455</v>
      </c>
      <c r="D258">
        <f ca="1"/>
        <v>1</v>
      </c>
      <c r="E258">
        <f ca="1"/>
        <v>106.40340068245149</v>
      </c>
      <c r="F258">
        <f ca="1"/>
        <v>0</v>
      </c>
      <c r="G258">
        <f ca="1"/>
        <v>0</v>
      </c>
      <c r="H258">
        <f ca="1"/>
        <v>5.4450182831782854</v>
      </c>
      <c r="I258">
        <f ca="1"/>
        <v>0</v>
      </c>
      <c r="J258">
        <f ca="1"/>
        <v>5.4450182831782854</v>
      </c>
      <c r="K258">
        <f ca="1"/>
        <v>0</v>
      </c>
      <c r="L258">
        <f ca="1"/>
        <v>0</v>
      </c>
    </row>
    <row r="259" spans="2:12" x14ac:dyDescent="0.35">
      <c r="B259">
        <v>0.249</v>
      </c>
      <c r="C259">
        <f ca="1"/>
        <v>0.29029583895449634</v>
      </c>
      <c r="D259">
        <f ca="1"/>
        <v>1</v>
      </c>
      <c r="E259">
        <f ca="1"/>
        <v>105.45131252894456</v>
      </c>
      <c r="F259">
        <f ca="1"/>
        <v>0</v>
      </c>
      <c r="G259">
        <f ca="1"/>
        <v>0</v>
      </c>
      <c r="H259">
        <f ca="1"/>
        <v>5.4450182831782854</v>
      </c>
      <c r="I259">
        <f ca="1"/>
        <v>0</v>
      </c>
      <c r="J259">
        <f ca="1"/>
        <v>5.4450182831782854</v>
      </c>
      <c r="K259">
        <f ca="1"/>
        <v>0</v>
      </c>
      <c r="L259">
        <f ca="1"/>
        <v>0</v>
      </c>
    </row>
    <row r="260" spans="2:12" x14ac:dyDescent="0.35">
      <c r="B260">
        <v>0.25</v>
      </c>
      <c r="C260">
        <f ca="1"/>
        <v>0.2971667234067813</v>
      </c>
      <c r="D260">
        <f ca="1"/>
        <v>1</v>
      </c>
      <c r="E260">
        <f ca="1"/>
        <v>105.5942089911461</v>
      </c>
      <c r="F260">
        <f ca="1"/>
        <v>-5.4450182831782854</v>
      </c>
      <c r="G260">
        <f ca="1"/>
        <v>0</v>
      </c>
      <c r="H260">
        <f ca="1"/>
        <v>0</v>
      </c>
      <c r="I260">
        <f ca="1"/>
        <v>0</v>
      </c>
      <c r="J260">
        <f ca="1"/>
        <v>0</v>
      </c>
      <c r="K260">
        <f ca="1"/>
        <v>5.4450182831782854</v>
      </c>
      <c r="L260">
        <f ca="1"/>
        <v>0</v>
      </c>
    </row>
  </sheetData>
  <mergeCells count="3">
    <mergeCell ref="D8:E8"/>
    <mergeCell ref="F8:G8"/>
    <mergeCell ref="H8:I8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Elementary</vt:lpstr>
      <vt:lpstr>Simulation</vt:lpstr>
      <vt:lpstr>Simulation (2)</vt:lpstr>
      <vt:lpstr>'Simulation (2)'!dt</vt:lpstr>
      <vt:lpstr>dt</vt:lpstr>
      <vt:lpstr>'Simulation (2)'!error</vt:lpstr>
      <vt:lpstr>error</vt:lpstr>
      <vt:lpstr>'Simulation (2)'!f</vt:lpstr>
      <vt:lpstr>f</vt:lpstr>
      <vt:lpstr>'Simulation (2)'!hedge</vt:lpstr>
      <vt:lpstr>hedge</vt:lpstr>
      <vt:lpstr>'Simulation (2)'!k</vt:lpstr>
      <vt:lpstr>k</vt:lpstr>
      <vt:lpstr>'Simulation (2)'!last</vt:lpstr>
      <vt:lpstr>last</vt:lpstr>
      <vt:lpstr>'Simulation (2)'!mu</vt:lpstr>
      <vt:lpstr>mu</vt:lpstr>
      <vt:lpstr>'Simulation (2)'!payoff</vt:lpstr>
      <vt:lpstr>payoff</vt:lpstr>
      <vt:lpstr>'Simulation (2)'!put</vt:lpstr>
      <vt:lpstr>put</vt:lpstr>
      <vt:lpstr>'Simulation (2)'!sigma</vt:lpstr>
      <vt:lpstr>sigma</vt:lpstr>
      <vt:lpstr>'Simulation (2)'!t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Enhua Zhu</cp:lastModifiedBy>
  <dcterms:created xsi:type="dcterms:W3CDTF">2026-02-23T20:58:14Z</dcterms:created>
  <dcterms:modified xsi:type="dcterms:W3CDTF">2026-03-02T05:32:12Z</dcterms:modified>
</cp:coreProperties>
</file>