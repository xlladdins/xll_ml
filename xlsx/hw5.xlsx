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th\source\repos\xlladdins\xll_ml\xlsx\"/>
    </mc:Choice>
  </mc:AlternateContent>
  <xr:revisionPtr revIDLastSave="0" documentId="13_ncr:1_{ACCAE566-A9F2-441B-86DB-F04CCA4FE5A8}" xr6:coauthVersionLast="47" xr6:coauthVersionMax="47" xr10:uidLastSave="{00000000-0000-0000-0000-000000000000}"/>
  <bookViews>
    <workbookView xWindow="-98" yWindow="-98" windowWidth="22276" windowHeight="13996" activeTab="2" xr2:uid="{5E38A752-04D7-4C78-952F-E31FCF3159F7}"/>
  </bookViews>
  <sheets>
    <sheet name="Elementary" sheetId="1" r:id="rId1"/>
    <sheet name="Simulation" sheetId="4" r:id="rId2"/>
    <sheet name="Simulation (2)" sheetId="5" r:id="rId3"/>
  </sheets>
  <definedNames>
    <definedName name="_M" localSheetId="2">_xlfn.ANCHORARRAY('Simulation (2)'!$H$10)</definedName>
    <definedName name="_M">_xlfn.ANCHORARRAY(Simulation!$H$10)</definedName>
    <definedName name="_N" localSheetId="2">_xlfn.ANCHORARRAY('Simulation (2)'!$I$10)</definedName>
    <definedName name="_N">_xlfn.ANCHORARRAY(Simulation!$I$10)</definedName>
    <definedName name="A" localSheetId="2">_xlfn.ANCHORARRAY('Simulation (2)'!$K$10)</definedName>
    <definedName name="A">_xlfn.ANCHORARRAY(Simulation!$K$10)</definedName>
    <definedName name="ad">_xlfn.LAMBDA(_xlpm.x, _xlfn.VSTACK(_xlfn.TAKE(_xlpm.x,1), _xlfn.DROP(_xlpm.x,1) - _xlfn.DROP(_xlpm.x,-1)))</definedName>
    <definedName name="B_" localSheetId="2">_xlfn.ANCHORARRAY('Simulation (2)'!$C$10)</definedName>
    <definedName name="B_">_xlfn.ANCHORARRAY(Simulation!$C$10)</definedName>
    <definedName name="co">_xlfn.LAMBDA(_xlpm.x,_xlfn.LET(_xlpm.x_,_xlfn.DROP(_xlpm.x,-1),_xlfn.VSTACK(_xlpm.x_, -SUM(_xlpm.x_))))</definedName>
    <definedName name="dt" localSheetId="2">'Simulation (2)'!$C$6</definedName>
    <definedName name="dt">Simulation!$C$6</definedName>
    <definedName name="error" localSheetId="2">'Simulation (2)'!$G$6</definedName>
    <definedName name="error">Simulation!$G$6</definedName>
    <definedName name="f" localSheetId="2">'Simulation (2)'!$C$3</definedName>
    <definedName name="f">Simulation!$C$3</definedName>
    <definedName name="hedge" localSheetId="2">'Simulation (2)'!$G$5</definedName>
    <definedName name="hedge">Simulation!$G$5</definedName>
    <definedName name="k" localSheetId="2">'Simulation (2)'!$C$7</definedName>
    <definedName name="k">Simulation!$C$7</definedName>
    <definedName name="last" localSheetId="2">'Simulation (2)'!$G$3</definedName>
    <definedName name="last">Simulation!$G$3</definedName>
    <definedName name="M" localSheetId="2">_xlfn.ANCHORARRAY('Simulation (2)'!$F$10)</definedName>
    <definedName name="M">_xlfn.ANCHORARRAY(Simulation!$F$10)</definedName>
    <definedName name="mu" localSheetId="2">'Simulation (2)'!$C$2</definedName>
    <definedName name="mu">Simulation!$C$2</definedName>
    <definedName name="N" localSheetId="2">_xlfn.ANCHORARRAY('Simulation (2)'!$G$10)</definedName>
    <definedName name="N">_xlfn.ANCHORARRAY(Simulation!$G$10)</definedName>
    <definedName name="payoff" localSheetId="2">'Simulation (2)'!$G$4</definedName>
    <definedName name="payoff">Simulation!$G$4</definedName>
    <definedName name="put" localSheetId="2">'Simulation (2)'!$G$2</definedName>
    <definedName name="put">Simulation!$G$2</definedName>
    <definedName name="R_" localSheetId="2">_xlfn.ANCHORARRAY('Simulation (2)'!$D$10)</definedName>
    <definedName name="R_">_xlfn.ANCHORARRAY(Simulation!$D$10)</definedName>
    <definedName name="S_" localSheetId="2">_xlfn.ANCHORARRAY('Simulation (2)'!$E$10)</definedName>
    <definedName name="S_">_xlfn.ANCHORARRAY(Simulation!$E$10)</definedName>
    <definedName name="sigma" localSheetId="2">'Simulation (2)'!$C$4</definedName>
    <definedName name="sigma">Simulation!$C$4</definedName>
    <definedName name="t" localSheetId="2">'Simulation (2)'!$C$5</definedName>
    <definedName name="t">Simulation!$C$5</definedName>
    <definedName name="t_" localSheetId="2">_xlfn.ANCHORARRAY('Simulation (2)'!$B$10)</definedName>
    <definedName name="t_">_xlfn.ANCHORARRAY(Simulation!$B$10)</definedName>
    <definedName name="V" localSheetId="2">_xlfn.ANCHORARRAY('Simulation (2)'!$J$10)</definedName>
    <definedName name="V">_xlfn.ANCHORARRAY(Simulation!$J$10)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5" l="1"/>
  <c r="O3" i="5" a="1"/>
  <c r="O3" i="5" s="1"/>
  <c r="P3" i="5" s="1" a="1"/>
  <c r="P3" i="5" s="1"/>
  <c r="C6" i="4"/>
  <c r="O3" i="4" a="1"/>
  <c r="O3" i="4" s="1"/>
  <c r="P3" i="4" s="1" a="1"/>
  <c r="P3" i="4" s="1"/>
  <c r="H4" i="1"/>
  <c r="F5" i="1"/>
  <c r="D5" i="1"/>
  <c r="D4" i="1"/>
  <c r="K2" i="5" a="1"/>
  <c r="K2" i="4" a="1"/>
  <c r="G2" i="5" a="1"/>
  <c r="B10" i="5" a="1"/>
  <c r="J2" i="5" a="1"/>
  <c r="G2" i="4" a="1"/>
  <c r="I2" i="4" a="1"/>
  <c r="I2" i="5" a="1"/>
  <c r="J2" i="4" a="1"/>
  <c r="B10" i="4" a="1"/>
  <c r="B1" i="4" a="1"/>
  <c r="B1" i="5" a="1"/>
  <c r="I2" i="5" l="1"/>
  <c r="J2" i="5"/>
  <c r="L2" i="5" s="1"/>
  <c r="N21" i="5"/>
  <c r="P20" i="5"/>
  <c r="B10" i="5"/>
  <c r="B1" i="5"/>
  <c r="G2" i="5"/>
  <c r="K2" i="5"/>
  <c r="B1" i="4"/>
  <c r="N21" i="4"/>
  <c r="P20" i="4"/>
  <c r="K2" i="4"/>
  <c r="J2" i="4"/>
  <c r="I2" i="4"/>
  <c r="G2" i="4"/>
  <c r="B10" i="4"/>
  <c r="K5" i="1"/>
  <c r="E4" i="1"/>
  <c r="C10" i="4" a="1"/>
  <c r="M2" i="5" l="1"/>
  <c r="M14" i="4"/>
  <c r="C10" i="4"/>
  <c r="L2" i="4"/>
  <c r="M2" i="4" s="1"/>
  <c r="G4" i="1"/>
  <c r="E5" i="1"/>
  <c r="J5" i="1" s="1"/>
  <c r="L5" i="1" s="1"/>
  <c r="J4" i="1"/>
  <c r="C10" i="5" a="1"/>
  <c r="M20" i="4" a="1"/>
  <c r="M20" i="5" a="1"/>
  <c r="M21" i="5" l="1"/>
  <c r="M20" i="5"/>
  <c r="M14" i="5"/>
  <c r="C10" i="5"/>
  <c r="M21" i="4"/>
  <c r="M20" i="4"/>
  <c r="E10" i="4" a="1"/>
  <c r="D10" i="4" a="1"/>
  <c r="D10" i="4" s="1"/>
  <c r="G5" i="1" a="1"/>
  <c r="G5" i="1" s="1"/>
  <c r="I5" i="1" s="1"/>
  <c r="I4" i="1"/>
  <c r="M16" i="4" a="1"/>
  <c r="O20" i="4" a="1"/>
  <c r="D10" i="5" l="1" a="1"/>
  <c r="D10" i="5" s="1"/>
  <c r="E10" i="5" a="1"/>
  <c r="M16" i="4"/>
  <c r="N14" i="4"/>
  <c r="O20" i="4"/>
  <c r="O21" i="4"/>
  <c r="E10" i="4"/>
  <c r="M16" i="5" a="1"/>
  <c r="O20" i="5" a="1"/>
  <c r="I10" i="4" a="1"/>
  <c r="O21" i="5" l="1"/>
  <c r="O20" i="5"/>
  <c r="M16" i="5"/>
  <c r="E10" i="5"/>
  <c r="I10" i="5" s="1" a="1"/>
  <c r="I10" i="5" s="1"/>
  <c r="N14" i="5"/>
  <c r="N16" i="4"/>
  <c r="I10" i="4"/>
  <c r="L10" i="4" a="1"/>
  <c r="L10" i="4" s="1"/>
  <c r="G3" i="4" a="1"/>
  <c r="G3" i="4" s="1"/>
  <c r="G4" i="4" s="1"/>
  <c r="H4" i="4" a="1"/>
  <c r="G3" i="5" l="1" a="1"/>
  <c r="G3" i="5" s="1"/>
  <c r="G4" i="5" s="1"/>
  <c r="L10" i="5" a="1"/>
  <c r="L10" i="5" s="1"/>
  <c r="G10" i="4" a="1"/>
  <c r="G10" i="4" s="1"/>
  <c r="F10" i="4" s="1" a="1"/>
  <c r="H4" i="4"/>
  <c r="I4" i="4"/>
  <c r="H4" i="5" a="1"/>
  <c r="N16" i="5" l="1"/>
  <c r="G10" i="5" a="1"/>
  <c r="H4" i="5"/>
  <c r="I4" i="5"/>
  <c r="M10" i="4"/>
  <c r="M11" i="4"/>
  <c r="N11" i="4" s="1"/>
  <c r="F10" i="4"/>
  <c r="K10" i="4" s="1" a="1"/>
  <c r="K10" i="4" s="1"/>
  <c r="G5" i="4" s="1" a="1"/>
  <c r="G5" i="4" s="1"/>
  <c r="G6" i="4" s="1"/>
  <c r="H6" i="4" a="1"/>
  <c r="G10" i="5" l="1"/>
  <c r="M11" i="5"/>
  <c r="H6" i="4"/>
  <c r="I6" i="4"/>
  <c r="J6" i="4" s="1"/>
  <c r="N10" i="4"/>
  <c r="H10" i="4" a="1"/>
  <c r="H10" i="4" s="1"/>
  <c r="J10" i="4" s="1" a="1"/>
  <c r="J10" i="4" s="1"/>
  <c r="M10" i="5" l="1"/>
  <c r="F10" i="5" a="1"/>
  <c r="N11" i="5" l="1"/>
  <c r="F10" i="5"/>
  <c r="H10" i="5" l="1" a="1"/>
  <c r="H10" i="5" s="1"/>
  <c r="J10" i="5" s="1" a="1"/>
  <c r="J10" i="5" s="1"/>
  <c r="N10" i="5"/>
  <c r="K10" i="5" a="1"/>
  <c r="K10" i="5" s="1"/>
  <c r="G5" i="5" s="1" a="1"/>
  <c r="G5" i="5" s="1"/>
  <c r="G6" i="5" s="1"/>
  <c r="H6" i="5" a="1"/>
  <c r="H6" i="5" l="1"/>
  <c r="I6" i="5"/>
  <c r="J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11EC72C2-EA02-4BCF-BE17-CDD3CFEC86F9}">
      <text>
        <r>
          <rPr>
            <b/>
            <sz val="11"/>
            <color indexed="81"/>
            <rFont val="Tahoma"/>
            <family val="2"/>
          </rPr>
          <t>E[max(k - F, 0)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4BB3A08D-CB16-4312-9768-215385A088D7}">
      <text>
        <r>
          <rPr>
            <b/>
            <sz val="11"/>
            <color indexed="81"/>
            <rFont val="Tahoma"/>
            <family val="2"/>
          </rPr>
          <t>E[max(k - F, 0)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<sst xmlns="http://schemas.openxmlformats.org/spreadsheetml/2006/main" count="70" uniqueCount="32">
  <si>
    <t>X</t>
  </si>
  <si>
    <t>t</t>
  </si>
  <si>
    <t>R</t>
  </si>
  <si>
    <t>S</t>
  </si>
  <si>
    <t>M</t>
  </si>
  <si>
    <t>N</t>
  </si>
  <si>
    <t>\M</t>
  </si>
  <si>
    <t>\N</t>
  </si>
  <si>
    <t>V</t>
  </si>
  <si>
    <t>A</t>
  </si>
  <si>
    <t>Γ</t>
  </si>
  <si>
    <t>(Δ+Γ).X</t>
  </si>
  <si>
    <t>-Γ.X</t>
  </si>
  <si>
    <t>Δ+Γ</t>
  </si>
  <si>
    <t>sigma</t>
  </si>
  <si>
    <t>mu</t>
  </si>
  <si>
    <t>f</t>
  </si>
  <si>
    <t>k</t>
  </si>
  <si>
    <t>R_</t>
  </si>
  <si>
    <t>S_</t>
  </si>
  <si>
    <t>put</t>
  </si>
  <si>
    <t>dt</t>
  </si>
  <si>
    <t>t_</t>
  </si>
  <si>
    <t>B_</t>
  </si>
  <si>
    <t>payoff</t>
  </si>
  <si>
    <t>hedge</t>
  </si>
  <si>
    <t>_M</t>
  </si>
  <si>
    <t>_N</t>
  </si>
  <si>
    <t>last</t>
  </si>
  <si>
    <t>error</t>
  </si>
  <si>
    <t>accuracy</t>
  </si>
  <si>
    <t>intrinsic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</si>
</sst>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&quot;0x&quot;#"/>
    <numFmt numFmtId="165" formatCode="0.0000"/>
    <numFmt numFmtId="166" formatCode="0.000"/>
    <numFmt numFmtId="167" formatCode="0.0%"/>
    <numFmt numFmtId="168" formatCode="_(* #,##0_);_(* \(#,##0\);_(* &quot;-&quot;??_);_(@_)"/>
  </numFmts>
  <fonts count="13" x14ac:knownFonts="1">
    <font>
      <sz val="14"/>
      <color theme="1"/>
      <name val="Aptos Narrow"/>
      <family val="2"/>
      <scheme val="minor"/>
    </font>
    <font>
      <sz val="14"/>
      <color theme="1"/>
      <name val="Aptos Narrow"/>
      <family val="2"/>
    </font>
    <font>
      <b/>
      <sz val="14"/>
      <color theme="0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  <font>
      <sz val="14"/>
      <color theme="0" tint="-0.34998626667073579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3F3F3F"/>
      <name val="Aptos Narrow"/>
      <family val="2"/>
      <scheme val="minor"/>
    </font>
    <font>
      <sz val="14"/>
      <color rgb="FF3F3F76"/>
      <name val="Aptos Narrow"/>
      <family val="2"/>
      <scheme val="minor"/>
    </font>
    <font>
      <b/>
      <sz val="14"/>
      <color rgb="FFFA7D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F2F2F2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2" fillId="2" borderId="2" applyNumberFormat="0" applyAlignment="0" applyProtection="0"/>
    <xf numFmtId="164" fontId="3" fillId="0" borderId="0">
      <alignment horizontal="center" vertical="center"/>
    </xf>
    <xf numFmtId="9" fontId="6" fillId="0" borderId="0" applyFont="0" applyFill="0" applyBorder="0" applyAlignment="0" applyProtection="0"/>
    <xf numFmtId="0" fontId="7" fillId="3" borderId="3" applyNumberFormat="0" applyAlignment="0" applyProtection="0"/>
    <xf numFmtId="43" fontId="6" fillId="0" borderId="0" applyFont="0" applyFill="0" applyBorder="0" applyAlignment="0" applyProtection="0"/>
    <xf numFmtId="0" fontId="8" fillId="4" borderId="4" applyNumberFormat="0" applyAlignment="0" applyProtection="0"/>
    <xf numFmtId="0" fontId="9" fillId="3" borderId="4" applyNumberFormat="0" applyAlignment="0" applyProtection="0"/>
  </cellStyleXfs>
  <cellXfs count="2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2" fillId="2" borderId="2" xfId="1"/>
    <xf numFmtId="0" fontId="5" fillId="0" borderId="0" xfId="0" applyFont="1"/>
    <xf numFmtId="165" fontId="0" fillId="0" borderId="0" xfId="0" applyNumberFormat="1"/>
    <xf numFmtId="165" fontId="5" fillId="0" borderId="0" xfId="0" applyNumberFormat="1" applyFont="1"/>
    <xf numFmtId="0" fontId="5" fillId="0" borderId="0" xfId="0" applyNumberFormat="1" applyFont="1" applyAlignment="1">
      <alignment horizontal="right"/>
    </xf>
    <xf numFmtId="166" fontId="0" fillId="0" borderId="0" xfId="0" applyNumberFormat="1"/>
    <xf numFmtId="2" fontId="0" fillId="0" borderId="0" xfId="0" applyNumberFormat="1"/>
    <xf numFmtId="165" fontId="7" fillId="3" borderId="3" xfId="4" applyNumberFormat="1"/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0" fillId="0" borderId="0" xfId="0" applyFont="1"/>
    <xf numFmtId="167" fontId="0" fillId="0" borderId="0" xfId="3" applyNumberFormat="1" applyFont="1" applyAlignment="1">
      <alignment horizontal="center"/>
    </xf>
    <xf numFmtId="168" fontId="11" fillId="0" borderId="0" xfId="5" applyNumberFormat="1" applyFont="1"/>
    <xf numFmtId="0" fontId="0" fillId="0" borderId="0" xfId="0" applyFill="1" applyBorder="1" applyAlignment="1">
      <alignment horizontal="center"/>
    </xf>
    <xf numFmtId="0" fontId="8" fillId="4" borderId="4" xfId="6"/>
    <xf numFmtId="0" fontId="9" fillId="3" borderId="4" xfId="7"/>
    <xf numFmtId="0" fontId="12" fillId="0" borderId="0" xfId="0" applyFont="1"/>
    <xf numFmtId="0" fontId="12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8">
    <cellStyle name="Calculation" xfId="7" builtinId="22"/>
    <cellStyle name="Check Cell" xfId="1" builtinId="23"/>
    <cellStyle name="Comma" xfId="5" builtinId="3"/>
    <cellStyle name="Handle" xfId="2" xr:uid="{FF7A162F-DF08-42FE-AEB2-120BB5405C33}"/>
    <cellStyle name="Input" xfId="6" builtinId="20"/>
    <cellStyle name="Normal" xfId="0" builtinId="0"/>
    <cellStyle name="Output" xfId="4" builtinId="21"/>
    <cellStyle name="Percent" xfId="3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3CCDB-807E-4762-83AC-A616811C3245}">
  <dimension ref="B2:L6"/>
  <sheetViews>
    <sheetView workbookViewId="0"/>
  </sheetViews>
  <sheetFormatPr defaultRowHeight="18" x14ac:dyDescent="0.55000000000000004"/>
  <cols>
    <col min="1" max="1" width="3.578125" customWidth="1"/>
  </cols>
  <sheetData>
    <row r="2" spans="2:12" x14ac:dyDescent="0.55000000000000004">
      <c r="C2" s="24" t="s">
        <v>0</v>
      </c>
      <c r="D2" s="24"/>
      <c r="E2" s="25" t="s">
        <v>10</v>
      </c>
      <c r="F2" s="25"/>
      <c r="G2" s="25" t="s">
        <v>13</v>
      </c>
      <c r="H2" s="25"/>
      <c r="I2" s="1" t="s">
        <v>11</v>
      </c>
      <c r="J2" s="3" t="s">
        <v>12</v>
      </c>
    </row>
    <row r="3" spans="2:12" x14ac:dyDescent="0.55000000000000004"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</row>
    <row r="4" spans="2:12" ht="18.399999999999999" thickBot="1" x14ac:dyDescent="0.6">
      <c r="B4">
        <v>0</v>
      </c>
      <c r="C4">
        <v>1</v>
      </c>
      <c r="D4">
        <f ca="1">RAND()</f>
        <v>0.50705860915592771</v>
      </c>
      <c r="E4">
        <f ca="1">-F4*D4</f>
        <v>-1.5211758274677831</v>
      </c>
      <c r="F4" s="20">
        <v>3</v>
      </c>
      <c r="G4">
        <f ca="1">E4</f>
        <v>-1.5211758274677831</v>
      </c>
      <c r="H4">
        <f>F4</f>
        <v>3</v>
      </c>
      <c r="I4">
        <f ca="1">SUMPRODUCT(G4:H4,C4:D4)</f>
        <v>0</v>
      </c>
      <c r="J4">
        <f ca="1">-SUMPRODUCT(E4:F4,C4:D4)</f>
        <v>0</v>
      </c>
    </row>
    <row r="5" spans="2:12" ht="18.75" thickTop="1" thickBot="1" x14ac:dyDescent="0.6">
      <c r="B5">
        <v>1</v>
      </c>
      <c r="C5">
        <v>1</v>
      </c>
      <c r="D5">
        <f ca="1">RAND()</f>
        <v>0.18183783962827582</v>
      </c>
      <c r="E5">
        <f ca="1">-E4</f>
        <v>1.5211758274677831</v>
      </c>
      <c r="F5" s="21">
        <f>-F4</f>
        <v>-3</v>
      </c>
      <c r="G5" cm="1">
        <f t="array" aca="1" ref="G5:H5" ca="1">G4:H4+E5:F5</f>
        <v>0</v>
      </c>
      <c r="H5">
        <f ca="1"/>
        <v>0</v>
      </c>
      <c r="I5">
        <f ca="1">SUMPRODUCT(G5:H5,C5:D5)</f>
        <v>0</v>
      </c>
      <c r="J5">
        <f ca="1">-SUMPRODUCT(E5:F5,C5:D5)</f>
        <v>-0.97566230858295566</v>
      </c>
      <c r="K5">
        <f ca="1">F4*(D5-D4)</f>
        <v>-0.97566230858295566</v>
      </c>
      <c r="L5" s="6">
        <f ca="1">J5-K5</f>
        <v>0</v>
      </c>
    </row>
    <row r="6" spans="2:12" ht="18.399999999999999" thickTop="1" x14ac:dyDescent="0.55000000000000004"/>
  </sheetData>
  <mergeCells count="3">
    <mergeCell ref="C2:D2"/>
    <mergeCell ref="E2:F2"/>
    <mergeCell ref="G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952DD-292F-41DF-A786-89DEB5029ACA}">
  <dimension ref="B1:P208"/>
  <sheetViews>
    <sheetView workbookViewId="0">
      <selection activeCell="J6" sqref="J6"/>
    </sheetView>
  </sheetViews>
  <sheetFormatPr defaultRowHeight="18" x14ac:dyDescent="0.55000000000000004"/>
  <cols>
    <col min="1" max="1" width="3.578125" customWidth="1"/>
    <col min="2" max="2" width="9.89453125" bestFit="1" customWidth="1"/>
    <col min="7" max="7" width="11.68359375" bestFit="1" customWidth="1"/>
    <col min="10" max="10" width="10.20703125" bestFit="1" customWidth="1"/>
    <col min="13" max="13" width="11.68359375" bestFit="1" customWidth="1"/>
  </cols>
  <sheetData>
    <row r="1" spans="2:16" x14ac:dyDescent="0.55000000000000004">
      <c r="B1" s="18" cm="1">
        <f t="array" aca="1" ref="B1" ca="1">_xll.MONTE.COUNT()</f>
        <v>10441</v>
      </c>
    </row>
    <row r="2" spans="2:16" x14ac:dyDescent="0.55000000000000004">
      <c r="B2" s="4" t="s">
        <v>15</v>
      </c>
      <c r="C2">
        <v>0</v>
      </c>
      <c r="F2" s="4" t="s">
        <v>20</v>
      </c>
      <c r="G2" s="8" cm="1">
        <f t="array" ref="G2">_xll.OPTION.BLACK.PUT(f, sigma*SQRT(t), k)</f>
        <v>3.987761167674492</v>
      </c>
      <c r="I2" s="9" cm="1">
        <f t="array" ref="I2">_xll.OPTION.BLACK.PUT_DELTA(f, sigma*SQRT(t), k)</f>
        <v>-0.48006119416162751</v>
      </c>
      <c r="J2" s="9" cm="1">
        <f t="array" ref="J2">_xll.OPTION.BLACK.PUT(f+0.01, sigma*SQRT(t), k)</f>
        <v>3.9829625478526722</v>
      </c>
      <c r="K2" s="9" cm="1">
        <f t="array" ref="K2">_xll.OPTION.BLACK.PUT(f-0.01, sigma*SQRT(t), k)</f>
        <v>3.9925637719351386</v>
      </c>
      <c r="L2" s="9">
        <f>(J2-K2)/0.02</f>
        <v>-0.48006120412331654</v>
      </c>
      <c r="M2" s="10">
        <f>I2-L2</f>
        <v>9.9616890292253402E-9</v>
      </c>
    </row>
    <row r="3" spans="2:16" x14ac:dyDescent="0.55000000000000004">
      <c r="B3" s="4" t="s">
        <v>16</v>
      </c>
      <c r="C3">
        <v>100</v>
      </c>
      <c r="F3" s="4" t="s">
        <v>28</v>
      </c>
      <c r="G3" s="8" cm="1">
        <f t="array" aca="1" ref="G3" ca="1">_xlfn.TAKE(S_,-1)</f>
        <v>106.19284045436892</v>
      </c>
      <c r="N3" s="7">
        <v>1</v>
      </c>
      <c r="O3" s="7" cm="1">
        <f t="array" ref="O3:O5">ad(N3:N5)</f>
        <v>1</v>
      </c>
      <c r="P3" s="7" cm="1">
        <f t="array" ref="P3:P5">_xlfn.SCAN(0,_xlfn.ANCHORARRAY(O3),_xlfn.LAMBDA(_xlpm.a,_xlpm.b,_xlpm.a+_xlpm.b))</f>
        <v>1</v>
      </c>
    </row>
    <row r="4" spans="2:16" x14ac:dyDescent="0.55000000000000004">
      <c r="B4" s="4" t="s">
        <v>14</v>
      </c>
      <c r="C4">
        <v>0.2</v>
      </c>
      <c r="F4" s="4" t="s">
        <v>24</v>
      </c>
      <c r="G4" s="11">
        <f ca="1">MAX(k - last,0)</f>
        <v>0</v>
      </c>
      <c r="H4" s="11">
        <f t="array" aca="1" ref="H4:I4" ca="1">_xll.MONTE.STDEV(G4)</f>
        <v>3.940636698271593</v>
      </c>
      <c r="I4" s="11">
        <f ca="1"/>
        <v>5.4540603594786763</v>
      </c>
      <c r="M4">
        <v>1E-3</v>
      </c>
      <c r="N4" s="7">
        <v>2</v>
      </c>
      <c r="O4" s="7">
        <v>1</v>
      </c>
      <c r="P4" s="7">
        <v>2</v>
      </c>
    </row>
    <row r="5" spans="2:16" x14ac:dyDescent="0.55000000000000004">
      <c r="B5" s="4" t="s">
        <v>1</v>
      </c>
      <c r="C5">
        <v>0.25</v>
      </c>
      <c r="F5" s="4" t="s">
        <v>25</v>
      </c>
      <c r="G5" s="11" cm="1">
        <f t="array" aca="1" ref="G5" ca="1">_xlfn.TAKE(A,-1)</f>
        <v>5.9557150775633221E-2</v>
      </c>
      <c r="H5" s="11"/>
      <c r="I5" s="11"/>
      <c r="M5">
        <v>0.01</v>
      </c>
      <c r="N5" s="7">
        <v>3</v>
      </c>
      <c r="O5" s="7">
        <v>1</v>
      </c>
      <c r="P5" s="7">
        <v>3</v>
      </c>
    </row>
    <row r="6" spans="2:16" x14ac:dyDescent="0.55000000000000004">
      <c r="B6" s="4" t="s">
        <v>21</v>
      </c>
      <c r="C6">
        <f>1/250</f>
        <v>4.0000000000000001E-3</v>
      </c>
      <c r="F6" s="4" t="s">
        <v>29</v>
      </c>
      <c r="G6" s="11">
        <f ca="1">payoff-hedge</f>
        <v>-5.9557150775633221E-2</v>
      </c>
      <c r="H6" s="8">
        <f t="array" aca="1" ref="H6:I6" ca="1">_xll.MONTE.STDEV(error)</f>
        <v>-1.4968078938005986E-2</v>
      </c>
      <c r="I6" s="13">
        <f ca="1"/>
        <v>0.43658700690594882</v>
      </c>
      <c r="J6" s="17">
        <f ca="1">I6/put</f>
        <v>0.10948173387237969</v>
      </c>
      <c r="K6" s="16" t="s">
        <v>30</v>
      </c>
      <c r="M6">
        <v>0.1</v>
      </c>
    </row>
    <row r="7" spans="2:16" x14ac:dyDescent="0.55000000000000004">
      <c r="B7" s="4" t="s">
        <v>17</v>
      </c>
      <c r="C7">
        <v>100</v>
      </c>
    </row>
    <row r="8" spans="2:16" x14ac:dyDescent="0.55000000000000004">
      <c r="D8" s="26" t="s">
        <v>0</v>
      </c>
      <c r="E8" s="26"/>
      <c r="F8" s="27" t="s">
        <v>10</v>
      </c>
      <c r="G8" s="27"/>
      <c r="H8" s="27" t="s">
        <v>13</v>
      </c>
      <c r="I8" s="27"/>
      <c r="J8" s="2" t="s">
        <v>11</v>
      </c>
      <c r="K8" s="3" t="s">
        <v>12</v>
      </c>
    </row>
    <row r="9" spans="2:16" x14ac:dyDescent="0.55000000000000004">
      <c r="B9" s="5" t="s">
        <v>22</v>
      </c>
      <c r="C9" s="5" t="s">
        <v>23</v>
      </c>
      <c r="D9" s="5" t="s">
        <v>18</v>
      </c>
      <c r="E9" s="5" t="s">
        <v>19</v>
      </c>
      <c r="F9" s="5" t="s">
        <v>4</v>
      </c>
      <c r="G9" s="5" t="s">
        <v>5</v>
      </c>
      <c r="H9" s="5" t="s">
        <v>26</v>
      </c>
      <c r="I9" s="5" t="s">
        <v>27</v>
      </c>
      <c r="J9" s="5" t="s">
        <v>8</v>
      </c>
      <c r="K9" s="5" t="s">
        <v>9</v>
      </c>
      <c r="L9" s="19" t="s">
        <v>31</v>
      </c>
    </row>
    <row r="10" spans="2:16" x14ac:dyDescent="0.55000000000000004">
      <c r="B10" cm="1">
        <f t="array" ref="B10:B72">_xll.ARRAY.SEQUENCE(0, t, dt)</f>
        <v>0</v>
      </c>
      <c r="C10" cm="1">
        <f t="array" aca="1" ref="C10:C72" ca="1">_xll.RANDOM.BROWNIAN(t_)</f>
        <v>0</v>
      </c>
      <c r="D10" cm="1">
        <f t="array" aca="1" ref="D10:D72" ca="1">1+0*B_</f>
        <v>1</v>
      </c>
      <c r="E10" cm="1">
        <f t="array" aca="1" ref="E10:E72" ca="1">f*EXP(sigma*B_+(mu-sigma*sigma/2)*t_)</f>
        <v>100</v>
      </c>
      <c r="F10" s="11" cm="1">
        <f t="array" aca="1" ref="F10:F72" ca="1">co(put*(t_ = 0) - N*S_/R_)</f>
        <v>51.993880583837246</v>
      </c>
      <c r="G10" s="8" cm="1">
        <f t="array" aca="1" ref="G10:G72" ca="1">co(ad(_N))</f>
        <v>-0.48006119416162751</v>
      </c>
      <c r="H10" s="11" cm="1">
        <f t="array" aca="1" ref="H10:H72" ca="1">_xlfn.SCAN(0,M,_xlfn.LAMBDA(_xlpm.a,_xlpm.b,_xlpm.a+_xlpm.b))</f>
        <v>51.993880583837246</v>
      </c>
      <c r="I10" s="8" cm="1">
        <f t="array" aca="1" ref="I10:I72" ca="1">_xlfn.VSTACK(_xlfn.DROP(_xlfn.MAP(t_,S_,_xlfn.LAMBDA(_xlpm._t,_xlpm._S,_xll.OPTION.BLACK.PUT_DELTA(_xlpm._S,sigma*SQRT(t - _xlpm._t),k))),-1),0)</f>
        <v>-0.48006119416162751</v>
      </c>
      <c r="J10" s="8" cm="1">
        <f t="array" aca="1" ref="J10:J72" ca="1">_M * R_ + _N * S_</f>
        <v>3.987761167674492</v>
      </c>
      <c r="K10" cm="1">
        <f t="array" aca="1" ref="K10:K72" ca="1">-M * R_ - N * S_</f>
        <v>-3.987761167674492</v>
      </c>
      <c r="L10" cm="1">
        <f t="array" aca="1" ref="L10:L72" ca="1">_xlfn.MAP(S_,_xlfn.LAMBDA(_xlpm.s,MAX(k-_xlpm.s,0)))</f>
        <v>0</v>
      </c>
      <c r="M10" s="22">
        <f ca="1">put - G10*E10</f>
        <v>51.993880583837246</v>
      </c>
      <c r="N10" s="22">
        <f ca="1">F10-M10</f>
        <v>0</v>
      </c>
    </row>
    <row r="11" spans="2:16" x14ac:dyDescent="0.55000000000000004">
      <c r="B11">
        <v>4.0000000000000001E-3</v>
      </c>
      <c r="C11">
        <f ca="1"/>
        <v>1.0570239487426679E-2</v>
      </c>
      <c r="D11">
        <f ca="1"/>
        <v>1</v>
      </c>
      <c r="E11" s="12">
        <f ca="1"/>
        <v>100.20361179762185</v>
      </c>
      <c r="F11" s="11">
        <f ca="1"/>
        <v>-0.80218814356188028</v>
      </c>
      <c r="G11" s="8">
        <f ca="1"/>
        <v>8.0055811279740596E-3</v>
      </c>
      <c r="H11" s="11">
        <f ca="1"/>
        <v>51.191692440275368</v>
      </c>
      <c r="I11" s="8">
        <f ca="1"/>
        <v>-0.47205561303365345</v>
      </c>
      <c r="J11" s="8">
        <f ca="1"/>
        <v>3.8900150449627589</v>
      </c>
      <c r="K11">
        <f ca="1"/>
        <v>0</v>
      </c>
      <c r="L11">
        <f ca="1"/>
        <v>0</v>
      </c>
      <c r="M11" s="22">
        <f ca="1" xml:space="preserve"> - G11*E11</f>
        <v>-0.80218814356188028</v>
      </c>
      <c r="N11" s="22">
        <f ca="1">F11-M11</f>
        <v>0</v>
      </c>
    </row>
    <row r="12" spans="2:16" x14ac:dyDescent="0.55000000000000004">
      <c r="B12">
        <v>8.0000000000000002E-3</v>
      </c>
      <c r="C12">
        <f ca="1"/>
        <v>9.6500231423624037E-3</v>
      </c>
      <c r="D12">
        <f ca="1"/>
        <v>1</v>
      </c>
      <c r="E12" s="12">
        <f ca="1"/>
        <v>100.17715720112868</v>
      </c>
      <c r="F12" s="11">
        <f ca="1"/>
        <v>0.11641661046079653</v>
      </c>
      <c r="G12" s="8">
        <f ca="1"/>
        <v>-1.1621073477565691E-3</v>
      </c>
      <c r="H12" s="11">
        <f ca="1"/>
        <v>51.308109050736164</v>
      </c>
      <c r="I12" s="8">
        <f ca="1"/>
        <v>-0.47321772038141002</v>
      </c>
      <c r="J12" s="8">
        <f ca="1"/>
        <v>3.9025030857278935</v>
      </c>
      <c r="K12">
        <f ca="1"/>
        <v>0</v>
      </c>
      <c r="L12">
        <f ca="1"/>
        <v>0</v>
      </c>
    </row>
    <row r="13" spans="2:16" x14ac:dyDescent="0.55000000000000004">
      <c r="B13">
        <v>1.2E-2</v>
      </c>
      <c r="C13">
        <f ca="1"/>
        <v>-1.9103651635405554E-2</v>
      </c>
      <c r="D13">
        <f ca="1"/>
        <v>1</v>
      </c>
      <c r="E13" s="12">
        <f ca="1"/>
        <v>99.594750328971074</v>
      </c>
      <c r="F13" s="11">
        <f ca="1"/>
        <v>2.3826209887818721</v>
      </c>
      <c r="G13" s="8">
        <f ca="1"/>
        <v>-2.3923158408569178E-2</v>
      </c>
      <c r="H13" s="11">
        <f ca="1"/>
        <v>53.690730039518037</v>
      </c>
      <c r="I13" s="8">
        <f ca="1"/>
        <v>-0.4971408787899792</v>
      </c>
      <c r="J13" s="8">
        <f ca="1"/>
        <v>4.178108338104785</v>
      </c>
      <c r="K13">
        <f ca="1"/>
        <v>0</v>
      </c>
      <c r="L13">
        <f ca="1"/>
        <v>0.40524967102892617</v>
      </c>
    </row>
    <row r="14" spans="2:16" x14ac:dyDescent="0.55000000000000004">
      <c r="B14">
        <v>1.6E-2</v>
      </c>
      <c r="C14">
        <f ca="1"/>
        <v>-1.1890813914420324E-2</v>
      </c>
      <c r="D14">
        <f ca="1"/>
        <v>1</v>
      </c>
      <c r="E14" s="12">
        <f ca="1"/>
        <v>99.730547398671661</v>
      </c>
      <c r="F14" s="11">
        <f ca="1"/>
        <v>-0.52982138860798333</v>
      </c>
      <c r="G14" s="8">
        <f ca="1"/>
        <v>5.3125286326768939E-3</v>
      </c>
      <c r="H14" s="11">
        <f ca="1"/>
        <v>53.160908650910052</v>
      </c>
      <c r="I14" s="8">
        <f ca="1"/>
        <v>-0.49182835015730231</v>
      </c>
      <c r="J14" s="8">
        <f ca="1"/>
        <v>4.1105980635367345</v>
      </c>
      <c r="K14">
        <f ca="1"/>
        <v>0</v>
      </c>
      <c r="L14">
        <f ca="1"/>
        <v>0.26945260132833937</v>
      </c>
      <c r="M14" s="22">
        <f ca="1">f*EXP(sigma*C14-sigma^2*B14/2)</f>
        <v>99.730547398671661</v>
      </c>
      <c r="N14" s="23">
        <f ca="1">E14-M14</f>
        <v>0</v>
      </c>
    </row>
    <row r="15" spans="2:16" x14ac:dyDescent="0.55000000000000004">
      <c r="B15">
        <v>0.02</v>
      </c>
      <c r="C15">
        <f ca="1"/>
        <v>0.11384089833221395</v>
      </c>
      <c r="D15">
        <f ca="1"/>
        <v>1</v>
      </c>
      <c r="E15" s="12">
        <f ca="1"/>
        <v>102.26202231403074</v>
      </c>
      <c r="F15" s="11">
        <f ca="1"/>
        <v>-10.48549244961926</v>
      </c>
      <c r="G15" s="8">
        <f ca="1"/>
        <v>0.10253554753122274</v>
      </c>
      <c r="H15" s="11">
        <f ca="1"/>
        <v>42.675416201290794</v>
      </c>
      <c r="I15" s="8">
        <f ca="1"/>
        <v>-0.38929280262607957</v>
      </c>
      <c r="J15" s="8">
        <f ca="1"/>
        <v>2.8655469324510818</v>
      </c>
      <c r="K15">
        <f ca="1"/>
        <v>0</v>
      </c>
      <c r="L15">
        <f ca="1"/>
        <v>0</v>
      </c>
    </row>
    <row r="16" spans="2:16" x14ac:dyDescent="0.55000000000000004">
      <c r="B16">
        <v>2.4E-2</v>
      </c>
      <c r="C16">
        <f ca="1"/>
        <v>0.14798176549826633</v>
      </c>
      <c r="D16">
        <f ca="1"/>
        <v>1</v>
      </c>
      <c r="E16" s="12">
        <f ca="1"/>
        <v>102.95443781860251</v>
      </c>
      <c r="F16" s="11">
        <f ca="1"/>
        <v>-2.8351900773136824</v>
      </c>
      <c r="G16" s="8">
        <f ca="1"/>
        <v>2.7538298857102794E-2</v>
      </c>
      <c r="H16" s="11">
        <f ca="1"/>
        <v>39.840226123977111</v>
      </c>
      <c r="I16" s="8">
        <f ca="1"/>
        <v>-0.36175450376897678</v>
      </c>
      <c r="J16" s="8">
        <f ca="1"/>
        <v>2.5959945600945815</v>
      </c>
      <c r="K16">
        <f ca="1"/>
        <v>0</v>
      </c>
      <c r="L16">
        <f ca="1"/>
        <v>0</v>
      </c>
      <c r="M16" s="22" cm="1">
        <f t="array" aca="1" ref="M16" ca="1">_xll.OPTION.BLACK.PUT_DELTA(E16,sigma*SQRT(t - B16),k)</f>
        <v>-0.36175450376897678</v>
      </c>
      <c r="N16" s="23">
        <f ca="1">I16-M16</f>
        <v>0</v>
      </c>
    </row>
    <row r="17" spans="2:16" x14ac:dyDescent="0.55000000000000004">
      <c r="B17">
        <v>2.8000000000000001E-2</v>
      </c>
      <c r="C17">
        <f ca="1"/>
        <v>0.2439146914254427</v>
      </c>
      <c r="D17">
        <f ca="1"/>
        <v>1</v>
      </c>
      <c r="E17" s="12">
        <f ca="1"/>
        <v>104.94045817057381</v>
      </c>
      <c r="F17" s="11">
        <f ca="1"/>
        <v>-7.726128573934532</v>
      </c>
      <c r="G17" s="8">
        <f ca="1"/>
        <v>7.3623926449570276E-2</v>
      </c>
      <c r="H17" s="11">
        <f ca="1"/>
        <v>32.11409755004258</v>
      </c>
      <c r="I17" s="8">
        <f ca="1"/>
        <v>-0.2881305773194065</v>
      </c>
      <c r="J17" s="8">
        <f ca="1"/>
        <v>1.8775427531921203</v>
      </c>
      <c r="K17">
        <f ca="1"/>
        <v>0</v>
      </c>
      <c r="L17">
        <f ca="1"/>
        <v>0</v>
      </c>
    </row>
    <row r="18" spans="2:16" x14ac:dyDescent="0.55000000000000004">
      <c r="B18">
        <v>3.2000000000000001E-2</v>
      </c>
      <c r="C18">
        <f ca="1"/>
        <v>0.23450021060815388</v>
      </c>
      <c r="D18">
        <f ca="1"/>
        <v>1</v>
      </c>
      <c r="E18" s="12">
        <f ca="1"/>
        <v>104.73467298139198</v>
      </c>
      <c r="F18" s="11">
        <f ca="1"/>
        <v>0.60230231891726416</v>
      </c>
      <c r="G18" s="8">
        <f ca="1"/>
        <v>-5.7507442547156673E-3</v>
      </c>
      <c r="H18" s="11">
        <f ca="1"/>
        <v>32.716399868959847</v>
      </c>
      <c r="I18" s="8">
        <f ca="1"/>
        <v>-0.29388132157412217</v>
      </c>
      <c r="J18" s="8">
        <f ca="1"/>
        <v>1.9368357585548672</v>
      </c>
      <c r="K18">
        <f ca="1"/>
        <v>0</v>
      </c>
      <c r="L18">
        <f ca="1"/>
        <v>0</v>
      </c>
    </row>
    <row r="19" spans="2:16" x14ac:dyDescent="0.55000000000000004">
      <c r="B19">
        <v>3.6000000000000004E-2</v>
      </c>
      <c r="C19">
        <f ca="1"/>
        <v>0.13155959211507812</v>
      </c>
      <c r="D19">
        <f ca="1"/>
        <v>1</v>
      </c>
      <c r="E19" s="12">
        <f ca="1"/>
        <v>102.59222030876154</v>
      </c>
      <c r="F19" s="11">
        <f ca="1"/>
        <v>8.1577166694131105</v>
      </c>
      <c r="G19" s="8">
        <f ca="1"/>
        <v>-7.9515938390470997E-2</v>
      </c>
      <c r="H19" s="11">
        <f ca="1"/>
        <v>40.874116538372959</v>
      </c>
      <c r="I19" s="8">
        <f ca="1"/>
        <v>-0.37339725996459316</v>
      </c>
      <c r="J19" s="8">
        <f ca="1"/>
        <v>2.5664625813975093</v>
      </c>
      <c r="K19">
        <f ca="1"/>
        <v>0</v>
      </c>
      <c r="L19">
        <f ca="1"/>
        <v>0</v>
      </c>
    </row>
    <row r="20" spans="2:16" x14ac:dyDescent="0.55000000000000004">
      <c r="B20">
        <v>0.04</v>
      </c>
      <c r="C20">
        <f ca="1"/>
        <v>0.19752777212954131</v>
      </c>
      <c r="D20">
        <f ca="1"/>
        <v>1</v>
      </c>
      <c r="E20" s="12">
        <f ca="1"/>
        <v>103.94643729018649</v>
      </c>
      <c r="F20" s="11">
        <f ca="1"/>
        <v>-5.5667785951393727</v>
      </c>
      <c r="G20" s="8">
        <f ca="1"/>
        <v>5.3554299120407933E-2</v>
      </c>
      <c r="H20" s="11">
        <f ca="1"/>
        <v>35.307337943233584</v>
      </c>
      <c r="I20" s="8">
        <f ca="1"/>
        <v>-0.31984296084418523</v>
      </c>
      <c r="J20" s="8">
        <f ca="1"/>
        <v>2.0608016711359127</v>
      </c>
      <c r="K20">
        <f ca="1"/>
        <v>0</v>
      </c>
      <c r="L20">
        <f ca="1"/>
        <v>0</v>
      </c>
      <c r="M20" s="7">
        <f t="array" aca="1" ref="M20:M21" ca="1">_xll.MONTE.STDEV(C20)</f>
        <v>-3.682849923316224E-3</v>
      </c>
      <c r="N20" s="7">
        <v>0</v>
      </c>
      <c r="O20" s="7">
        <f t="array" aca="1" ref="O20:O21" ca="1">_xll.MONTE.STDEV(E20)</f>
        <v>99.928175749452592</v>
      </c>
      <c r="P20" s="7">
        <f>f*EXP(mu*B20)</f>
        <v>100</v>
      </c>
    </row>
    <row r="21" spans="2:16" x14ac:dyDescent="0.55000000000000004">
      <c r="B21">
        <v>4.3999999999999997E-2</v>
      </c>
      <c r="C21">
        <f ca="1"/>
        <v>0.15712315267085941</v>
      </c>
      <c r="D21">
        <f ca="1"/>
        <v>1</v>
      </c>
      <c r="E21" s="12">
        <f ca="1"/>
        <v>103.10159038124907</v>
      </c>
      <c r="F21" s="11">
        <f ca="1"/>
        <v>3.240845210041265</v>
      </c>
      <c r="G21" s="8">
        <f ca="1"/>
        <v>-3.1433513276150904E-2</v>
      </c>
      <c r="H21" s="11">
        <f ca="1"/>
        <v>38.548183153274849</v>
      </c>
      <c r="I21" s="8">
        <f ca="1"/>
        <v>-0.35127647412033614</v>
      </c>
      <c r="J21" s="8">
        <f ca="1"/>
        <v>2.3310200079505137</v>
      </c>
      <c r="K21">
        <f ca="1"/>
        <v>0</v>
      </c>
      <c r="L21">
        <f ca="1"/>
        <v>0</v>
      </c>
      <c r="M21" s="7">
        <f ca="1"/>
        <v>0.20232311453400736</v>
      </c>
      <c r="N21" s="7">
        <f>SQRT(B20)</f>
        <v>0.2</v>
      </c>
      <c r="O21" s="7">
        <f ca="1"/>
        <v>4.0412704612687227</v>
      </c>
      <c r="P21" s="7"/>
    </row>
    <row r="22" spans="2:16" x14ac:dyDescent="0.55000000000000004">
      <c r="B22">
        <v>4.8000000000000001E-2</v>
      </c>
      <c r="C22">
        <f ca="1"/>
        <v>0.27658291732044243</v>
      </c>
      <c r="D22">
        <f ca="1"/>
        <v>1</v>
      </c>
      <c r="E22" s="12">
        <f ca="1"/>
        <v>105.58610376221513</v>
      </c>
      <c r="F22" s="11">
        <f ca="1"/>
        <v>-9.8531293577049386</v>
      </c>
      <c r="G22" s="8">
        <f ca="1"/>
        <v>9.3318429287765459E-2</v>
      </c>
      <c r="H22" s="11">
        <f ca="1"/>
        <v>28.695053795569912</v>
      </c>
      <c r="I22" s="8">
        <f ca="1"/>
        <v>-0.25795804483257068</v>
      </c>
      <c r="J22" s="8">
        <f ca="1"/>
        <v>1.45826890757996</v>
      </c>
      <c r="K22">
        <f ca="1"/>
        <v>0</v>
      </c>
      <c r="L22">
        <f ca="1"/>
        <v>0</v>
      </c>
    </row>
    <row r="23" spans="2:16" x14ac:dyDescent="0.55000000000000004">
      <c r="B23">
        <v>5.2000000000000005E-2</v>
      </c>
      <c r="C23">
        <f ca="1"/>
        <v>0.30080512919534746</v>
      </c>
      <c r="D23">
        <f ca="1"/>
        <v>1</v>
      </c>
      <c r="E23" s="12">
        <f ca="1"/>
        <v>106.09036297227692</v>
      </c>
      <c r="F23" s="11">
        <f ca="1"/>
        <v>-1.9881387455944044</v>
      </c>
      <c r="G23" s="8">
        <f ca="1"/>
        <v>1.874005036738291E-2</v>
      </c>
      <c r="H23" s="11">
        <f ca="1"/>
        <v>26.706915049975507</v>
      </c>
      <c r="I23" s="8">
        <f ca="1"/>
        <v>-0.23921799446518777</v>
      </c>
      <c r="J23" s="8">
        <f ca="1"/>
        <v>1.3281911876636059</v>
      </c>
      <c r="K23">
        <f ca="1"/>
        <v>0</v>
      </c>
      <c r="L23">
        <f ca="1"/>
        <v>0</v>
      </c>
    </row>
    <row r="24" spans="2:16" x14ac:dyDescent="0.55000000000000004">
      <c r="B24">
        <v>5.6000000000000001E-2</v>
      </c>
      <c r="C24">
        <f ca="1"/>
        <v>0.21880316989657339</v>
      </c>
      <c r="D24">
        <f ca="1"/>
        <v>1</v>
      </c>
      <c r="E24" s="12">
        <f ca="1"/>
        <v>104.35628064445481</v>
      </c>
      <c r="F24" s="11">
        <f ca="1"/>
        <v>6.2089444014754882</v>
      </c>
      <c r="G24" s="8">
        <f ca="1"/>
        <v>-5.9497563185770874E-2</v>
      </c>
      <c r="H24" s="11">
        <f ca="1"/>
        <v>32.915859451450999</v>
      </c>
      <c r="I24" s="8">
        <f ca="1"/>
        <v>-0.29871555765095864</v>
      </c>
      <c r="J24" s="8">
        <f ca="1"/>
        <v>1.7430148843627364</v>
      </c>
      <c r="K24">
        <f ca="1"/>
        <v>0</v>
      </c>
      <c r="L24">
        <f ca="1"/>
        <v>0</v>
      </c>
    </row>
    <row r="25" spans="2:16" x14ac:dyDescent="0.55000000000000004">
      <c r="B25">
        <v>0.06</v>
      </c>
      <c r="C25">
        <f ca="1"/>
        <v>4.4187135085260287E-2</v>
      </c>
      <c r="D25">
        <f ca="1"/>
        <v>1</v>
      </c>
      <c r="E25" s="12">
        <f ca="1"/>
        <v>100.76666665536476</v>
      </c>
      <c r="F25" s="11">
        <f ca="1"/>
        <v>15.023751695241897</v>
      </c>
      <c r="G25" s="8">
        <f ca="1"/>
        <v>-0.14909445944684369</v>
      </c>
      <c r="H25" s="11">
        <f ca="1"/>
        <v>47.939611146692897</v>
      </c>
      <c r="I25" s="8">
        <f ca="1"/>
        <v>-0.44781001709780233</v>
      </c>
      <c r="J25" s="8">
        <f ca="1"/>
        <v>2.8152884288654576</v>
      </c>
      <c r="K25">
        <f ca="1"/>
        <v>0</v>
      </c>
      <c r="L25">
        <f ca="1"/>
        <v>0</v>
      </c>
    </row>
    <row r="26" spans="2:16" x14ac:dyDescent="0.55000000000000004">
      <c r="B26">
        <v>6.4000000000000001E-2</v>
      </c>
      <c r="C26">
        <f ca="1"/>
        <v>9.2712700741800408E-2</v>
      </c>
      <c r="D26">
        <f ca="1"/>
        <v>1</v>
      </c>
      <c r="E26" s="12">
        <f ca="1"/>
        <v>101.74123988666912</v>
      </c>
      <c r="F26" s="11">
        <f ca="1"/>
        <v>-4.4672763536693134</v>
      </c>
      <c r="G26" s="8">
        <f ca="1"/>
        <v>4.3908216163332292E-2</v>
      </c>
      <c r="H26" s="11">
        <f ca="1"/>
        <v>43.472334793023585</v>
      </c>
      <c r="I26" s="8">
        <f ca="1"/>
        <v>-0.40390180093447003</v>
      </c>
      <c r="J26" s="8">
        <f ca="1"/>
        <v>2.3788647734919905</v>
      </c>
      <c r="K26">
        <f ca="1"/>
        <v>0</v>
      </c>
      <c r="L26">
        <f ca="1"/>
        <v>0</v>
      </c>
    </row>
    <row r="27" spans="2:16" x14ac:dyDescent="0.55000000000000004">
      <c r="B27">
        <v>6.8000000000000005E-2</v>
      </c>
      <c r="C27">
        <f ca="1"/>
        <v>0.14180755318005117</v>
      </c>
      <c r="D27">
        <f ca="1"/>
        <v>1</v>
      </c>
      <c r="E27" s="12">
        <f ca="1"/>
        <v>102.73693547434601</v>
      </c>
      <c r="F27" s="11">
        <f ca="1"/>
        <v>-4.5359028134167731</v>
      </c>
      <c r="G27" s="8">
        <f ca="1"/>
        <v>4.4150653243393789E-2</v>
      </c>
      <c r="H27" s="11">
        <f ca="1"/>
        <v>38.936431979606809</v>
      </c>
      <c r="I27" s="8">
        <f ca="1"/>
        <v>-0.35975114769107625</v>
      </c>
      <c r="J27" s="8">
        <f ca="1"/>
        <v>1.9767015324467891</v>
      </c>
      <c r="K27">
        <f ca="1"/>
        <v>0</v>
      </c>
      <c r="L27">
        <f ca="1"/>
        <v>0</v>
      </c>
    </row>
    <row r="28" spans="2:16" x14ac:dyDescent="0.55000000000000004">
      <c r="B28">
        <v>7.2000000000000008E-2</v>
      </c>
      <c r="C28">
        <f ca="1"/>
        <v>0.1088449142298322</v>
      </c>
      <c r="D28">
        <f ca="1"/>
        <v>1</v>
      </c>
      <c r="E28" s="12">
        <f ca="1"/>
        <v>102.05370239811604</v>
      </c>
      <c r="F28" s="11">
        <f ca="1"/>
        <v>2.9385851055174705</v>
      </c>
      <c r="G28" s="8">
        <f ca="1"/>
        <v>-2.8794497764068561E-2</v>
      </c>
      <c r="H28" s="11">
        <f ca="1"/>
        <v>41.875017085124277</v>
      </c>
      <c r="I28" s="8">
        <f ca="1"/>
        <v>-0.38854564545514481</v>
      </c>
      <c r="J28" s="8">
        <f ca="1"/>
        <v>2.2224954157610171</v>
      </c>
      <c r="K28">
        <f ca="1"/>
        <v>0</v>
      </c>
      <c r="L28">
        <f ca="1"/>
        <v>0</v>
      </c>
    </row>
    <row r="29" spans="2:16" x14ac:dyDescent="0.55000000000000004">
      <c r="B29">
        <v>7.5999999999999998E-2</v>
      </c>
      <c r="C29">
        <f ca="1"/>
        <v>0.12947690149019384</v>
      </c>
      <c r="D29">
        <f ca="1"/>
        <v>1</v>
      </c>
      <c r="E29" s="12">
        <f ca="1"/>
        <v>102.46748884710233</v>
      </c>
      <c r="F29" s="11">
        <f ca="1"/>
        <v>-1.9791257291352438</v>
      </c>
      <c r="G29" s="8">
        <f ca="1"/>
        <v>1.9314669964132836E-2</v>
      </c>
      <c r="H29" s="11">
        <f ca="1"/>
        <v>39.895891355989036</v>
      </c>
      <c r="I29" s="8">
        <f ca="1"/>
        <v>-0.36923097549101197</v>
      </c>
      <c r="J29" s="8">
        <f ca="1"/>
        <v>2.0617204928590525</v>
      </c>
      <c r="K29">
        <f ca="1"/>
        <v>0</v>
      </c>
      <c r="L29">
        <f ca="1"/>
        <v>0</v>
      </c>
    </row>
    <row r="30" spans="2:16" x14ac:dyDescent="0.55000000000000004">
      <c r="B30">
        <v>0.08</v>
      </c>
      <c r="C30">
        <f ca="1"/>
        <v>0.1815435997714332</v>
      </c>
      <c r="D30">
        <f ca="1"/>
        <v>1</v>
      </c>
      <c r="E30" s="12">
        <f ca="1"/>
        <v>103.53180973723302</v>
      </c>
      <c r="F30" s="11">
        <f ca="1"/>
        <v>-4.8907513265215385</v>
      </c>
      <c r="G30" s="8">
        <f ca="1"/>
        <v>4.7239117513104611E-2</v>
      </c>
      <c r="H30" s="11">
        <f ca="1"/>
        <v>35.005140029467498</v>
      </c>
      <c r="I30" s="8">
        <f ca="1"/>
        <v>-0.32199185797790736</v>
      </c>
      <c r="J30" s="8">
        <f ca="1"/>
        <v>1.6687402523606352</v>
      </c>
      <c r="K30">
        <f ca="1"/>
        <v>0</v>
      </c>
      <c r="L30">
        <f ca="1"/>
        <v>0</v>
      </c>
    </row>
    <row r="31" spans="2:16" x14ac:dyDescent="0.55000000000000004">
      <c r="B31">
        <v>8.4000000000000005E-2</v>
      </c>
      <c r="C31">
        <f ca="1"/>
        <v>0.13129339866010115</v>
      </c>
      <c r="D31">
        <f ca="1"/>
        <v>1</v>
      </c>
      <c r="E31" s="12">
        <f ca="1"/>
        <v>102.48832254725441</v>
      </c>
      <c r="F31" s="11">
        <f ca="1"/>
        <v>4.5139151061057055</v>
      </c>
      <c r="G31" s="8">
        <f ca="1"/>
        <v>-4.4043213840527728E-2</v>
      </c>
      <c r="H31" s="11">
        <f ca="1"/>
        <v>39.519055135573204</v>
      </c>
      <c r="I31" s="8">
        <f ca="1"/>
        <v>-0.36603507181843509</v>
      </c>
      <c r="J31" s="8">
        <f ca="1"/>
        <v>2.0047346314379979</v>
      </c>
      <c r="K31">
        <f ca="1"/>
        <v>0</v>
      </c>
      <c r="L31">
        <f ca="1"/>
        <v>0</v>
      </c>
    </row>
    <row r="32" spans="2:16" x14ac:dyDescent="0.55000000000000004">
      <c r="B32">
        <v>8.7999999999999995E-2</v>
      </c>
      <c r="C32">
        <f ca="1"/>
        <v>0.11767599000023436</v>
      </c>
      <c r="D32">
        <f ca="1"/>
        <v>1</v>
      </c>
      <c r="E32" s="12">
        <f ca="1"/>
        <v>102.20140078513391</v>
      </c>
      <c r="F32" s="11">
        <f ca="1"/>
        <v>1.222208864793187</v>
      </c>
      <c r="G32" s="8">
        <f ca="1"/>
        <v>-1.1958826937829681E-2</v>
      </c>
      <c r="H32" s="11">
        <f ca="1"/>
        <v>40.741264000366392</v>
      </c>
      <c r="I32" s="8">
        <f ca="1"/>
        <v>-0.37799389875626477</v>
      </c>
      <c r="J32" s="8">
        <f ca="1"/>
        <v>2.1097580592420471</v>
      </c>
      <c r="K32">
        <f ca="1"/>
        <v>0</v>
      </c>
      <c r="L32">
        <f ca="1"/>
        <v>0</v>
      </c>
    </row>
    <row r="33" spans="2:12" x14ac:dyDescent="0.55000000000000004">
      <c r="B33">
        <v>9.1999999999999998E-2</v>
      </c>
      <c r="C33">
        <f ca="1"/>
        <v>4.6145283947534838E-2</v>
      </c>
      <c r="D33">
        <f ca="1"/>
        <v>1</v>
      </c>
      <c r="E33" s="12">
        <f ca="1"/>
        <v>100.74164232321678</v>
      </c>
      <c r="F33" s="11">
        <f ca="1"/>
        <v>6.9736725132514445</v>
      </c>
      <c r="G33" s="8">
        <f ca="1"/>
        <v>-6.922333557832322E-2</v>
      </c>
      <c r="H33" s="11">
        <f ca="1"/>
        <v>47.714936513617836</v>
      </c>
      <c r="I33" s="8">
        <f ca="1"/>
        <v>-0.44721723433458799</v>
      </c>
      <c r="J33" s="8">
        <f ca="1"/>
        <v>2.6615378515045478</v>
      </c>
      <c r="K33">
        <f ca="1"/>
        <v>0</v>
      </c>
      <c r="L33">
        <f ca="1"/>
        <v>0</v>
      </c>
    </row>
    <row r="34" spans="2:12" x14ac:dyDescent="0.55000000000000004">
      <c r="B34">
        <v>9.6000000000000002E-2</v>
      </c>
      <c r="C34">
        <f ca="1"/>
        <v>0.13106043341461404</v>
      </c>
      <c r="D34">
        <f ca="1"/>
        <v>1</v>
      </c>
      <c r="E34" s="12">
        <f ca="1"/>
        <v>102.45895431496534</v>
      </c>
      <c r="F34" s="11">
        <f ca="1"/>
        <v>-8.5634925307338889</v>
      </c>
      <c r="G34" s="8">
        <f ca="1"/>
        <v>8.3579737739750581E-2</v>
      </c>
      <c r="H34" s="11">
        <f ca="1"/>
        <v>39.151443982883947</v>
      </c>
      <c r="I34" s="8">
        <f ca="1"/>
        <v>-0.36363749659483741</v>
      </c>
      <c r="J34" s="8">
        <f ca="1"/>
        <v>1.8935263320651359</v>
      </c>
      <c r="K34">
        <f ca="1"/>
        <v>0</v>
      </c>
      <c r="L34">
        <f ca="1"/>
        <v>0</v>
      </c>
    </row>
    <row r="35" spans="2:12" x14ac:dyDescent="0.55000000000000004">
      <c r="B35">
        <v>0.1</v>
      </c>
      <c r="C35">
        <f ca="1"/>
        <v>0.18992040056174278</v>
      </c>
      <c r="D35">
        <f ca="1"/>
        <v>1</v>
      </c>
      <c r="E35" s="12">
        <f ca="1"/>
        <v>103.66393431776801</v>
      </c>
      <c r="F35" s="11">
        <f ca="1"/>
        <v>-5.83157270937724</v>
      </c>
      <c r="G35" s="8">
        <f ca="1"/>
        <v>5.6254595658132456E-2</v>
      </c>
      <c r="H35" s="11">
        <f ca="1"/>
        <v>33.319871273506706</v>
      </c>
      <c r="I35" s="8">
        <f ca="1"/>
        <v>-0.30738290093670495</v>
      </c>
      <c r="J35" s="8">
        <f ca="1"/>
        <v>1.4553504203991317</v>
      </c>
      <c r="K35">
        <f ca="1"/>
        <v>0</v>
      </c>
      <c r="L35">
        <f ca="1"/>
        <v>0</v>
      </c>
    </row>
    <row r="36" spans="2:12" x14ac:dyDescent="0.55000000000000004">
      <c r="B36">
        <v>0.10400000000000001</v>
      </c>
      <c r="C36">
        <f ca="1"/>
        <v>0.17059370153070766</v>
      </c>
      <c r="D36">
        <f ca="1"/>
        <v>1</v>
      </c>
      <c r="E36" s="12">
        <f ca="1"/>
        <v>103.25575061241874</v>
      </c>
      <c r="F36" s="11">
        <f ca="1"/>
        <v>1.6819071965339163</v>
      </c>
      <c r="G36" s="8">
        <f ca="1"/>
        <v>-1.6288750859476397E-2</v>
      </c>
      <c r="H36" s="11">
        <f ca="1"/>
        <v>35.00177847004062</v>
      </c>
      <c r="I36" s="8">
        <f ca="1"/>
        <v>-0.32367165179618135</v>
      </c>
      <c r="J36" s="8">
        <f ca="1"/>
        <v>1.5808191118644856</v>
      </c>
      <c r="K36">
        <f ca="1"/>
        <v>0</v>
      </c>
      <c r="L36">
        <f ca="1"/>
        <v>0</v>
      </c>
    </row>
    <row r="37" spans="2:12" x14ac:dyDescent="0.55000000000000004">
      <c r="B37">
        <v>0.108</v>
      </c>
      <c r="C37">
        <f ca="1"/>
        <v>0.19393707863599449</v>
      </c>
      <c r="D37">
        <f ca="1"/>
        <v>1</v>
      </c>
      <c r="E37" s="12">
        <f ca="1"/>
        <v>103.73064647554276</v>
      </c>
      <c r="F37" s="11">
        <f ca="1"/>
        <v>-2.4294207933435925</v>
      </c>
      <c r="G37" s="8">
        <f ca="1"/>
        <v>2.3420472887117239E-2</v>
      </c>
      <c r="H37" s="11">
        <f ca="1"/>
        <v>32.572357676697024</v>
      </c>
      <c r="I37" s="8">
        <f ca="1"/>
        <v>-0.30025117890906411</v>
      </c>
      <c r="J37" s="8">
        <f ca="1"/>
        <v>1.4271087834159566</v>
      </c>
      <c r="K37">
        <f ca="1"/>
        <v>0</v>
      </c>
      <c r="L37">
        <f ca="1"/>
        <v>0</v>
      </c>
    </row>
    <row r="38" spans="2:12" x14ac:dyDescent="0.55000000000000004">
      <c r="B38">
        <v>0.112</v>
      </c>
      <c r="C38">
        <f ca="1"/>
        <v>0.17099699734336438</v>
      </c>
      <c r="D38">
        <f ca="1"/>
        <v>1</v>
      </c>
      <c r="E38" s="12">
        <f ca="1"/>
        <v>103.24755853967895</v>
      </c>
      <c r="F38" s="11">
        <f ca="1"/>
        <v>2.0534700018870131</v>
      </c>
      <c r="G38" s="8">
        <f ca="1"/>
        <v>-1.9888799608736962E-2</v>
      </c>
      <c r="H38" s="11">
        <f ca="1"/>
        <v>34.625827678584038</v>
      </c>
      <c r="I38" s="8">
        <f ca="1"/>
        <v>-0.32013997851780107</v>
      </c>
      <c r="J38" s="8">
        <f ca="1"/>
        <v>1.5721565056758138</v>
      </c>
      <c r="K38">
        <f ca="1"/>
        <v>0</v>
      </c>
      <c r="L38">
        <f ca="1"/>
        <v>0</v>
      </c>
    </row>
    <row r="39" spans="2:12" x14ac:dyDescent="0.55000000000000004">
      <c r="B39">
        <v>0.11600000000000001</v>
      </c>
      <c r="C39">
        <f ca="1"/>
        <v>0.1674825430027958</v>
      </c>
      <c r="D39">
        <f ca="1"/>
        <v>1</v>
      </c>
      <c r="E39" s="12">
        <f ca="1"/>
        <v>103.16675860183693</v>
      </c>
      <c r="F39" s="11">
        <f ca="1"/>
        <v>0.1796400001016174</v>
      </c>
      <c r="G39" s="8">
        <f ca="1"/>
        <v>-1.7412585462234231E-3</v>
      </c>
      <c r="H39" s="11">
        <f ca="1"/>
        <v>34.805467678685659</v>
      </c>
      <c r="I39" s="8">
        <f ca="1"/>
        <v>-0.32188123706402449</v>
      </c>
      <c r="J39" s="8">
        <f ca="1"/>
        <v>1.598023796040799</v>
      </c>
      <c r="K39">
        <f ca="1"/>
        <v>0</v>
      </c>
      <c r="L39">
        <f ca="1"/>
        <v>0</v>
      </c>
    </row>
    <row r="40" spans="2:12" x14ac:dyDescent="0.55000000000000004">
      <c r="B40">
        <v>0.12</v>
      </c>
      <c r="C40">
        <f ca="1"/>
        <v>0.23508076271824754</v>
      </c>
      <c r="D40">
        <f ca="1"/>
        <v>1</v>
      </c>
      <c r="E40" s="12">
        <f ca="1"/>
        <v>104.56264218258417</v>
      </c>
      <c r="F40" s="11">
        <f ca="1"/>
        <v>-6.8565264829055765</v>
      </c>
      <c r="G40" s="8">
        <f ca="1"/>
        <v>6.5573385865029254E-2</v>
      </c>
      <c r="H40" s="11">
        <f ca="1"/>
        <v>27.948941195780083</v>
      </c>
      <c r="I40" s="8">
        <f ca="1"/>
        <v>-0.25630785119899524</v>
      </c>
      <c r="J40" s="8">
        <f ca="1"/>
        <v>1.1487150622725153</v>
      </c>
      <c r="K40">
        <f ca="1"/>
        <v>0</v>
      </c>
      <c r="L40">
        <f ca="1"/>
        <v>0</v>
      </c>
    </row>
    <row r="41" spans="2:12" x14ac:dyDescent="0.55000000000000004">
      <c r="B41">
        <v>0.124</v>
      </c>
      <c r="C41">
        <f ca="1"/>
        <v>0.19423050513462889</v>
      </c>
      <c r="D41">
        <f ca="1"/>
        <v>1</v>
      </c>
      <c r="E41" s="12">
        <f ca="1"/>
        <v>103.70354367408432</v>
      </c>
      <c r="F41" s="11">
        <f ca="1"/>
        <v>3.6944745822141503</v>
      </c>
      <c r="G41" s="8">
        <f ca="1"/>
        <v>-3.562534558920194E-2</v>
      </c>
      <c r="H41" s="11">
        <f ca="1"/>
        <v>31.643415777994235</v>
      </c>
      <c r="I41" s="8">
        <f ca="1"/>
        <v>-0.29193319678819718</v>
      </c>
      <c r="J41" s="8">
        <f ca="1"/>
        <v>1.3689087549543792</v>
      </c>
      <c r="K41">
        <f ca="1"/>
        <v>0</v>
      </c>
      <c r="L41">
        <f ca="1"/>
        <v>0</v>
      </c>
    </row>
    <row r="42" spans="2:12" x14ac:dyDescent="0.55000000000000004">
      <c r="B42">
        <v>0.128</v>
      </c>
      <c r="C42">
        <f ca="1"/>
        <v>2.7090583458080186E-2</v>
      </c>
      <c r="D42">
        <f ca="1"/>
        <v>1</v>
      </c>
      <c r="E42" s="12">
        <f ca="1"/>
        <v>100.28622050011549</v>
      </c>
      <c r="F42" s="11">
        <f ca="1"/>
        <v>17.834808846545787</v>
      </c>
      <c r="G42" s="8">
        <f ca="1"/>
        <v>-0.17783907657109532</v>
      </c>
      <c r="H42" s="11">
        <f ca="1"/>
        <v>49.478224624540019</v>
      </c>
      <c r="I42" s="8">
        <f ca="1"/>
        <v>-0.4697722733592925</v>
      </c>
      <c r="J42" s="8">
        <f ca="1"/>
        <v>2.3665388335894804</v>
      </c>
      <c r="K42">
        <f ca="1"/>
        <v>0</v>
      </c>
      <c r="L42">
        <f ca="1"/>
        <v>0</v>
      </c>
    </row>
    <row r="43" spans="2:12" x14ac:dyDescent="0.55000000000000004">
      <c r="B43">
        <v>0.13200000000000001</v>
      </c>
      <c r="C43">
        <f ca="1"/>
        <v>-4.5897536299875058E-2</v>
      </c>
      <c r="D43">
        <f ca="1"/>
        <v>1</v>
      </c>
      <c r="E43" s="12">
        <f ca="1"/>
        <v>98.825006872821149</v>
      </c>
      <c r="F43" s="11">
        <f ca="1"/>
        <v>8.3985842306233618</v>
      </c>
      <c r="G43" s="8">
        <f ca="1"/>
        <v>-8.4984403203043346E-2</v>
      </c>
      <c r="H43" s="11">
        <f ca="1"/>
        <v>57.876808855163382</v>
      </c>
      <c r="I43" s="8">
        <f ca="1"/>
        <v>-0.55475667656233585</v>
      </c>
      <c r="J43" s="8">
        <f ca="1"/>
        <v>3.0529764811471196</v>
      </c>
      <c r="K43">
        <f ca="1"/>
        <v>0</v>
      </c>
      <c r="L43">
        <f ca="1"/>
        <v>1.1749931271788512</v>
      </c>
    </row>
    <row r="44" spans="2:12" x14ac:dyDescent="0.55000000000000004">
      <c r="B44">
        <v>0.13600000000000001</v>
      </c>
      <c r="C44">
        <f ca="1"/>
        <v>8.3831227005368464E-2</v>
      </c>
      <c r="D44">
        <f ca="1"/>
        <v>1</v>
      </c>
      <c r="E44" s="12">
        <f ca="1"/>
        <v>101.41453574128651</v>
      </c>
      <c r="F44" s="11">
        <f ca="1"/>
        <v>-15.240353788182336</v>
      </c>
      <c r="G44" s="8">
        <f ca="1"/>
        <v>0.15027780462419343</v>
      </c>
      <c r="H44" s="11">
        <f ca="1"/>
        <v>42.636455066981043</v>
      </c>
      <c r="I44" s="8">
        <f ca="1"/>
        <v>-0.40447887193814241</v>
      </c>
      <c r="J44" s="8">
        <f ca="1"/>
        <v>1.616418052215046</v>
      </c>
      <c r="K44">
        <f ca="1"/>
        <v>0</v>
      </c>
      <c r="L44">
        <f ca="1"/>
        <v>0</v>
      </c>
    </row>
    <row r="45" spans="2:12" x14ac:dyDescent="0.55000000000000004">
      <c r="B45">
        <v>0.14000000000000001</v>
      </c>
      <c r="C45">
        <f ca="1"/>
        <v>6.9209358111326905E-2</v>
      </c>
      <c r="D45">
        <f ca="1"/>
        <v>1</v>
      </c>
      <c r="E45" s="12">
        <f ca="1"/>
        <v>101.1103058083702</v>
      </c>
      <c r="F45" s="11">
        <f ca="1"/>
        <v>1.6588771564875977</v>
      </c>
      <c r="G45" s="8">
        <f ca="1"/>
        <v>-1.6406608042820015E-2</v>
      </c>
      <c r="H45" s="11">
        <f ca="1"/>
        <v>44.295332223468641</v>
      </c>
      <c r="I45" s="8">
        <f ca="1"/>
        <v>-0.42088547998096243</v>
      </c>
      <c r="J45" s="8">
        <f ca="1"/>
        <v>1.7394726322908554</v>
      </c>
      <c r="K45">
        <f ca="1"/>
        <v>0</v>
      </c>
      <c r="L45">
        <f ca="1"/>
        <v>0</v>
      </c>
    </row>
    <row r="46" spans="2:12" x14ac:dyDescent="0.55000000000000004">
      <c r="B46">
        <v>0.14400000000000002</v>
      </c>
      <c r="C46">
        <f ca="1"/>
        <v>5.3076080761499701E-2</v>
      </c>
      <c r="D46">
        <f ca="1"/>
        <v>1</v>
      </c>
      <c r="E46" s="12">
        <f ca="1"/>
        <v>100.77652102237596</v>
      </c>
      <c r="F46" s="11">
        <f ca="1"/>
        <v>1.9111485806755801</v>
      </c>
      <c r="G46" s="8">
        <f ca="1"/>
        <v>-1.8964224615882874E-2</v>
      </c>
      <c r="H46" s="11">
        <f ca="1"/>
        <v>46.206480804144221</v>
      </c>
      <c r="I46" s="8">
        <f ca="1"/>
        <v>-0.4398497045968453</v>
      </c>
      <c r="J46" s="8">
        <f ca="1"/>
        <v>1.8799578021543866</v>
      </c>
      <c r="K46">
        <f ca="1"/>
        <v>0</v>
      </c>
      <c r="L46">
        <f ca="1"/>
        <v>0</v>
      </c>
    </row>
    <row r="47" spans="2:12" x14ac:dyDescent="0.55000000000000004">
      <c r="B47">
        <v>0.14799999999999999</v>
      </c>
      <c r="C47">
        <f ca="1"/>
        <v>3.1431246078661962E-2</v>
      </c>
      <c r="D47">
        <f ca="1"/>
        <v>1</v>
      </c>
      <c r="E47" s="12">
        <f ca="1"/>
        <v>100.33317873213257</v>
      </c>
      <c r="F47" s="11">
        <f ca="1"/>
        <v>2.6762655840504777</v>
      </c>
      <c r="G47" s="8">
        <f ca="1"/>
        <v>-2.6673784463617123E-2</v>
      </c>
      <c r="H47" s="11">
        <f ca="1"/>
        <v>48.882746388194697</v>
      </c>
      <c r="I47" s="8">
        <f ca="1"/>
        <v>-0.46652348906046243</v>
      </c>
      <c r="J47" s="8">
        <f ca="1"/>
        <v>2.0749617775532272</v>
      </c>
      <c r="K47">
        <f ca="1"/>
        <v>0</v>
      </c>
      <c r="L47">
        <f ca="1"/>
        <v>0</v>
      </c>
    </row>
    <row r="48" spans="2:12" x14ac:dyDescent="0.55000000000000004">
      <c r="B48">
        <v>0.152</v>
      </c>
      <c r="C48">
        <f ca="1"/>
        <v>6.7568945143510306E-2</v>
      </c>
      <c r="D48">
        <f ca="1"/>
        <v>1</v>
      </c>
      <c r="E48" s="12">
        <f ca="1"/>
        <v>101.05288311557099</v>
      </c>
      <c r="F48" s="11">
        <f ca="1"/>
        <v>-4.5708545774636047</v>
      </c>
      <c r="G48" s="8">
        <f ca="1"/>
        <v>4.5232302498841748E-2</v>
      </c>
      <c r="H48" s="11">
        <f ca="1"/>
        <v>44.31189181073109</v>
      </c>
      <c r="I48" s="8">
        <f ca="1"/>
        <v>-0.42129118656162068</v>
      </c>
      <c r="J48" s="8">
        <f ca="1"/>
        <v>1.7392027774994219</v>
      </c>
      <c r="K48">
        <f ca="1"/>
        <v>0</v>
      </c>
      <c r="L48">
        <f ca="1"/>
        <v>0</v>
      </c>
    </row>
    <row r="49" spans="2:12" x14ac:dyDescent="0.55000000000000004">
      <c r="B49">
        <v>0.156</v>
      </c>
      <c r="C49">
        <f ca="1"/>
        <v>6.4569380979022442E-2</v>
      </c>
      <c r="D49">
        <f ca="1"/>
        <v>1</v>
      </c>
      <c r="E49" s="12">
        <f ca="1"/>
        <v>100.98419931568384</v>
      </c>
      <c r="F49" s="11">
        <f ca="1"/>
        <v>0.32461629299261652</v>
      </c>
      <c r="G49" s="8">
        <f ca="1"/>
        <v>-3.2145255910565051E-3</v>
      </c>
      <c r="H49" s="11">
        <f ca="1"/>
        <v>44.636508103723706</v>
      </c>
      <c r="I49" s="8">
        <f ca="1"/>
        <v>-0.42450571215267718</v>
      </c>
      <c r="J49" s="8">
        <f ca="1"/>
        <v>1.7681386570514448</v>
      </c>
      <c r="K49">
        <f ca="1"/>
        <v>0</v>
      </c>
      <c r="L49">
        <f ca="1"/>
        <v>0</v>
      </c>
    </row>
    <row r="50" spans="2:12" x14ac:dyDescent="0.55000000000000004">
      <c r="B50">
        <v>0.16</v>
      </c>
      <c r="C50">
        <f ca="1"/>
        <v>7.2227660424275877E-2</v>
      </c>
      <c r="D50">
        <f ca="1"/>
        <v>1</v>
      </c>
      <c r="E50" s="12">
        <f ca="1"/>
        <v>101.13090007707169</v>
      </c>
      <c r="F50" s="11">
        <f ca="1"/>
        <v>-1.0686851626404281</v>
      </c>
      <c r="G50" s="8">
        <f ca="1"/>
        <v>1.0567345507910886E-2</v>
      </c>
      <c r="H50" s="11">
        <f ca="1"/>
        <v>43.567822941083278</v>
      </c>
      <c r="I50" s="8">
        <f ca="1"/>
        <v>-0.4139383666447663</v>
      </c>
      <c r="J50" s="8">
        <f ca="1"/>
        <v>1.7058633458651542</v>
      </c>
      <c r="K50">
        <f ca="1"/>
        <v>0</v>
      </c>
      <c r="L50">
        <f ca="1"/>
        <v>0</v>
      </c>
    </row>
    <row r="51" spans="2:12" x14ac:dyDescent="0.55000000000000004">
      <c r="B51">
        <v>0.16400000000000001</v>
      </c>
      <c r="C51">
        <f ca="1"/>
        <v>0.11674648122295003</v>
      </c>
      <c r="D51">
        <f ca="1"/>
        <v>1</v>
      </c>
      <c r="E51" s="12">
        <f ca="1"/>
        <v>102.02720385978898</v>
      </c>
      <c r="F51" s="11">
        <f ca="1"/>
        <v>-5.99995800462872</v>
      </c>
      <c r="G51" s="8">
        <f ca="1"/>
        <v>5.8807433484839688E-2</v>
      </c>
      <c r="H51" s="11">
        <f ca="1"/>
        <v>37.567864936454555</v>
      </c>
      <c r="I51" s="8">
        <f ca="1"/>
        <v>-0.35513093315992661</v>
      </c>
      <c r="J51" s="8">
        <f ca="1"/>
        <v>1.3348488220296275</v>
      </c>
      <c r="K51">
        <f ca="1"/>
        <v>0</v>
      </c>
      <c r="L51">
        <f ca="1"/>
        <v>0</v>
      </c>
    </row>
    <row r="52" spans="2:12" x14ac:dyDescent="0.55000000000000004">
      <c r="B52">
        <v>0.16800000000000001</v>
      </c>
      <c r="C52">
        <f ca="1"/>
        <v>0.15333688299694814</v>
      </c>
      <c r="D52">
        <f ca="1"/>
        <v>1</v>
      </c>
      <c r="E52" s="12">
        <f ca="1"/>
        <v>102.76836401230453</v>
      </c>
      <c r="F52" s="11">
        <f ca="1"/>
        <v>-4.9849966940534918</v>
      </c>
      <c r="G52" s="8">
        <f ca="1"/>
        <v>4.8507113467882335E-2</v>
      </c>
      <c r="H52" s="11">
        <f ca="1"/>
        <v>32.582868242401062</v>
      </c>
      <c r="I52" s="8">
        <f ca="1"/>
        <v>-0.30662381969204427</v>
      </c>
      <c r="J52" s="8">
        <f ca="1"/>
        <v>1.071639925445826</v>
      </c>
      <c r="K52">
        <f ca="1"/>
        <v>0</v>
      </c>
      <c r="L52">
        <f ca="1"/>
        <v>0</v>
      </c>
    </row>
    <row r="53" spans="2:12" x14ac:dyDescent="0.55000000000000004">
      <c r="B53">
        <v>0.17200000000000001</v>
      </c>
      <c r="C53">
        <f ca="1"/>
        <v>0.17281910037395992</v>
      </c>
      <c r="D53">
        <f ca="1"/>
        <v>1</v>
      </c>
      <c r="E53" s="12">
        <f ca="1"/>
        <v>103.16132304061512</v>
      </c>
      <c r="F53" s="11">
        <f ca="1"/>
        <v>-2.826113909072475</v>
      </c>
      <c r="G53" s="8">
        <f ca="1"/>
        <v>2.739509174344168E-2</v>
      </c>
      <c r="H53" s="11">
        <f ca="1"/>
        <v>29.756754333328587</v>
      </c>
      <c r="I53" s="8">
        <f ca="1"/>
        <v>-0.2792287279486026</v>
      </c>
      <c r="J53" s="8">
        <f ca="1"/>
        <v>0.95114932720276002</v>
      </c>
      <c r="K53">
        <f ca="1"/>
        <v>0</v>
      </c>
      <c r="L53">
        <f ca="1"/>
        <v>0</v>
      </c>
    </row>
    <row r="54" spans="2:12" x14ac:dyDescent="0.55000000000000004">
      <c r="B54">
        <v>0.17599999999999999</v>
      </c>
      <c r="C54">
        <f ca="1"/>
        <v>0.20236569666031617</v>
      </c>
      <c r="D54">
        <f ca="1"/>
        <v>1</v>
      </c>
      <c r="E54" s="12">
        <f ca="1"/>
        <v>103.76443949894161</v>
      </c>
      <c r="F54" s="11">
        <f ca="1"/>
        <v>-4.0741786210405477</v>
      </c>
      <c r="G54" s="8">
        <f ca="1"/>
        <v>3.9263726963822743E-2</v>
      </c>
      <c r="H54" s="11">
        <f ca="1"/>
        <v>25.682575712288038</v>
      </c>
      <c r="I54" s="8">
        <f ca="1"/>
        <v>-0.23996500098477985</v>
      </c>
      <c r="J54" s="8">
        <f ca="1"/>
        <v>0.78274188573938375</v>
      </c>
      <c r="K54">
        <f ca="1"/>
        <v>0</v>
      </c>
      <c r="L54">
        <f ca="1"/>
        <v>0</v>
      </c>
    </row>
    <row r="55" spans="2:12" x14ac:dyDescent="0.55000000000000004">
      <c r="B55">
        <v>0.18</v>
      </c>
      <c r="C55">
        <f ca="1"/>
        <v>0.24673109089851386</v>
      </c>
      <c r="D55">
        <f ca="1"/>
        <v>1</v>
      </c>
      <c r="E55" s="12">
        <f ca="1"/>
        <v>104.68087162226105</v>
      </c>
      <c r="F55" s="11">
        <f ca="1"/>
        <v>-5.5999022657134887</v>
      </c>
      <c r="G55" s="8">
        <f ca="1"/>
        <v>5.3494990812845256E-2</v>
      </c>
      <c r="H55" s="11">
        <f ca="1"/>
        <v>20.08267344657455</v>
      </c>
      <c r="I55" s="8">
        <f ca="1"/>
        <v>-0.1864700101719346</v>
      </c>
      <c r="J55" s="8">
        <f ca="1"/>
        <v>0.56283025036455214</v>
      </c>
      <c r="K55">
        <f ca="1"/>
        <v>0</v>
      </c>
      <c r="L55">
        <f ca="1"/>
        <v>0</v>
      </c>
    </row>
    <row r="56" spans="2:12" x14ac:dyDescent="0.55000000000000004">
      <c r="B56">
        <v>0.184</v>
      </c>
      <c r="C56">
        <f ca="1"/>
        <v>0.26682296351729523</v>
      </c>
      <c r="D56">
        <f ca="1"/>
        <v>1</v>
      </c>
      <c r="E56" s="12">
        <f ca="1"/>
        <v>105.09395700872382</v>
      </c>
      <c r="F56" s="11">
        <f ca="1"/>
        <v>-2.7362221257260768</v>
      </c>
      <c r="G56" s="8">
        <f ca="1"/>
        <v>2.6035960616640819E-2</v>
      </c>
      <c r="H56" s="11">
        <f ca="1"/>
        <v>17.346451320848473</v>
      </c>
      <c r="I56" s="8">
        <f ca="1"/>
        <v>-0.16043404955529378</v>
      </c>
      <c r="J56" s="8">
        <f ca="1"/>
        <v>0.4858022141489613</v>
      </c>
      <c r="K56">
        <f ca="1"/>
        <v>0</v>
      </c>
      <c r="L56">
        <f ca="1"/>
        <v>0</v>
      </c>
    </row>
    <row r="57" spans="2:12" x14ac:dyDescent="0.55000000000000004">
      <c r="B57">
        <v>0.188</v>
      </c>
      <c r="C57">
        <f ca="1"/>
        <v>0.25425282938647992</v>
      </c>
      <c r="D57">
        <f ca="1"/>
        <v>1</v>
      </c>
      <c r="E57" s="12">
        <f ca="1"/>
        <v>104.82169374674926</v>
      </c>
      <c r="F57" s="11">
        <f ca="1"/>
        <v>0.5727808069488235</v>
      </c>
      <c r="G57" s="8">
        <f ca="1"/>
        <v>-5.4643345902487539E-3</v>
      </c>
      <c r="H57" s="11">
        <f ca="1"/>
        <v>17.919232127797297</v>
      </c>
      <c r="I57" s="8">
        <f ca="1"/>
        <v>-0.16589838414554253</v>
      </c>
      <c r="J57" s="8">
        <f ca="1"/>
        <v>0.52948251181267381</v>
      </c>
      <c r="K57">
        <f ca="1"/>
        <v>0</v>
      </c>
      <c r="L57">
        <f ca="1"/>
        <v>0</v>
      </c>
    </row>
    <row r="58" spans="2:12" x14ac:dyDescent="0.55000000000000004">
      <c r="B58">
        <v>0.192</v>
      </c>
      <c r="C58">
        <f ca="1"/>
        <v>0.25542284574852964</v>
      </c>
      <c r="D58">
        <f ca="1"/>
        <v>1</v>
      </c>
      <c r="E58" s="12">
        <f ca="1"/>
        <v>104.83783787369809</v>
      </c>
      <c r="F58" s="11">
        <f ca="1"/>
        <v>-0.8844914107639823</v>
      </c>
      <c r="G58" s="8">
        <f ca="1"/>
        <v>8.4367574599312212E-3</v>
      </c>
      <c r="H58" s="11">
        <f ca="1"/>
        <v>17.034740717033316</v>
      </c>
      <c r="I58" s="8">
        <f ca="1"/>
        <v>-0.15746162668561131</v>
      </c>
      <c r="J58" s="8">
        <f ca="1"/>
        <v>0.52680422723842568</v>
      </c>
      <c r="K58">
        <f ca="1"/>
        <v>0</v>
      </c>
      <c r="L58">
        <f ca="1"/>
        <v>0</v>
      </c>
    </row>
    <row r="59" spans="2:12" x14ac:dyDescent="0.55000000000000004">
      <c r="B59">
        <v>0.19600000000000001</v>
      </c>
      <c r="C59">
        <f ca="1"/>
        <v>0.23903040396952602</v>
      </c>
      <c r="D59">
        <f ca="1"/>
        <v>1</v>
      </c>
      <c r="E59" s="12">
        <f ca="1"/>
        <v>104.48633181086082</v>
      </c>
      <c r="F59" s="11">
        <f ca="1"/>
        <v>0.95933538367490601</v>
      </c>
      <c r="G59" s="8">
        <f ca="1"/>
        <v>-9.1814438027308376E-3</v>
      </c>
      <c r="H59" s="11">
        <f ca="1"/>
        <v>17.99407610070822</v>
      </c>
      <c r="I59" s="8">
        <f ca="1"/>
        <v>-0.16664307048834215</v>
      </c>
      <c r="J59" s="8">
        <f ca="1"/>
        <v>0.58215294368263315</v>
      </c>
      <c r="K59">
        <f ca="1"/>
        <v>0</v>
      </c>
      <c r="L59">
        <f ca="1"/>
        <v>0</v>
      </c>
    </row>
    <row r="60" spans="2:12" x14ac:dyDescent="0.55000000000000004">
      <c r="B60">
        <v>0.2</v>
      </c>
      <c r="C60">
        <f ca="1"/>
        <v>0.25917663718609779</v>
      </c>
      <c r="D60">
        <f ca="1"/>
        <v>1</v>
      </c>
      <c r="E60" s="12">
        <f ca="1"/>
        <v>104.89978999282914</v>
      </c>
      <c r="F60" s="11">
        <f ca="1"/>
        <v>-3.065651046076483</v>
      </c>
      <c r="G60" s="8">
        <f ca="1"/>
        <v>2.9224568002338691E-2</v>
      </c>
      <c r="H60" s="11">
        <f ca="1"/>
        <v>14.928425054631738</v>
      </c>
      <c r="I60" s="8">
        <f ca="1"/>
        <v>-0.13741850248600346</v>
      </c>
      <c r="J60" s="8">
        <f ca="1"/>
        <v>0.51325300272090679</v>
      </c>
      <c r="K60">
        <f ca="1"/>
        <v>0</v>
      </c>
      <c r="L60">
        <f ca="1"/>
        <v>0</v>
      </c>
    </row>
    <row r="61" spans="2:12" x14ac:dyDescent="0.55000000000000004">
      <c r="B61">
        <v>0.20400000000000001</v>
      </c>
      <c r="C61">
        <f ca="1"/>
        <v>0.22153407632619898</v>
      </c>
      <c r="D61">
        <f ca="1"/>
        <v>1</v>
      </c>
      <c r="E61" s="12">
        <f ca="1"/>
        <v>104.10468727385663</v>
      </c>
      <c r="F61" s="11">
        <f ca="1"/>
        <v>3.2585188807843708</v>
      </c>
      <c r="G61" s="8">
        <f ca="1"/>
        <v>-3.1300405064495773E-2</v>
      </c>
      <c r="H61" s="11">
        <f ca="1"/>
        <v>18.18694393541611</v>
      </c>
      <c r="I61" s="8">
        <f ca="1"/>
        <v>-0.16871890755049923</v>
      </c>
      <c r="J61" s="8">
        <f ca="1"/>
        <v>0.62251482768466104</v>
      </c>
      <c r="K61">
        <f ca="1"/>
        <v>0</v>
      </c>
      <c r="L61">
        <f ca="1"/>
        <v>0</v>
      </c>
    </row>
    <row r="62" spans="2:12" x14ac:dyDescent="0.55000000000000004">
      <c r="B62">
        <v>0.20800000000000002</v>
      </c>
      <c r="C62">
        <f ca="1"/>
        <v>0.34986740327129229</v>
      </c>
      <c r="D62">
        <f ca="1"/>
        <v>1</v>
      </c>
      <c r="E62" s="12">
        <f ca="1"/>
        <v>106.80274907979674</v>
      </c>
      <c r="F62" s="11">
        <f ca="1"/>
        <v>-12.470615196331172</v>
      </c>
      <c r="G62" s="8">
        <f ca="1"/>
        <v>0.11676305435746659</v>
      </c>
      <c r="H62" s="11">
        <f ca="1"/>
        <v>5.716328739084938</v>
      </c>
      <c r="I62" s="8">
        <f ca="1"/>
        <v>-5.1955853193032642E-2</v>
      </c>
      <c r="J62" s="8">
        <f ca="1"/>
        <v>0.16730078728271636</v>
      </c>
      <c r="K62">
        <f ca="1"/>
        <v>0</v>
      </c>
      <c r="L62">
        <f ca="1"/>
        <v>0</v>
      </c>
    </row>
    <row r="63" spans="2:12" x14ac:dyDescent="0.55000000000000004">
      <c r="B63">
        <v>0.21199999999999999</v>
      </c>
      <c r="C63">
        <f ca="1"/>
        <v>0.30804756201138606</v>
      </c>
      <c r="D63">
        <f ca="1"/>
        <v>1</v>
      </c>
      <c r="E63" s="12">
        <f ca="1"/>
        <v>105.90470691302096</v>
      </c>
      <c r="F63" s="11">
        <f ca="1"/>
        <v>1.6972433372242102</v>
      </c>
      <c r="G63" s="8">
        <f ca="1"/>
        <v>-1.6026136955538228E-2</v>
      </c>
      <c r="H63" s="11">
        <f ca="1"/>
        <v>7.4135720763091477</v>
      </c>
      <c r="I63" s="8">
        <f ca="1"/>
        <v>-6.798199014857087E-2</v>
      </c>
      <c r="J63" s="8">
        <f ca="1"/>
        <v>0.21395933426087144</v>
      </c>
      <c r="K63">
        <f ca="1"/>
        <v>0</v>
      </c>
      <c r="L63">
        <f ca="1"/>
        <v>0</v>
      </c>
    </row>
    <row r="64" spans="2:12" x14ac:dyDescent="0.55000000000000004">
      <c r="B64">
        <v>0.216</v>
      </c>
      <c r="C64">
        <f ca="1"/>
        <v>0.35157195070483821</v>
      </c>
      <c r="D64">
        <f ca="1"/>
        <v>1</v>
      </c>
      <c r="E64" s="12">
        <f ca="1"/>
        <v>106.82207245815043</v>
      </c>
      <c r="F64" s="11">
        <f ca="1"/>
        <v>-3.4905051893575996</v>
      </c>
      <c r="G64" s="8">
        <f ca="1"/>
        <v>3.2675879703841837E-2</v>
      </c>
      <c r="H64" s="11">
        <f ca="1"/>
        <v>3.9230668869515481</v>
      </c>
      <c r="I64" s="8">
        <f ca="1"/>
        <v>-3.5306110444729033E-2</v>
      </c>
      <c r="J64" s="8">
        <f ca="1"/>
        <v>0.15159499880924177</v>
      </c>
      <c r="K64">
        <f ca="1"/>
        <v>0</v>
      </c>
      <c r="L64">
        <f ca="1"/>
        <v>0</v>
      </c>
    </row>
    <row r="65" spans="2:12" x14ac:dyDescent="0.55000000000000004">
      <c r="B65">
        <v>0.22</v>
      </c>
      <c r="C65">
        <f ca="1"/>
        <v>0.46611710373429643</v>
      </c>
      <c r="D65">
        <f ca="1"/>
        <v>1</v>
      </c>
      <c r="E65" s="12">
        <f ca="1"/>
        <v>109.28876580006653</v>
      </c>
      <c r="F65" s="11">
        <f ca="1"/>
        <v>-3.3209073419850448</v>
      </c>
      <c r="G65" s="8">
        <f ca="1"/>
        <v>3.0386538979315869E-2</v>
      </c>
      <c r="H65" s="11">
        <f ca="1"/>
        <v>0.60215954496650337</v>
      </c>
      <c r="I65" s="8">
        <f ca="1"/>
        <v>-4.9195714654131639E-3</v>
      </c>
      <c r="J65" s="8">
        <f ca="1"/>
        <v>6.4505651246274054E-2</v>
      </c>
      <c r="K65">
        <f ca="1"/>
        <v>0</v>
      </c>
      <c r="L65">
        <f ca="1"/>
        <v>0</v>
      </c>
    </row>
    <row r="66" spans="2:12" x14ac:dyDescent="0.55000000000000004">
      <c r="B66">
        <v>0.224</v>
      </c>
      <c r="C66">
        <f ca="1"/>
        <v>0.49721089244020522</v>
      </c>
      <c r="D66">
        <f ca="1"/>
        <v>1</v>
      </c>
      <c r="E66" s="12">
        <f ca="1"/>
        <v>109.96172651520659</v>
      </c>
      <c r="F66" s="11">
        <f ca="1"/>
        <v>-0.37224789265676761</v>
      </c>
      <c r="G66" s="8">
        <f ca="1"/>
        <v>3.3852496177866898E-3</v>
      </c>
      <c r="H66" s="11">
        <f ca="1"/>
        <v>0.22991165230973576</v>
      </c>
      <c r="I66" s="8">
        <f ca="1"/>
        <v>-1.5343218476264742E-3</v>
      </c>
      <c r="J66" s="8">
        <f ca="1"/>
        <v>6.1194972914726919E-2</v>
      </c>
      <c r="K66">
        <f ca="1"/>
        <v>0</v>
      </c>
      <c r="L66">
        <f ca="1"/>
        <v>0</v>
      </c>
    </row>
    <row r="67" spans="2:12" x14ac:dyDescent="0.55000000000000004">
      <c r="B67">
        <v>0.22800000000000001</v>
      </c>
      <c r="C67">
        <f ca="1"/>
        <v>0.52923357277271632</v>
      </c>
      <c r="D67">
        <f ca="1"/>
        <v>1</v>
      </c>
      <c r="E67" s="12">
        <f ca="1"/>
        <v>110.65938728531806</v>
      </c>
      <c r="F67" s="11">
        <f ca="1"/>
        <v>-0.13629339697629025</v>
      </c>
      <c r="G67" s="8">
        <f ca="1"/>
        <v>1.2316478549160847E-3</v>
      </c>
      <c r="H67" s="11">
        <f ca="1"/>
        <v>9.3618255333445505E-2</v>
      </c>
      <c r="I67" s="8">
        <f ca="1"/>
        <v>-3.0267399271038942E-4</v>
      </c>
      <c r="J67" s="8">
        <f ca="1"/>
        <v>6.0124536752912988E-2</v>
      </c>
      <c r="K67">
        <f ca="1"/>
        <v>0</v>
      </c>
      <c r="L67">
        <f ca="1"/>
        <v>0</v>
      </c>
    </row>
    <row r="68" spans="2:12" x14ac:dyDescent="0.55000000000000004">
      <c r="B68">
        <v>0.23200000000000001</v>
      </c>
      <c r="C68">
        <f ca="1"/>
        <v>0.4937014162954958</v>
      </c>
      <c r="D68">
        <f ca="1"/>
        <v>1</v>
      </c>
      <c r="E68" s="12">
        <f ca="1"/>
        <v>109.86699185929547</v>
      </c>
      <c r="F68" s="11">
        <f ca="1"/>
        <v>-9.5767088279430455E-3</v>
      </c>
      <c r="G68" s="8">
        <f ca="1"/>
        <v>8.7166387882975371E-5</v>
      </c>
      <c r="H68" s="11">
        <f ca="1"/>
        <v>8.4041546505502454E-2</v>
      </c>
      <c r="I68" s="8">
        <f ca="1"/>
        <v>-2.1550760482741405E-4</v>
      </c>
      <c r="J68" s="8">
        <f ca="1"/>
        <v>6.0364374240312692E-2</v>
      </c>
      <c r="K68">
        <f ca="1"/>
        <v>0</v>
      </c>
      <c r="L68">
        <f ca="1"/>
        <v>0</v>
      </c>
    </row>
    <row r="69" spans="2:12" x14ac:dyDescent="0.55000000000000004">
      <c r="B69">
        <v>0.23600000000000002</v>
      </c>
      <c r="C69">
        <f ca="1"/>
        <v>0.44571247597793906</v>
      </c>
      <c r="D69">
        <f ca="1"/>
        <v>1</v>
      </c>
      <c r="E69" s="12">
        <f ca="1"/>
        <v>108.80885088767852</v>
      </c>
      <c r="F69" s="11">
        <f ca="1"/>
        <v>-4.7083683763562796E-3</v>
      </c>
      <c r="G69" s="8">
        <f ca="1"/>
        <v>4.3271924461518729E-5</v>
      </c>
      <c r="H69" s="11">
        <f ca="1"/>
        <v>7.933317812914617E-2</v>
      </c>
      <c r="I69" s="8">
        <f ca="1"/>
        <v>-1.7223568036589532E-4</v>
      </c>
      <c r="J69" s="8">
        <f ca="1"/>
        <v>6.0592411666675609E-2</v>
      </c>
      <c r="K69">
        <f ca="1"/>
        <v>0</v>
      </c>
      <c r="L69">
        <f ca="1"/>
        <v>0</v>
      </c>
    </row>
    <row r="70" spans="2:12" x14ac:dyDescent="0.55000000000000004">
      <c r="B70">
        <v>0.24</v>
      </c>
      <c r="C70">
        <f ca="1"/>
        <v>0.31190112515968615</v>
      </c>
      <c r="D70">
        <f ca="1"/>
        <v>1</v>
      </c>
      <c r="E70" s="12">
        <f ca="1"/>
        <v>105.92702472354769</v>
      </c>
      <c r="F70" s="11">
        <f ca="1"/>
        <v>0.18643585876324351</v>
      </c>
      <c r="G70" s="8">
        <f ca="1"/>
        <v>-1.7600405491404181E-3</v>
      </c>
      <c r="H70" s="11">
        <f ca="1"/>
        <v>0.26576903689238968</v>
      </c>
      <c r="I70" s="8">
        <f ca="1"/>
        <v>-1.9322762295063134E-3</v>
      </c>
      <c r="J70" s="8">
        <f ca="1"/>
        <v>6.1088764956750918E-2</v>
      </c>
      <c r="K70">
        <f ca="1"/>
        <v>0</v>
      </c>
      <c r="L70">
        <f ca="1"/>
        <v>0</v>
      </c>
    </row>
    <row r="71" spans="2:12" x14ac:dyDescent="0.55000000000000004">
      <c r="B71">
        <v>0.24399999999999999</v>
      </c>
      <c r="C71">
        <f ca="1"/>
        <v>0.34974236315913937</v>
      </c>
      <c r="D71">
        <f ca="1"/>
        <v>1</v>
      </c>
      <c r="E71" s="12">
        <f ca="1"/>
        <v>106.72320980729164</v>
      </c>
      <c r="F71" s="11">
        <f ca="1"/>
        <v>-0.20484328675106836</v>
      </c>
      <c r="G71" s="8">
        <f ca="1"/>
        <v>1.9193883609849305E-3</v>
      </c>
      <c r="H71" s="11">
        <f ca="1"/>
        <v>6.0925750141321316E-2</v>
      </c>
      <c r="I71" s="8">
        <f ca="1"/>
        <v>-1.2887868521382906E-5</v>
      </c>
      <c r="J71" s="8">
        <f ca="1"/>
        <v>5.9550315445144976E-2</v>
      </c>
      <c r="K71">
        <f ca="1"/>
        <v>0</v>
      </c>
      <c r="L71">
        <f ca="1"/>
        <v>0</v>
      </c>
    </row>
    <row r="72" spans="2:12" x14ac:dyDescent="0.55000000000000004">
      <c r="B72">
        <v>0.248</v>
      </c>
      <c r="C72">
        <f ca="1"/>
        <v>0.32523252431649596</v>
      </c>
      <c r="D72">
        <f ca="1"/>
        <v>1</v>
      </c>
      <c r="E72" s="12">
        <f ca="1"/>
        <v>106.19284045436892</v>
      </c>
      <c r="F72" s="11">
        <f ca="1"/>
        <v>-6.0925750141321316E-2</v>
      </c>
      <c r="G72" s="8">
        <f ca="1"/>
        <v>1.2887868521382906E-5</v>
      </c>
      <c r="H72" s="11">
        <f ca="1"/>
        <v>0</v>
      </c>
      <c r="I72" s="8">
        <f ca="1"/>
        <v>0</v>
      </c>
      <c r="J72" s="8">
        <f ca="1"/>
        <v>0</v>
      </c>
      <c r="K72">
        <f ca="1"/>
        <v>5.9557150775633221E-2</v>
      </c>
      <c r="L72">
        <f ca="1"/>
        <v>0</v>
      </c>
    </row>
    <row r="73" spans="2:12" x14ac:dyDescent="0.55000000000000004">
      <c r="E73" s="12"/>
      <c r="F73" s="11"/>
      <c r="G73" s="8"/>
      <c r="H73" s="11"/>
      <c r="I73" s="8"/>
      <c r="J73" s="8"/>
    </row>
    <row r="74" spans="2:12" x14ac:dyDescent="0.55000000000000004">
      <c r="E74" s="12"/>
      <c r="F74" s="11"/>
      <c r="G74" s="8"/>
      <c r="H74" s="11"/>
      <c r="I74" s="8"/>
      <c r="J74" s="8"/>
    </row>
    <row r="75" spans="2:12" x14ac:dyDescent="0.55000000000000004">
      <c r="E75" s="12"/>
      <c r="F75" s="11"/>
      <c r="G75" s="8"/>
      <c r="H75" s="11"/>
      <c r="I75" s="8"/>
      <c r="J75" s="8"/>
    </row>
    <row r="76" spans="2:12" x14ac:dyDescent="0.55000000000000004">
      <c r="E76" s="12"/>
      <c r="F76" s="11"/>
      <c r="G76" s="8"/>
      <c r="H76" s="11"/>
      <c r="I76" s="8"/>
      <c r="J76" s="8"/>
    </row>
    <row r="77" spans="2:12" x14ac:dyDescent="0.55000000000000004">
      <c r="E77" s="12"/>
      <c r="F77" s="11"/>
      <c r="G77" s="8"/>
      <c r="H77" s="11"/>
      <c r="I77" s="8"/>
      <c r="J77" s="8"/>
    </row>
    <row r="78" spans="2:12" x14ac:dyDescent="0.55000000000000004">
      <c r="E78" s="12"/>
      <c r="F78" s="11"/>
      <c r="G78" s="8"/>
      <c r="H78" s="11"/>
      <c r="I78" s="8"/>
      <c r="J78" s="8"/>
    </row>
    <row r="79" spans="2:12" x14ac:dyDescent="0.55000000000000004">
      <c r="E79" s="12"/>
      <c r="F79" s="11"/>
      <c r="G79" s="8"/>
      <c r="H79" s="11"/>
      <c r="I79" s="8"/>
      <c r="J79" s="8"/>
    </row>
    <row r="80" spans="2:12" x14ac:dyDescent="0.55000000000000004">
      <c r="E80" s="12"/>
      <c r="F80" s="11"/>
      <c r="G80" s="8"/>
      <c r="H80" s="11"/>
      <c r="I80" s="8"/>
      <c r="J80" s="8"/>
    </row>
    <row r="81" spans="5:10" x14ac:dyDescent="0.55000000000000004">
      <c r="E81" s="12"/>
      <c r="F81" s="11"/>
      <c r="G81" s="8"/>
      <c r="H81" s="11"/>
      <c r="I81" s="8"/>
      <c r="J81" s="8"/>
    </row>
    <row r="82" spans="5:10" x14ac:dyDescent="0.55000000000000004">
      <c r="E82" s="12"/>
      <c r="F82" s="11"/>
      <c r="G82" s="8"/>
      <c r="H82" s="11"/>
      <c r="I82" s="8"/>
      <c r="J82" s="8"/>
    </row>
    <row r="83" spans="5:10" x14ac:dyDescent="0.55000000000000004">
      <c r="E83" s="12"/>
      <c r="F83" s="11"/>
      <c r="G83" s="8"/>
      <c r="H83" s="11"/>
      <c r="I83" s="8"/>
      <c r="J83" s="8"/>
    </row>
    <row r="84" spans="5:10" x14ac:dyDescent="0.55000000000000004">
      <c r="E84" s="12"/>
      <c r="F84" s="11"/>
      <c r="G84" s="8"/>
      <c r="H84" s="11"/>
      <c r="I84" s="8"/>
      <c r="J84" s="8"/>
    </row>
    <row r="85" spans="5:10" x14ac:dyDescent="0.55000000000000004">
      <c r="E85" s="12"/>
      <c r="F85" s="11"/>
      <c r="G85" s="8"/>
      <c r="H85" s="11"/>
      <c r="I85" s="8"/>
      <c r="J85" s="8"/>
    </row>
    <row r="86" spans="5:10" x14ac:dyDescent="0.55000000000000004">
      <c r="E86" s="12"/>
      <c r="F86" s="11"/>
      <c r="G86" s="8"/>
      <c r="H86" s="11"/>
      <c r="I86" s="8"/>
      <c r="J86" s="8"/>
    </row>
    <row r="87" spans="5:10" x14ac:dyDescent="0.55000000000000004">
      <c r="E87" s="12"/>
      <c r="F87" s="11"/>
      <c r="G87" s="8"/>
      <c r="H87" s="11"/>
      <c r="I87" s="8"/>
      <c r="J87" s="8"/>
    </row>
    <row r="88" spans="5:10" x14ac:dyDescent="0.55000000000000004">
      <c r="E88" s="12"/>
      <c r="F88" s="11"/>
      <c r="G88" s="8"/>
      <c r="H88" s="11"/>
      <c r="I88" s="8"/>
      <c r="J88" s="8"/>
    </row>
    <row r="89" spans="5:10" x14ac:dyDescent="0.55000000000000004">
      <c r="E89" s="12"/>
      <c r="F89" s="11"/>
      <c r="G89" s="8"/>
      <c r="H89" s="11"/>
      <c r="I89" s="8"/>
      <c r="J89" s="8"/>
    </row>
    <row r="90" spans="5:10" x14ac:dyDescent="0.55000000000000004">
      <c r="E90" s="12"/>
      <c r="F90" s="11"/>
      <c r="G90" s="8"/>
      <c r="H90" s="11"/>
      <c r="I90" s="8"/>
      <c r="J90" s="8"/>
    </row>
    <row r="91" spans="5:10" x14ac:dyDescent="0.55000000000000004">
      <c r="E91" s="12"/>
      <c r="F91" s="11"/>
      <c r="G91" s="8"/>
      <c r="H91" s="11"/>
      <c r="I91" s="8"/>
      <c r="J91" s="8"/>
    </row>
    <row r="92" spans="5:10" x14ac:dyDescent="0.55000000000000004">
      <c r="E92" s="12"/>
      <c r="F92" s="11"/>
      <c r="G92" s="8"/>
      <c r="H92" s="11"/>
      <c r="I92" s="8"/>
      <c r="J92" s="8"/>
    </row>
    <row r="93" spans="5:10" x14ac:dyDescent="0.55000000000000004">
      <c r="E93" s="12"/>
      <c r="F93" s="11"/>
      <c r="G93" s="8"/>
      <c r="H93" s="11"/>
      <c r="I93" s="8"/>
      <c r="J93" s="8"/>
    </row>
    <row r="94" spans="5:10" x14ac:dyDescent="0.55000000000000004">
      <c r="E94" s="12"/>
      <c r="F94" s="11"/>
      <c r="G94" s="8"/>
      <c r="H94" s="11"/>
      <c r="I94" s="8"/>
      <c r="J94" s="8"/>
    </row>
    <row r="95" spans="5:10" x14ac:dyDescent="0.55000000000000004">
      <c r="E95" s="12"/>
      <c r="F95" s="11"/>
      <c r="G95" s="8"/>
      <c r="H95" s="11"/>
      <c r="I95" s="8"/>
      <c r="J95" s="8"/>
    </row>
    <row r="96" spans="5:10" x14ac:dyDescent="0.55000000000000004">
      <c r="E96" s="12"/>
      <c r="F96" s="11"/>
      <c r="G96" s="8"/>
      <c r="H96" s="11"/>
      <c r="I96" s="8"/>
      <c r="J96" s="8"/>
    </row>
    <row r="97" spans="5:10" x14ac:dyDescent="0.55000000000000004">
      <c r="E97" s="12"/>
      <c r="F97" s="11"/>
      <c r="G97" s="8"/>
      <c r="H97" s="11"/>
      <c r="I97" s="8"/>
      <c r="J97" s="8"/>
    </row>
    <row r="98" spans="5:10" x14ac:dyDescent="0.55000000000000004">
      <c r="E98" s="12"/>
      <c r="F98" s="11"/>
      <c r="G98" s="8"/>
      <c r="H98" s="11"/>
      <c r="I98" s="8"/>
      <c r="J98" s="8"/>
    </row>
    <row r="99" spans="5:10" x14ac:dyDescent="0.55000000000000004">
      <c r="E99" s="12"/>
      <c r="F99" s="11"/>
      <c r="G99" s="8"/>
      <c r="H99" s="11"/>
      <c r="I99" s="8"/>
    </row>
    <row r="100" spans="5:10" x14ac:dyDescent="0.55000000000000004">
      <c r="E100" s="12"/>
      <c r="F100" s="11"/>
      <c r="G100" s="8"/>
      <c r="H100" s="11"/>
      <c r="I100" s="8"/>
    </row>
    <row r="101" spans="5:10" x14ac:dyDescent="0.55000000000000004">
      <c r="E101" s="12"/>
      <c r="F101" s="11"/>
      <c r="G101" s="8"/>
      <c r="H101" s="11"/>
      <c r="I101" s="8"/>
    </row>
    <row r="102" spans="5:10" x14ac:dyDescent="0.55000000000000004">
      <c r="E102" s="12"/>
      <c r="F102" s="11"/>
      <c r="G102" s="8"/>
      <c r="H102" s="11"/>
      <c r="I102" s="8"/>
    </row>
    <row r="103" spans="5:10" x14ac:dyDescent="0.55000000000000004">
      <c r="E103" s="12"/>
      <c r="F103" s="11"/>
      <c r="G103" s="8"/>
      <c r="H103" s="11"/>
      <c r="I103" s="8"/>
    </row>
    <row r="104" spans="5:10" x14ac:dyDescent="0.55000000000000004">
      <c r="E104" s="12"/>
      <c r="F104" s="11"/>
      <c r="G104" s="8"/>
      <c r="H104" s="11"/>
      <c r="I104" s="8"/>
    </row>
    <row r="105" spans="5:10" x14ac:dyDescent="0.55000000000000004">
      <c r="E105" s="12"/>
      <c r="F105" s="11"/>
      <c r="G105" s="8"/>
      <c r="H105" s="11"/>
      <c r="I105" s="8"/>
    </row>
    <row r="106" spans="5:10" x14ac:dyDescent="0.55000000000000004">
      <c r="E106" s="12"/>
      <c r="F106" s="11"/>
      <c r="G106" s="8"/>
      <c r="H106" s="11"/>
      <c r="I106" s="8"/>
    </row>
    <row r="107" spans="5:10" x14ac:dyDescent="0.55000000000000004">
      <c r="E107" s="12"/>
      <c r="F107" s="11"/>
      <c r="G107" s="8"/>
      <c r="H107" s="11"/>
      <c r="I107" s="8"/>
    </row>
    <row r="108" spans="5:10" x14ac:dyDescent="0.55000000000000004">
      <c r="E108" s="12"/>
      <c r="F108" s="11"/>
      <c r="G108" s="8"/>
      <c r="H108" s="11"/>
      <c r="I108" s="8"/>
    </row>
    <row r="109" spans="5:10" x14ac:dyDescent="0.55000000000000004">
      <c r="E109" s="12"/>
      <c r="F109" s="11"/>
      <c r="G109" s="8"/>
      <c r="H109" s="11"/>
      <c r="I109" s="8"/>
    </row>
    <row r="110" spans="5:10" x14ac:dyDescent="0.55000000000000004">
      <c r="E110" s="12"/>
      <c r="F110" s="11"/>
      <c r="G110" s="8"/>
      <c r="H110" s="11"/>
      <c r="I110" s="8"/>
    </row>
    <row r="111" spans="5:10" x14ac:dyDescent="0.55000000000000004">
      <c r="F111" s="11"/>
      <c r="G111" s="8"/>
      <c r="H111" s="11"/>
      <c r="I111" s="8"/>
    </row>
    <row r="112" spans="5:10" x14ac:dyDescent="0.55000000000000004">
      <c r="F112" s="11"/>
      <c r="G112" s="8"/>
      <c r="H112" s="11"/>
      <c r="I112" s="8"/>
    </row>
    <row r="113" spans="6:9" x14ac:dyDescent="0.55000000000000004">
      <c r="F113" s="11"/>
      <c r="G113" s="8"/>
      <c r="H113" s="11"/>
      <c r="I113" s="8"/>
    </row>
    <row r="114" spans="6:9" x14ac:dyDescent="0.55000000000000004">
      <c r="F114" s="11"/>
      <c r="G114" s="8"/>
      <c r="H114" s="11"/>
      <c r="I114" s="8"/>
    </row>
    <row r="115" spans="6:9" x14ac:dyDescent="0.55000000000000004">
      <c r="F115" s="11"/>
      <c r="G115" s="8"/>
      <c r="H115" s="11"/>
      <c r="I115" s="8"/>
    </row>
    <row r="116" spans="6:9" x14ac:dyDescent="0.55000000000000004">
      <c r="F116" s="11"/>
      <c r="G116" s="8"/>
      <c r="H116" s="11"/>
      <c r="I116" s="8"/>
    </row>
    <row r="117" spans="6:9" x14ac:dyDescent="0.55000000000000004">
      <c r="F117" s="11"/>
      <c r="G117" s="8"/>
      <c r="H117" s="11"/>
      <c r="I117" s="8"/>
    </row>
    <row r="118" spans="6:9" x14ac:dyDescent="0.55000000000000004">
      <c r="F118" s="11"/>
      <c r="G118" s="8"/>
      <c r="H118" s="11"/>
      <c r="I118" s="8"/>
    </row>
    <row r="119" spans="6:9" x14ac:dyDescent="0.55000000000000004">
      <c r="F119" s="11"/>
      <c r="G119" s="8"/>
      <c r="H119" s="11"/>
      <c r="I119" s="8"/>
    </row>
    <row r="120" spans="6:9" x14ac:dyDescent="0.55000000000000004">
      <c r="F120" s="11"/>
      <c r="G120" s="8"/>
      <c r="H120" s="11"/>
      <c r="I120" s="8"/>
    </row>
    <row r="121" spans="6:9" x14ac:dyDescent="0.55000000000000004">
      <c r="F121" s="11"/>
      <c r="G121" s="8"/>
      <c r="H121" s="11"/>
      <c r="I121" s="8"/>
    </row>
    <row r="122" spans="6:9" x14ac:dyDescent="0.55000000000000004">
      <c r="F122" s="11"/>
      <c r="G122" s="8"/>
      <c r="H122" s="11"/>
      <c r="I122" s="8"/>
    </row>
    <row r="123" spans="6:9" x14ac:dyDescent="0.55000000000000004">
      <c r="F123" s="11"/>
      <c r="G123" s="8"/>
      <c r="H123" s="11"/>
      <c r="I123" s="8"/>
    </row>
    <row r="124" spans="6:9" x14ac:dyDescent="0.55000000000000004">
      <c r="F124" s="11"/>
      <c r="G124" s="8"/>
      <c r="H124" s="11"/>
      <c r="I124" s="8"/>
    </row>
    <row r="125" spans="6:9" x14ac:dyDescent="0.55000000000000004">
      <c r="F125" s="11"/>
      <c r="G125" s="8"/>
      <c r="H125" s="11"/>
      <c r="I125" s="8"/>
    </row>
    <row r="126" spans="6:9" x14ac:dyDescent="0.55000000000000004">
      <c r="F126" s="11"/>
      <c r="G126" s="8"/>
      <c r="H126" s="11"/>
      <c r="I126" s="8"/>
    </row>
    <row r="127" spans="6:9" x14ac:dyDescent="0.55000000000000004">
      <c r="F127" s="11"/>
      <c r="G127" s="8"/>
      <c r="H127" s="11"/>
      <c r="I127" s="8"/>
    </row>
    <row r="128" spans="6:9" x14ac:dyDescent="0.55000000000000004">
      <c r="F128" s="11"/>
      <c r="G128" s="8"/>
      <c r="H128" s="11"/>
      <c r="I128" s="8"/>
    </row>
    <row r="129" spans="6:9" x14ac:dyDescent="0.55000000000000004">
      <c r="F129" s="11"/>
      <c r="G129" s="8"/>
      <c r="H129" s="11"/>
      <c r="I129" s="8"/>
    </row>
    <row r="130" spans="6:9" x14ac:dyDescent="0.55000000000000004">
      <c r="F130" s="11"/>
      <c r="G130" s="8"/>
      <c r="H130" s="11"/>
      <c r="I130" s="8"/>
    </row>
    <row r="131" spans="6:9" x14ac:dyDescent="0.55000000000000004">
      <c r="F131" s="11"/>
      <c r="G131" s="8"/>
      <c r="H131" s="11"/>
      <c r="I131" s="8"/>
    </row>
    <row r="132" spans="6:9" x14ac:dyDescent="0.55000000000000004">
      <c r="F132" s="11"/>
      <c r="G132" s="8"/>
      <c r="H132" s="11"/>
      <c r="I132" s="8"/>
    </row>
    <row r="133" spans="6:9" x14ac:dyDescent="0.55000000000000004">
      <c r="F133" s="11"/>
      <c r="G133" s="8"/>
      <c r="H133" s="11"/>
      <c r="I133" s="8"/>
    </row>
    <row r="134" spans="6:9" x14ac:dyDescent="0.55000000000000004">
      <c r="F134" s="11"/>
      <c r="G134" s="8"/>
      <c r="H134" s="11"/>
      <c r="I134" s="8"/>
    </row>
    <row r="135" spans="6:9" x14ac:dyDescent="0.55000000000000004">
      <c r="F135" s="11"/>
      <c r="G135" s="8"/>
      <c r="H135" s="11"/>
      <c r="I135" s="8"/>
    </row>
    <row r="136" spans="6:9" x14ac:dyDescent="0.55000000000000004">
      <c r="F136" s="11"/>
      <c r="G136" s="8"/>
      <c r="H136" s="11"/>
      <c r="I136" s="8"/>
    </row>
    <row r="137" spans="6:9" x14ac:dyDescent="0.55000000000000004">
      <c r="F137" s="11"/>
      <c r="G137" s="8"/>
      <c r="H137" s="11"/>
      <c r="I137" s="8"/>
    </row>
    <row r="138" spans="6:9" x14ac:dyDescent="0.55000000000000004">
      <c r="F138" s="11"/>
      <c r="G138" s="8"/>
      <c r="H138" s="11"/>
      <c r="I138" s="8"/>
    </row>
    <row r="139" spans="6:9" x14ac:dyDescent="0.55000000000000004">
      <c r="F139" s="11"/>
      <c r="G139" s="8"/>
      <c r="H139" s="11"/>
      <c r="I139" s="8"/>
    </row>
    <row r="140" spans="6:9" x14ac:dyDescent="0.55000000000000004">
      <c r="F140" s="11"/>
      <c r="G140" s="8"/>
      <c r="H140" s="11"/>
      <c r="I140" s="8"/>
    </row>
    <row r="141" spans="6:9" x14ac:dyDescent="0.55000000000000004">
      <c r="F141" s="11"/>
      <c r="G141" s="8"/>
      <c r="H141" s="11"/>
      <c r="I141" s="8"/>
    </row>
    <row r="142" spans="6:9" x14ac:dyDescent="0.55000000000000004">
      <c r="F142" s="11"/>
      <c r="G142" s="8"/>
      <c r="H142" s="11"/>
      <c r="I142" s="8"/>
    </row>
    <row r="143" spans="6:9" x14ac:dyDescent="0.55000000000000004">
      <c r="F143" s="11"/>
      <c r="G143" s="8"/>
      <c r="I143" s="8"/>
    </row>
    <row r="144" spans="6:9" x14ac:dyDescent="0.55000000000000004">
      <c r="F144" s="11"/>
      <c r="G144" s="8"/>
      <c r="I144" s="8"/>
    </row>
    <row r="145" spans="6:9" x14ac:dyDescent="0.55000000000000004">
      <c r="F145" s="11"/>
      <c r="G145" s="8"/>
      <c r="I145" s="8"/>
    </row>
    <row r="146" spans="6:9" x14ac:dyDescent="0.55000000000000004">
      <c r="F146" s="11"/>
      <c r="G146" s="8"/>
      <c r="I146" s="8"/>
    </row>
    <row r="147" spans="6:9" x14ac:dyDescent="0.55000000000000004">
      <c r="F147" s="11"/>
      <c r="G147" s="8"/>
      <c r="I147" s="8"/>
    </row>
    <row r="148" spans="6:9" x14ac:dyDescent="0.55000000000000004">
      <c r="F148" s="11"/>
      <c r="G148" s="8"/>
      <c r="I148" s="8"/>
    </row>
    <row r="149" spans="6:9" x14ac:dyDescent="0.55000000000000004">
      <c r="F149" s="11"/>
      <c r="G149" s="8"/>
      <c r="I149" s="8"/>
    </row>
    <row r="150" spans="6:9" x14ac:dyDescent="0.55000000000000004">
      <c r="F150" s="11"/>
      <c r="G150" s="8"/>
      <c r="I150" s="8"/>
    </row>
    <row r="151" spans="6:9" x14ac:dyDescent="0.55000000000000004">
      <c r="F151" s="11"/>
      <c r="G151" s="8"/>
      <c r="I151" s="8"/>
    </row>
    <row r="152" spans="6:9" x14ac:dyDescent="0.55000000000000004">
      <c r="F152" s="11"/>
      <c r="G152" s="8"/>
      <c r="I152" s="8"/>
    </row>
    <row r="153" spans="6:9" x14ac:dyDescent="0.55000000000000004">
      <c r="F153" s="11"/>
      <c r="G153" s="8"/>
      <c r="I153" s="8"/>
    </row>
    <row r="154" spans="6:9" x14ac:dyDescent="0.55000000000000004">
      <c r="F154" s="11"/>
      <c r="G154" s="8"/>
      <c r="I154" s="8"/>
    </row>
    <row r="155" spans="6:9" x14ac:dyDescent="0.55000000000000004">
      <c r="F155" s="11"/>
      <c r="G155" s="8"/>
      <c r="I155" s="8"/>
    </row>
    <row r="156" spans="6:9" x14ac:dyDescent="0.55000000000000004">
      <c r="F156" s="11"/>
      <c r="G156" s="8"/>
      <c r="I156" s="8"/>
    </row>
    <row r="157" spans="6:9" x14ac:dyDescent="0.55000000000000004">
      <c r="F157" s="11"/>
      <c r="G157" s="8"/>
      <c r="I157" s="8"/>
    </row>
    <row r="158" spans="6:9" x14ac:dyDescent="0.55000000000000004">
      <c r="F158" s="11"/>
      <c r="G158" s="8"/>
      <c r="I158" s="8"/>
    </row>
    <row r="159" spans="6:9" x14ac:dyDescent="0.55000000000000004">
      <c r="F159" s="11"/>
      <c r="G159" s="8"/>
      <c r="I159" s="8"/>
    </row>
    <row r="160" spans="6:9" x14ac:dyDescent="0.55000000000000004">
      <c r="F160" s="11"/>
      <c r="G160" s="8"/>
      <c r="I160" s="8"/>
    </row>
    <row r="161" spans="6:9" x14ac:dyDescent="0.55000000000000004">
      <c r="F161" s="11"/>
      <c r="G161" s="8"/>
      <c r="I161" s="8"/>
    </row>
    <row r="162" spans="6:9" x14ac:dyDescent="0.55000000000000004">
      <c r="F162" s="11"/>
      <c r="G162" s="8"/>
      <c r="I162" s="8"/>
    </row>
    <row r="163" spans="6:9" x14ac:dyDescent="0.55000000000000004">
      <c r="F163" s="11"/>
      <c r="G163" s="8"/>
      <c r="I163" s="8"/>
    </row>
    <row r="164" spans="6:9" x14ac:dyDescent="0.55000000000000004">
      <c r="F164" s="11"/>
      <c r="G164" s="8"/>
      <c r="I164" s="8"/>
    </row>
    <row r="165" spans="6:9" x14ac:dyDescent="0.55000000000000004">
      <c r="F165" s="11"/>
      <c r="G165" s="8"/>
    </row>
    <row r="166" spans="6:9" x14ac:dyDescent="0.55000000000000004">
      <c r="F166" s="11"/>
      <c r="G166" s="8"/>
    </row>
    <row r="167" spans="6:9" x14ac:dyDescent="0.55000000000000004">
      <c r="F167" s="11"/>
      <c r="G167" s="8"/>
    </row>
    <row r="168" spans="6:9" x14ac:dyDescent="0.55000000000000004">
      <c r="F168" s="11"/>
      <c r="G168" s="8"/>
    </row>
    <row r="169" spans="6:9" x14ac:dyDescent="0.55000000000000004">
      <c r="F169" s="11"/>
      <c r="G169" s="8"/>
    </row>
    <row r="170" spans="6:9" x14ac:dyDescent="0.55000000000000004">
      <c r="F170" s="11"/>
      <c r="G170" s="8"/>
    </row>
    <row r="171" spans="6:9" x14ac:dyDescent="0.55000000000000004">
      <c r="F171" s="11"/>
      <c r="G171" s="8"/>
    </row>
    <row r="172" spans="6:9" x14ac:dyDescent="0.55000000000000004">
      <c r="F172" s="11"/>
      <c r="G172" s="8"/>
    </row>
    <row r="173" spans="6:9" x14ac:dyDescent="0.55000000000000004">
      <c r="F173" s="11"/>
      <c r="G173" s="8"/>
    </row>
    <row r="174" spans="6:9" x14ac:dyDescent="0.55000000000000004">
      <c r="F174" s="11"/>
      <c r="G174" s="8"/>
    </row>
    <row r="175" spans="6:9" x14ac:dyDescent="0.55000000000000004">
      <c r="F175" s="11"/>
      <c r="G175" s="8"/>
    </row>
    <row r="176" spans="6:9" x14ac:dyDescent="0.55000000000000004">
      <c r="F176" s="11"/>
      <c r="G176" s="8"/>
    </row>
    <row r="177" spans="6:7" x14ac:dyDescent="0.55000000000000004">
      <c r="F177" s="11"/>
      <c r="G177" s="8"/>
    </row>
    <row r="178" spans="6:7" x14ac:dyDescent="0.55000000000000004">
      <c r="F178" s="11"/>
      <c r="G178" s="8"/>
    </row>
    <row r="179" spans="6:7" x14ac:dyDescent="0.55000000000000004">
      <c r="F179" s="11"/>
      <c r="G179" s="8"/>
    </row>
    <row r="180" spans="6:7" x14ac:dyDescent="0.55000000000000004">
      <c r="F180" s="11"/>
      <c r="G180" s="8"/>
    </row>
    <row r="181" spans="6:7" x14ac:dyDescent="0.55000000000000004">
      <c r="F181" s="11"/>
      <c r="G181" s="8"/>
    </row>
    <row r="182" spans="6:7" x14ac:dyDescent="0.55000000000000004">
      <c r="F182" s="11"/>
      <c r="G182" s="8"/>
    </row>
    <row r="183" spans="6:7" x14ac:dyDescent="0.55000000000000004">
      <c r="F183" s="11"/>
      <c r="G183" s="8"/>
    </row>
    <row r="184" spans="6:7" x14ac:dyDescent="0.55000000000000004">
      <c r="F184" s="11"/>
      <c r="G184" s="8"/>
    </row>
    <row r="185" spans="6:7" x14ac:dyDescent="0.55000000000000004">
      <c r="F185" s="11"/>
      <c r="G185" s="8"/>
    </row>
    <row r="186" spans="6:7" x14ac:dyDescent="0.55000000000000004">
      <c r="F186" s="11"/>
      <c r="G186" s="8"/>
    </row>
    <row r="187" spans="6:7" x14ac:dyDescent="0.55000000000000004">
      <c r="G187" s="8"/>
    </row>
    <row r="188" spans="6:7" x14ac:dyDescent="0.55000000000000004">
      <c r="G188" s="8"/>
    </row>
    <row r="189" spans="6:7" x14ac:dyDescent="0.55000000000000004">
      <c r="G189" s="8"/>
    </row>
    <row r="190" spans="6:7" x14ac:dyDescent="0.55000000000000004">
      <c r="G190" s="8"/>
    </row>
    <row r="191" spans="6:7" x14ac:dyDescent="0.55000000000000004">
      <c r="G191" s="8"/>
    </row>
    <row r="192" spans="6:7" x14ac:dyDescent="0.55000000000000004">
      <c r="G192" s="8"/>
    </row>
    <row r="193" spans="7:7" x14ac:dyDescent="0.55000000000000004">
      <c r="G193" s="8"/>
    </row>
    <row r="194" spans="7:7" x14ac:dyDescent="0.55000000000000004">
      <c r="G194" s="8"/>
    </row>
    <row r="195" spans="7:7" x14ac:dyDescent="0.55000000000000004">
      <c r="G195" s="8"/>
    </row>
    <row r="196" spans="7:7" x14ac:dyDescent="0.55000000000000004">
      <c r="G196" s="8"/>
    </row>
    <row r="197" spans="7:7" x14ac:dyDescent="0.55000000000000004">
      <c r="G197" s="8"/>
    </row>
    <row r="198" spans="7:7" x14ac:dyDescent="0.55000000000000004">
      <c r="G198" s="8"/>
    </row>
    <row r="199" spans="7:7" x14ac:dyDescent="0.55000000000000004">
      <c r="G199" s="8"/>
    </row>
    <row r="200" spans="7:7" x14ac:dyDescent="0.55000000000000004">
      <c r="G200" s="8"/>
    </row>
    <row r="201" spans="7:7" x14ac:dyDescent="0.55000000000000004">
      <c r="G201" s="8"/>
    </row>
    <row r="202" spans="7:7" x14ac:dyDescent="0.55000000000000004">
      <c r="G202" s="8"/>
    </row>
    <row r="203" spans="7:7" x14ac:dyDescent="0.55000000000000004">
      <c r="G203" s="8"/>
    </row>
    <row r="204" spans="7:7" x14ac:dyDescent="0.55000000000000004">
      <c r="G204" s="8"/>
    </row>
    <row r="205" spans="7:7" x14ac:dyDescent="0.55000000000000004">
      <c r="G205" s="8"/>
    </row>
    <row r="206" spans="7:7" x14ac:dyDescent="0.55000000000000004">
      <c r="G206" s="8"/>
    </row>
    <row r="207" spans="7:7" x14ac:dyDescent="0.55000000000000004">
      <c r="G207" s="8"/>
    </row>
    <row r="208" spans="7:7" x14ac:dyDescent="0.55000000000000004">
      <c r="G208" s="8"/>
    </row>
  </sheetData>
  <mergeCells count="3">
    <mergeCell ref="D8:E8"/>
    <mergeCell ref="F8:G8"/>
    <mergeCell ref="H8:I8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8BB71-B012-4977-9B33-837498FF0B6A}">
  <dimension ref="B1:P208"/>
  <sheetViews>
    <sheetView tabSelected="1" workbookViewId="0">
      <selection activeCell="I6" sqref="I6"/>
    </sheetView>
  </sheetViews>
  <sheetFormatPr defaultRowHeight="18" x14ac:dyDescent="0.55000000000000004"/>
  <cols>
    <col min="1" max="1" width="3.578125" customWidth="1"/>
    <col min="2" max="2" width="9.89453125" bestFit="1" customWidth="1"/>
    <col min="7" max="7" width="11.68359375" bestFit="1" customWidth="1"/>
    <col min="10" max="10" width="10.20703125" bestFit="1" customWidth="1"/>
    <col min="13" max="13" width="11.68359375" bestFit="1" customWidth="1"/>
  </cols>
  <sheetData>
    <row r="1" spans="2:16" x14ac:dyDescent="0.55000000000000004">
      <c r="B1" s="18" cm="1">
        <f t="array" aca="1" ref="B1" ca="1">_xll.MONTE.COUNT()</f>
        <v>10441</v>
      </c>
    </row>
    <row r="2" spans="2:16" x14ac:dyDescent="0.55000000000000004">
      <c r="B2" s="4" t="s">
        <v>15</v>
      </c>
      <c r="C2">
        <v>0</v>
      </c>
      <c r="F2" s="4" t="s">
        <v>20</v>
      </c>
      <c r="G2" s="8" cm="1">
        <f t="array" ref="G2">_xll.OPTION.BLACK.PUT(f, sigma*SQRT(t), k)</f>
        <v>3.987761167674492</v>
      </c>
      <c r="I2" s="9" cm="1">
        <f t="array" ref="I2">_xll.OPTION.BLACK.PUT_DELTA(f, sigma*SQRT(t), k)</f>
        <v>-0.48006119416162751</v>
      </c>
      <c r="J2" s="9" cm="1">
        <f t="array" ref="J2">_xll.OPTION.BLACK.PUT(f+0.01, sigma*SQRT(t), k)</f>
        <v>3.9829625478526722</v>
      </c>
      <c r="K2" s="9" cm="1">
        <f t="array" ref="K2">_xll.OPTION.BLACK.PUT(f-0.01, sigma*SQRT(t), k)</f>
        <v>3.9925637719351386</v>
      </c>
      <c r="L2" s="9">
        <f>(J2-K2)/0.02</f>
        <v>-0.48006120412331654</v>
      </c>
      <c r="M2" s="10">
        <f>I2-L2</f>
        <v>9.9616890292253402E-9</v>
      </c>
    </row>
    <row r="3" spans="2:16" x14ac:dyDescent="0.55000000000000004">
      <c r="B3" s="4" t="s">
        <v>16</v>
      </c>
      <c r="C3">
        <v>100</v>
      </c>
      <c r="F3" s="4" t="s">
        <v>28</v>
      </c>
      <c r="G3" s="8" cm="1">
        <f t="array" aca="1" ref="G3" ca="1">_xlfn.TAKE(S_,-1)</f>
        <v>97.017723233977435</v>
      </c>
      <c r="N3" s="7">
        <v>1</v>
      </c>
      <c r="O3" s="7" cm="1">
        <f t="array" ref="O3:O5">ad(N3:N5)</f>
        <v>1</v>
      </c>
      <c r="P3" s="7" cm="1">
        <f t="array" ref="P3:P5">_xlfn.SCAN(0,_xlfn.ANCHORARRAY(O3),_xlfn.LAMBDA(_xlpm.a,_xlpm.b,_xlpm.a+_xlpm.b))</f>
        <v>1</v>
      </c>
    </row>
    <row r="4" spans="2:16" x14ac:dyDescent="0.55000000000000004">
      <c r="B4" s="4" t="s">
        <v>14</v>
      </c>
      <c r="C4">
        <v>0.2</v>
      </c>
      <c r="F4" s="4" t="s">
        <v>24</v>
      </c>
      <c r="G4" s="11">
        <f ca="1">MAX(k - last,0)</f>
        <v>2.9822767660225651</v>
      </c>
      <c r="H4" s="11">
        <f t="array" aca="1" ref="H4:I4" ca="1">_xll.MONTE.STDEV(G4)</f>
        <v>3.9698955412770243</v>
      </c>
      <c r="I4" s="11">
        <f ca="1"/>
        <v>5.4744558475318081</v>
      </c>
      <c r="M4">
        <v>1E-3</v>
      </c>
      <c r="N4" s="7">
        <v>2</v>
      </c>
      <c r="O4" s="7">
        <v>1</v>
      </c>
      <c r="P4" s="7">
        <v>2</v>
      </c>
    </row>
    <row r="5" spans="2:16" x14ac:dyDescent="0.55000000000000004">
      <c r="B5" s="4" t="s">
        <v>1</v>
      </c>
      <c r="C5">
        <v>0.25</v>
      </c>
      <c r="F5" s="4" t="s">
        <v>25</v>
      </c>
      <c r="G5" s="11" cm="1">
        <f t="array" aca="1" ref="G5" ca="1">_xlfn.TAKE(A,-1)</f>
        <v>1.7754076462248207</v>
      </c>
      <c r="H5" s="11"/>
      <c r="I5" s="11"/>
      <c r="M5">
        <v>0.01</v>
      </c>
      <c r="N5" s="7">
        <v>3</v>
      </c>
      <c r="O5" s="7">
        <v>1</v>
      </c>
      <c r="P5" s="7">
        <v>3</v>
      </c>
    </row>
    <row r="6" spans="2:16" x14ac:dyDescent="0.55000000000000004">
      <c r="B6" s="4" t="s">
        <v>21</v>
      </c>
      <c r="C6">
        <f>1/250</f>
        <v>4.0000000000000001E-3</v>
      </c>
      <c r="F6" s="4" t="s">
        <v>29</v>
      </c>
      <c r="G6" s="11">
        <f ca="1">payoff-hedge</f>
        <v>1.2068691197977444</v>
      </c>
      <c r="H6" s="8">
        <f t="array" aca="1" ref="H6:I6" ca="1">_xll.MONTE.STDEV(error)</f>
        <v>-4.9406313496674494E-2</v>
      </c>
      <c r="I6" s="13">
        <f ca="1"/>
        <v>11.9850450694938</v>
      </c>
      <c r="J6" s="17">
        <f ca="1">I6/put</f>
        <v>3.0054570887160263</v>
      </c>
      <c r="K6" s="16" t="s">
        <v>30</v>
      </c>
      <c r="M6">
        <v>0.1</v>
      </c>
    </row>
    <row r="7" spans="2:16" x14ac:dyDescent="0.55000000000000004">
      <c r="B7" s="4" t="s">
        <v>17</v>
      </c>
      <c r="C7">
        <v>100</v>
      </c>
    </row>
    <row r="8" spans="2:16" x14ac:dyDescent="0.55000000000000004">
      <c r="D8" s="26" t="s">
        <v>0</v>
      </c>
      <c r="E8" s="26"/>
      <c r="F8" s="27" t="s">
        <v>10</v>
      </c>
      <c r="G8" s="27"/>
      <c r="H8" s="27" t="s">
        <v>13</v>
      </c>
      <c r="I8" s="27"/>
      <c r="J8" s="14" t="s">
        <v>11</v>
      </c>
      <c r="K8" s="3" t="s">
        <v>12</v>
      </c>
    </row>
    <row r="9" spans="2:16" x14ac:dyDescent="0.55000000000000004">
      <c r="B9" s="15" t="s">
        <v>22</v>
      </c>
      <c r="C9" s="15" t="s">
        <v>23</v>
      </c>
      <c r="D9" s="15" t="s">
        <v>18</v>
      </c>
      <c r="E9" s="15" t="s">
        <v>19</v>
      </c>
      <c r="F9" s="15" t="s">
        <v>4</v>
      </c>
      <c r="G9" s="15" t="s">
        <v>5</v>
      </c>
      <c r="H9" s="15" t="s">
        <v>26</v>
      </c>
      <c r="I9" s="15" t="s">
        <v>27</v>
      </c>
      <c r="J9" s="15" t="s">
        <v>8</v>
      </c>
      <c r="K9" s="15" t="s">
        <v>9</v>
      </c>
      <c r="L9" s="19" t="s">
        <v>31</v>
      </c>
    </row>
    <row r="10" spans="2:16" x14ac:dyDescent="0.55000000000000004">
      <c r="B10" cm="1">
        <f t="array" ref="B10:B72">_xll.ARRAY.SEQUENCE(0, t, dt)</f>
        <v>0</v>
      </c>
      <c r="C10" cm="1">
        <f t="array" aca="1" ref="C10:C72" ca="1">_xll.RANDOM.BROWNIAN(t_)</f>
        <v>0</v>
      </c>
      <c r="D10" cm="1">
        <f t="array" aca="1" ref="D10:D72" ca="1">1+0*B_</f>
        <v>1</v>
      </c>
      <c r="E10" cm="1">
        <f t="array" aca="1" ref="E10:E72" ca="1">f*EXP(sigma*B_+(mu-sigma*sigma/2)*t_)</f>
        <v>100</v>
      </c>
      <c r="F10" s="11" cm="1">
        <f t="array" aca="1" ref="F10:F72" ca="1">co(put*(t_ = 0) - N*S_/R_)</f>
        <v>-96.012238832325508</v>
      </c>
      <c r="G10" s="8" cm="1">
        <f t="array" aca="1" ref="G10:G72" ca="1">co(ad(_N))</f>
        <v>1</v>
      </c>
      <c r="H10" s="11" cm="1">
        <f t="array" aca="1" ref="H10:H72" ca="1">_xlfn.SCAN(0,M,_xlfn.LAMBDA(_xlpm.a,_xlpm.b,_xlpm.a+_xlpm.b))</f>
        <v>-96.012238832325508</v>
      </c>
      <c r="I10" s="8" cm="1">
        <f t="array" aca="1" ref="I10:I72" ca="1">1*(S_&lt;=k)</f>
        <v>1</v>
      </c>
      <c r="J10" s="8" cm="1">
        <f t="array" aca="1" ref="J10:J72" ca="1">_M * R_ + _N * S_</f>
        <v>3.987761167674492</v>
      </c>
      <c r="K10" cm="1">
        <f t="array" aca="1" ref="K10:K72" ca="1">-M * R_ - N * S_</f>
        <v>-3.987761167674492</v>
      </c>
      <c r="L10" cm="1">
        <f t="array" aca="1" ref="L10:L72" ca="1">_xlfn.MAP(S_,_xlfn.LAMBDA(_xlpm.s,MAX(k-_xlpm.s,0)))</f>
        <v>0</v>
      </c>
      <c r="M10" s="22">
        <f ca="1">put - G10*E10</f>
        <v>-96.012238832325508</v>
      </c>
      <c r="N10" s="22">
        <f ca="1">F10-M10</f>
        <v>0</v>
      </c>
    </row>
    <row r="11" spans="2:16" x14ac:dyDescent="0.55000000000000004">
      <c r="B11">
        <v>4.0000000000000001E-3</v>
      </c>
      <c r="C11">
        <f ca="1"/>
        <v>-3.6216919301546975E-2</v>
      </c>
      <c r="D11">
        <f ca="1"/>
        <v>1</v>
      </c>
      <c r="E11" s="12">
        <f ca="1"/>
        <v>99.270336677371986</v>
      </c>
      <c r="F11" s="11">
        <f ca="1"/>
        <v>0</v>
      </c>
      <c r="G11" s="8">
        <f ca="1"/>
        <v>0</v>
      </c>
      <c r="H11" s="11">
        <f ca="1"/>
        <v>-96.012238832325508</v>
      </c>
      <c r="I11" s="8">
        <f ca="1"/>
        <v>1</v>
      </c>
      <c r="J11" s="8">
        <f ca="1"/>
        <v>3.2580978450464784</v>
      </c>
      <c r="K11">
        <f ca="1"/>
        <v>0</v>
      </c>
      <c r="L11">
        <f ca="1"/>
        <v>0.72966332262801359</v>
      </c>
      <c r="M11" s="22">
        <f ca="1" xml:space="preserve"> - G11*E11</f>
        <v>0</v>
      </c>
      <c r="N11" s="22">
        <f ca="1">F11-M11</f>
        <v>0</v>
      </c>
    </row>
    <row r="12" spans="2:16" x14ac:dyDescent="0.55000000000000004">
      <c r="B12">
        <v>8.0000000000000002E-3</v>
      </c>
      <c r="C12">
        <f ca="1"/>
        <v>-4.9262360379045494E-2</v>
      </c>
      <c r="D12">
        <f ca="1"/>
        <v>1</v>
      </c>
      <c r="E12" s="12">
        <f ca="1"/>
        <v>99.003748584958885</v>
      </c>
      <c r="F12" s="11">
        <f ca="1"/>
        <v>0</v>
      </c>
      <c r="G12" s="8">
        <f ca="1"/>
        <v>0</v>
      </c>
      <c r="H12" s="11">
        <f ca="1"/>
        <v>-96.012238832325508</v>
      </c>
      <c r="I12" s="8">
        <f ca="1"/>
        <v>1</v>
      </c>
      <c r="J12" s="8">
        <f ca="1"/>
        <v>2.9915097526333767</v>
      </c>
      <c r="K12">
        <f ca="1"/>
        <v>0</v>
      </c>
      <c r="L12">
        <f ca="1"/>
        <v>0.99625141504111525</v>
      </c>
    </row>
    <row r="13" spans="2:16" x14ac:dyDescent="0.55000000000000004">
      <c r="B13">
        <v>1.2E-2</v>
      </c>
      <c r="C13">
        <f ca="1"/>
        <v>-0.12832838464763496</v>
      </c>
      <c r="D13">
        <f ca="1"/>
        <v>1</v>
      </c>
      <c r="E13" s="12">
        <f ca="1"/>
        <v>97.442699622045964</v>
      </c>
      <c r="F13" s="11">
        <f ca="1"/>
        <v>0</v>
      </c>
      <c r="G13" s="8">
        <f ca="1"/>
        <v>0</v>
      </c>
      <c r="H13" s="11">
        <f ca="1"/>
        <v>-96.012238832325508</v>
      </c>
      <c r="I13" s="8">
        <f ca="1"/>
        <v>1</v>
      </c>
      <c r="J13" s="8">
        <f ca="1"/>
        <v>1.4304607897204562</v>
      </c>
      <c r="K13">
        <f ca="1"/>
        <v>0</v>
      </c>
      <c r="L13">
        <f ca="1"/>
        <v>2.5573003779540358</v>
      </c>
    </row>
    <row r="14" spans="2:16" x14ac:dyDescent="0.55000000000000004">
      <c r="B14">
        <v>1.6E-2</v>
      </c>
      <c r="C14">
        <f ca="1"/>
        <v>-8.0617468857331481E-2</v>
      </c>
      <c r="D14">
        <f ca="1"/>
        <v>1</v>
      </c>
      <c r="E14" s="12">
        <f ca="1"/>
        <v>98.369096248659488</v>
      </c>
      <c r="F14" s="11">
        <f ca="1"/>
        <v>0</v>
      </c>
      <c r="G14" s="8">
        <f ca="1"/>
        <v>0</v>
      </c>
      <c r="H14" s="11">
        <f ca="1"/>
        <v>-96.012238832325508</v>
      </c>
      <c r="I14" s="8">
        <f ca="1"/>
        <v>1</v>
      </c>
      <c r="J14" s="8">
        <f ca="1"/>
        <v>2.3568574163339804</v>
      </c>
      <c r="K14">
        <f ca="1"/>
        <v>0</v>
      </c>
      <c r="L14">
        <f ca="1"/>
        <v>1.6309037513405116</v>
      </c>
      <c r="M14" s="22">
        <f ca="1">f*EXP(sigma*C14-sigma^2*B14/2)</f>
        <v>98.369096248659488</v>
      </c>
      <c r="N14" s="23">
        <f ca="1">E14-M14</f>
        <v>0</v>
      </c>
    </row>
    <row r="15" spans="2:16" x14ac:dyDescent="0.55000000000000004">
      <c r="B15">
        <v>0.02</v>
      </c>
      <c r="C15">
        <f ca="1"/>
        <v>-3.3911359535823374E-2</v>
      </c>
      <c r="D15">
        <f ca="1"/>
        <v>1</v>
      </c>
      <c r="E15" s="12">
        <f ca="1"/>
        <v>99.284345896880779</v>
      </c>
      <c r="F15" s="11">
        <f ca="1"/>
        <v>0</v>
      </c>
      <c r="G15" s="8">
        <f ca="1"/>
        <v>0</v>
      </c>
      <c r="H15" s="11">
        <f ca="1"/>
        <v>-96.012238832325508</v>
      </c>
      <c r="I15" s="8">
        <f ca="1"/>
        <v>1</v>
      </c>
      <c r="J15" s="8">
        <f ca="1"/>
        <v>3.2721070645552714</v>
      </c>
      <c r="K15">
        <f ca="1"/>
        <v>0</v>
      </c>
      <c r="L15">
        <f ca="1"/>
        <v>0.71565410311922051</v>
      </c>
    </row>
    <row r="16" spans="2:16" x14ac:dyDescent="0.55000000000000004">
      <c r="B16">
        <v>2.4E-2</v>
      </c>
      <c r="C16">
        <f ca="1"/>
        <v>-2.5490900654778791E-2</v>
      </c>
      <c r="D16">
        <f ca="1"/>
        <v>1</v>
      </c>
      <c r="E16" s="12">
        <f ca="1"/>
        <v>99.4437349027599</v>
      </c>
      <c r="F16" s="11">
        <f ca="1"/>
        <v>0</v>
      </c>
      <c r="G16" s="8">
        <f ca="1"/>
        <v>0</v>
      </c>
      <c r="H16" s="11">
        <f ca="1"/>
        <v>-96.012238832325508</v>
      </c>
      <c r="I16" s="8">
        <f ca="1"/>
        <v>1</v>
      </c>
      <c r="J16" s="8">
        <f ca="1"/>
        <v>3.4314960704343918</v>
      </c>
      <c r="K16">
        <f ca="1"/>
        <v>0</v>
      </c>
      <c r="L16">
        <f ca="1"/>
        <v>0.5562650972401002</v>
      </c>
      <c r="M16" s="22" cm="1">
        <f t="array" aca="1" ref="M16" ca="1">_xll.OPTION.BLACK.PUT_DELTA(E16,sigma*SQRT(t - B16),k)</f>
        <v>-0.50443993372722107</v>
      </c>
      <c r="N16" s="23">
        <f ca="1">I16-M16</f>
        <v>1.504439933727221</v>
      </c>
    </row>
    <row r="17" spans="2:16" x14ac:dyDescent="0.55000000000000004">
      <c r="B17">
        <v>2.8000000000000001E-2</v>
      </c>
      <c r="C17">
        <f ca="1"/>
        <v>3.031388143083983E-2</v>
      </c>
      <c r="D17">
        <f ca="1"/>
        <v>1</v>
      </c>
      <c r="E17" s="12">
        <f ca="1"/>
        <v>100.55179443690217</v>
      </c>
      <c r="F17" s="11">
        <f ca="1"/>
        <v>100.55179443690217</v>
      </c>
      <c r="G17" s="8">
        <f ca="1"/>
        <v>-1</v>
      </c>
      <c r="H17" s="11">
        <f ca="1"/>
        <v>4.5395556045766625</v>
      </c>
      <c r="I17" s="8">
        <f ca="1"/>
        <v>0</v>
      </c>
      <c r="J17" s="8">
        <f ca="1"/>
        <v>4.5395556045766625</v>
      </c>
      <c r="K17">
        <f ca="1"/>
        <v>0</v>
      </c>
      <c r="L17">
        <f ca="1"/>
        <v>0</v>
      </c>
    </row>
    <row r="18" spans="2:16" x14ac:dyDescent="0.55000000000000004">
      <c r="B18">
        <v>3.2000000000000001E-2</v>
      </c>
      <c r="C18">
        <f ca="1"/>
        <v>4.3245171878774545E-2</v>
      </c>
      <c r="D18">
        <f ca="1"/>
        <v>1</v>
      </c>
      <c r="E18" s="12">
        <f ca="1"/>
        <v>100.80411924860448</v>
      </c>
      <c r="F18" s="11">
        <f ca="1"/>
        <v>0</v>
      </c>
      <c r="G18" s="8">
        <f ca="1"/>
        <v>0</v>
      </c>
      <c r="H18" s="11">
        <f ca="1"/>
        <v>4.5395556045766625</v>
      </c>
      <c r="I18" s="8">
        <f ca="1"/>
        <v>0</v>
      </c>
      <c r="J18" s="8">
        <f ca="1"/>
        <v>4.5395556045766625</v>
      </c>
      <c r="K18">
        <f ca="1"/>
        <v>0</v>
      </c>
      <c r="L18">
        <f ca="1"/>
        <v>0</v>
      </c>
    </row>
    <row r="19" spans="2:16" x14ac:dyDescent="0.55000000000000004">
      <c r="B19">
        <v>3.6000000000000004E-2</v>
      </c>
      <c r="C19">
        <f ca="1"/>
        <v>0.1356757314912205</v>
      </c>
      <c r="D19">
        <f ca="1"/>
        <v>1</v>
      </c>
      <c r="E19" s="12">
        <f ca="1"/>
        <v>102.67671185742864</v>
      </c>
      <c r="F19" s="11">
        <f ca="1"/>
        <v>0</v>
      </c>
      <c r="G19" s="8">
        <f ca="1"/>
        <v>0</v>
      </c>
      <c r="H19" s="11">
        <f ca="1"/>
        <v>4.5395556045766625</v>
      </c>
      <c r="I19" s="8">
        <f ca="1"/>
        <v>0</v>
      </c>
      <c r="J19" s="8">
        <f ca="1"/>
        <v>4.5395556045766625</v>
      </c>
      <c r="K19">
        <f ca="1"/>
        <v>0</v>
      </c>
      <c r="L19">
        <f ca="1"/>
        <v>0</v>
      </c>
    </row>
    <row r="20" spans="2:16" x14ac:dyDescent="0.55000000000000004">
      <c r="B20">
        <v>0.04</v>
      </c>
      <c r="C20">
        <f ca="1"/>
        <v>0.14965677803554564</v>
      </c>
      <c r="D20">
        <f ca="1"/>
        <v>1</v>
      </c>
      <c r="E20" s="12">
        <f ca="1"/>
        <v>102.95598240490982</v>
      </c>
      <c r="F20" s="11">
        <f ca="1"/>
        <v>0</v>
      </c>
      <c r="G20" s="8">
        <f ca="1"/>
        <v>0</v>
      </c>
      <c r="H20" s="11">
        <f ca="1"/>
        <v>4.5395556045766625</v>
      </c>
      <c r="I20" s="8">
        <f ca="1"/>
        <v>0</v>
      </c>
      <c r="J20" s="8">
        <f ca="1"/>
        <v>4.5395556045766625</v>
      </c>
      <c r="K20">
        <f ca="1"/>
        <v>0</v>
      </c>
      <c r="L20">
        <f ca="1"/>
        <v>0</v>
      </c>
      <c r="M20" s="7">
        <f t="array" aca="1" ref="M20:M21" ca="1">_xll.MONTE.STDEV(C20)</f>
        <v>2.9585807742571026E-3</v>
      </c>
      <c r="N20" s="7">
        <v>0</v>
      </c>
      <c r="O20" s="7">
        <f t="array" aca="1" ref="O20:O21" ca="1">_xll.MONTE.STDEV(E20)</f>
        <v>100.05839124834462</v>
      </c>
      <c r="P20" s="7">
        <f>f*EXP(mu*B20)</f>
        <v>100</v>
      </c>
    </row>
    <row r="21" spans="2:16" x14ac:dyDescent="0.55000000000000004">
      <c r="B21">
        <v>4.3999999999999997E-2</v>
      </c>
      <c r="C21">
        <f ca="1"/>
        <v>0.31472117443703507</v>
      </c>
      <c r="D21">
        <f ca="1"/>
        <v>1</v>
      </c>
      <c r="E21" s="12">
        <f ca="1"/>
        <v>106.4030690424518</v>
      </c>
      <c r="F21" s="11">
        <f ca="1"/>
        <v>0</v>
      </c>
      <c r="G21" s="8">
        <f ca="1"/>
        <v>0</v>
      </c>
      <c r="H21" s="11">
        <f ca="1"/>
        <v>4.5395556045766625</v>
      </c>
      <c r="I21" s="8">
        <f ca="1"/>
        <v>0</v>
      </c>
      <c r="J21" s="8">
        <f ca="1"/>
        <v>4.5395556045766625</v>
      </c>
      <c r="K21">
        <f ca="1"/>
        <v>0</v>
      </c>
      <c r="L21">
        <f ca="1"/>
        <v>0</v>
      </c>
      <c r="M21" s="7">
        <f ca="1"/>
        <v>0.19902845775862468</v>
      </c>
      <c r="N21" s="7">
        <f>SQRT(B20)</f>
        <v>0.2</v>
      </c>
      <c r="O21" s="7">
        <f ca="1"/>
        <v>3.983453566034624</v>
      </c>
      <c r="P21" s="7"/>
    </row>
    <row r="22" spans="2:16" x14ac:dyDescent="0.55000000000000004">
      <c r="B22">
        <v>4.8000000000000001E-2</v>
      </c>
      <c r="C22">
        <f ca="1"/>
        <v>0.31939169557978364</v>
      </c>
      <c r="D22">
        <f ca="1"/>
        <v>1</v>
      </c>
      <c r="E22" s="12">
        <f ca="1"/>
        <v>106.4939871749053</v>
      </c>
      <c r="F22" s="11">
        <f ca="1"/>
        <v>0</v>
      </c>
      <c r="G22" s="8">
        <f ca="1"/>
        <v>0</v>
      </c>
      <c r="H22" s="11">
        <f ca="1"/>
        <v>4.5395556045766625</v>
      </c>
      <c r="I22" s="8">
        <f ca="1"/>
        <v>0</v>
      </c>
      <c r="J22" s="8">
        <f ca="1"/>
        <v>4.5395556045766625</v>
      </c>
      <c r="K22">
        <f ca="1"/>
        <v>0</v>
      </c>
      <c r="L22">
        <f ca="1"/>
        <v>0</v>
      </c>
    </row>
    <row r="23" spans="2:16" x14ac:dyDescent="0.55000000000000004">
      <c r="B23">
        <v>5.2000000000000005E-2</v>
      </c>
      <c r="C23">
        <f ca="1"/>
        <v>0.24833381140025479</v>
      </c>
      <c r="D23">
        <f ca="1"/>
        <v>1</v>
      </c>
      <c r="E23" s="12">
        <f ca="1"/>
        <v>104.98284420329796</v>
      </c>
      <c r="F23" s="11">
        <f ca="1"/>
        <v>0</v>
      </c>
      <c r="G23" s="8">
        <f ca="1"/>
        <v>0</v>
      </c>
      <c r="H23" s="11">
        <f ca="1"/>
        <v>4.5395556045766625</v>
      </c>
      <c r="I23" s="8">
        <f ca="1"/>
        <v>0</v>
      </c>
      <c r="J23" s="8">
        <f ca="1"/>
        <v>4.5395556045766625</v>
      </c>
      <c r="K23">
        <f ca="1"/>
        <v>0</v>
      </c>
      <c r="L23">
        <f ca="1"/>
        <v>0</v>
      </c>
    </row>
    <row r="24" spans="2:16" x14ac:dyDescent="0.55000000000000004">
      <c r="B24">
        <v>5.6000000000000001E-2</v>
      </c>
      <c r="C24">
        <f ca="1"/>
        <v>0.1633192532085081</v>
      </c>
      <c r="D24">
        <f ca="1"/>
        <v>1</v>
      </c>
      <c r="E24" s="12">
        <f ca="1"/>
        <v>103.20466305104242</v>
      </c>
      <c r="F24" s="11">
        <f ca="1"/>
        <v>0</v>
      </c>
      <c r="G24" s="8">
        <f ca="1"/>
        <v>0</v>
      </c>
      <c r="H24" s="11">
        <f ca="1"/>
        <v>4.5395556045766625</v>
      </c>
      <c r="I24" s="8">
        <f ca="1"/>
        <v>0</v>
      </c>
      <c r="J24" s="8">
        <f ca="1"/>
        <v>4.5395556045766625</v>
      </c>
      <c r="K24">
        <f ca="1"/>
        <v>0</v>
      </c>
      <c r="L24">
        <f ca="1"/>
        <v>0</v>
      </c>
    </row>
    <row r="25" spans="2:16" x14ac:dyDescent="0.55000000000000004">
      <c r="B25">
        <v>0.06</v>
      </c>
      <c r="C25">
        <f ca="1"/>
        <v>0.17079689730935149</v>
      </c>
      <c r="D25">
        <f ca="1"/>
        <v>1</v>
      </c>
      <c r="E25" s="12">
        <f ca="1"/>
        <v>103.35085567148994</v>
      </c>
      <c r="F25" s="11">
        <f ca="1"/>
        <v>0</v>
      </c>
      <c r="G25" s="8">
        <f ca="1"/>
        <v>0</v>
      </c>
      <c r="H25" s="11">
        <f ca="1"/>
        <v>4.5395556045766625</v>
      </c>
      <c r="I25" s="8">
        <f ca="1"/>
        <v>0</v>
      </c>
      <c r="J25" s="8">
        <f ca="1"/>
        <v>4.5395556045766625</v>
      </c>
      <c r="K25">
        <f ca="1"/>
        <v>0</v>
      </c>
      <c r="L25">
        <f ca="1"/>
        <v>0</v>
      </c>
    </row>
    <row r="26" spans="2:16" x14ac:dyDescent="0.55000000000000004">
      <c r="B26">
        <v>6.4000000000000001E-2</v>
      </c>
      <c r="C26">
        <f ca="1"/>
        <v>0.19966931204600219</v>
      </c>
      <c r="D26">
        <f ca="1"/>
        <v>1</v>
      </c>
      <c r="E26" s="12">
        <f ca="1"/>
        <v>103.94106422808677</v>
      </c>
      <c r="F26" s="11">
        <f ca="1"/>
        <v>0</v>
      </c>
      <c r="G26" s="8">
        <f ca="1"/>
        <v>0</v>
      </c>
      <c r="H26" s="11">
        <f ca="1"/>
        <v>4.5395556045766625</v>
      </c>
      <c r="I26" s="8">
        <f ca="1"/>
        <v>0</v>
      </c>
      <c r="J26" s="8">
        <f ca="1"/>
        <v>4.5395556045766625</v>
      </c>
      <c r="K26">
        <f ca="1"/>
        <v>0</v>
      </c>
      <c r="L26">
        <f ca="1"/>
        <v>0</v>
      </c>
    </row>
    <row r="27" spans="2:16" x14ac:dyDescent="0.55000000000000004">
      <c r="B27">
        <v>6.8000000000000005E-2</v>
      </c>
      <c r="C27">
        <f ca="1"/>
        <v>0.17633628352928335</v>
      </c>
      <c r="D27">
        <f ca="1"/>
        <v>1</v>
      </c>
      <c r="E27" s="12">
        <f ca="1"/>
        <v>103.44886603928782</v>
      </c>
      <c r="F27" s="11">
        <f ca="1"/>
        <v>0</v>
      </c>
      <c r="G27" s="8">
        <f ca="1"/>
        <v>0</v>
      </c>
      <c r="H27" s="11">
        <f ca="1"/>
        <v>4.5395556045766625</v>
      </c>
      <c r="I27" s="8">
        <f ca="1"/>
        <v>0</v>
      </c>
      <c r="J27" s="8">
        <f ca="1"/>
        <v>4.5395556045766625</v>
      </c>
      <c r="K27">
        <f ca="1"/>
        <v>0</v>
      </c>
      <c r="L27">
        <f ca="1"/>
        <v>0</v>
      </c>
    </row>
    <row r="28" spans="2:16" x14ac:dyDescent="0.55000000000000004">
      <c r="B28">
        <v>7.2000000000000008E-2</v>
      </c>
      <c r="C28">
        <f ca="1"/>
        <v>0.20482052907356457</v>
      </c>
      <c r="D28">
        <f ca="1"/>
        <v>1</v>
      </c>
      <c r="E28" s="12">
        <f ca="1"/>
        <v>104.03155762372253</v>
      </c>
      <c r="F28" s="11">
        <f ca="1"/>
        <v>0</v>
      </c>
      <c r="G28" s="8">
        <f ca="1"/>
        <v>0</v>
      </c>
      <c r="H28" s="11">
        <f ca="1"/>
        <v>4.5395556045766625</v>
      </c>
      <c r="I28" s="8">
        <f ca="1"/>
        <v>0</v>
      </c>
      <c r="J28" s="8">
        <f ca="1"/>
        <v>4.5395556045766625</v>
      </c>
      <c r="K28">
        <f ca="1"/>
        <v>0</v>
      </c>
      <c r="L28">
        <f ca="1"/>
        <v>0</v>
      </c>
    </row>
    <row r="29" spans="2:16" x14ac:dyDescent="0.55000000000000004">
      <c r="B29">
        <v>7.5999999999999998E-2</v>
      </c>
      <c r="C29">
        <f ca="1"/>
        <v>0.15213940321442412</v>
      </c>
      <c r="D29">
        <f ca="1"/>
        <v>1</v>
      </c>
      <c r="E29" s="12">
        <f ca="1"/>
        <v>102.93297689109913</v>
      </c>
      <c r="F29" s="11">
        <f ca="1"/>
        <v>0</v>
      </c>
      <c r="G29" s="8">
        <f ca="1"/>
        <v>0</v>
      </c>
      <c r="H29" s="11">
        <f ca="1"/>
        <v>4.5395556045766625</v>
      </c>
      <c r="I29" s="8">
        <f ca="1"/>
        <v>0</v>
      </c>
      <c r="J29" s="8">
        <f ca="1"/>
        <v>4.5395556045766625</v>
      </c>
      <c r="K29">
        <f ca="1"/>
        <v>0</v>
      </c>
      <c r="L29">
        <f ca="1"/>
        <v>0</v>
      </c>
    </row>
    <row r="30" spans="2:16" x14ac:dyDescent="0.55000000000000004">
      <c r="B30">
        <v>0.08</v>
      </c>
      <c r="C30">
        <f ca="1"/>
        <v>0.14955341561953156</v>
      </c>
      <c r="D30">
        <f ca="1"/>
        <v>1</v>
      </c>
      <c r="E30" s="12">
        <f ca="1"/>
        <v>102.87152392428476</v>
      </c>
      <c r="F30" s="11">
        <f ca="1"/>
        <v>0</v>
      </c>
      <c r="G30" s="8">
        <f ca="1"/>
        <v>0</v>
      </c>
      <c r="H30" s="11">
        <f ca="1"/>
        <v>4.5395556045766625</v>
      </c>
      <c r="I30" s="8">
        <f ca="1"/>
        <v>0</v>
      </c>
      <c r="J30" s="8">
        <f ca="1"/>
        <v>4.5395556045766625</v>
      </c>
      <c r="K30">
        <f ca="1"/>
        <v>0</v>
      </c>
      <c r="L30">
        <f ca="1"/>
        <v>0</v>
      </c>
    </row>
    <row r="31" spans="2:16" x14ac:dyDescent="0.55000000000000004">
      <c r="B31">
        <v>8.4000000000000005E-2</v>
      </c>
      <c r="C31">
        <f ca="1"/>
        <v>0.14792380643240402</v>
      </c>
      <c r="D31">
        <f ca="1"/>
        <v>1</v>
      </c>
      <c r="E31" s="12">
        <f ca="1"/>
        <v>102.82977460032905</v>
      </c>
      <c r="F31" s="11">
        <f ca="1"/>
        <v>0</v>
      </c>
      <c r="G31" s="8">
        <f ca="1"/>
        <v>0</v>
      </c>
      <c r="H31" s="11">
        <f ca="1"/>
        <v>4.5395556045766625</v>
      </c>
      <c r="I31" s="8">
        <f ca="1"/>
        <v>0</v>
      </c>
      <c r="J31" s="8">
        <f ca="1"/>
        <v>4.5395556045766625</v>
      </c>
      <c r="K31">
        <f ca="1"/>
        <v>0</v>
      </c>
      <c r="L31">
        <f ca="1"/>
        <v>0</v>
      </c>
    </row>
    <row r="32" spans="2:16" x14ac:dyDescent="0.55000000000000004">
      <c r="B32">
        <v>8.7999999999999995E-2</v>
      </c>
      <c r="C32">
        <f ca="1"/>
        <v>0.23587896561726085</v>
      </c>
      <c r="D32">
        <f ca="1"/>
        <v>1</v>
      </c>
      <c r="E32" s="12">
        <f ca="1"/>
        <v>104.6462881533039</v>
      </c>
      <c r="F32" s="11">
        <f ca="1"/>
        <v>0</v>
      </c>
      <c r="G32" s="8">
        <f ca="1"/>
        <v>0</v>
      </c>
      <c r="H32" s="11">
        <f ca="1"/>
        <v>4.5395556045766625</v>
      </c>
      <c r="I32" s="8">
        <f ca="1"/>
        <v>0</v>
      </c>
      <c r="J32" s="8">
        <f ca="1"/>
        <v>4.5395556045766625</v>
      </c>
      <c r="K32">
        <f ca="1"/>
        <v>0</v>
      </c>
      <c r="L32">
        <f ca="1"/>
        <v>0</v>
      </c>
    </row>
    <row r="33" spans="2:12" x14ac:dyDescent="0.55000000000000004">
      <c r="B33">
        <v>9.1999999999999998E-2</v>
      </c>
      <c r="C33">
        <f ca="1"/>
        <v>0.21864670000475542</v>
      </c>
      <c r="D33">
        <f ca="1"/>
        <v>1</v>
      </c>
      <c r="E33" s="12">
        <f ca="1"/>
        <v>104.27790784339538</v>
      </c>
      <c r="F33" s="11">
        <f ca="1"/>
        <v>0</v>
      </c>
      <c r="G33" s="8">
        <f ca="1"/>
        <v>0</v>
      </c>
      <c r="H33" s="11">
        <f ca="1"/>
        <v>4.5395556045766625</v>
      </c>
      <c r="I33" s="8">
        <f ca="1"/>
        <v>0</v>
      </c>
      <c r="J33" s="8">
        <f ca="1"/>
        <v>4.5395556045766625</v>
      </c>
      <c r="K33">
        <f ca="1"/>
        <v>0</v>
      </c>
      <c r="L33">
        <f ca="1"/>
        <v>0</v>
      </c>
    </row>
    <row r="34" spans="2:12" x14ac:dyDescent="0.55000000000000004">
      <c r="B34">
        <v>9.6000000000000002E-2</v>
      </c>
      <c r="C34">
        <f ca="1"/>
        <v>0.21723566555142379</v>
      </c>
      <c r="D34">
        <f ca="1"/>
        <v>1</v>
      </c>
      <c r="E34" s="12">
        <f ca="1"/>
        <v>104.24014450611358</v>
      </c>
      <c r="F34" s="11">
        <f ca="1"/>
        <v>0</v>
      </c>
      <c r="G34" s="8">
        <f ca="1"/>
        <v>0</v>
      </c>
      <c r="H34" s="11">
        <f ca="1"/>
        <v>4.5395556045766625</v>
      </c>
      <c r="I34" s="8">
        <f ca="1"/>
        <v>0</v>
      </c>
      <c r="J34" s="8">
        <f ca="1"/>
        <v>4.5395556045766625</v>
      </c>
      <c r="K34">
        <f ca="1"/>
        <v>0</v>
      </c>
      <c r="L34">
        <f ca="1"/>
        <v>0</v>
      </c>
    </row>
    <row r="35" spans="2:12" x14ac:dyDescent="0.55000000000000004">
      <c r="B35">
        <v>0.1</v>
      </c>
      <c r="C35">
        <f ca="1"/>
        <v>0.2549313932470042</v>
      </c>
      <c r="D35">
        <f ca="1"/>
        <v>1</v>
      </c>
      <c r="E35" s="12">
        <f ca="1"/>
        <v>105.02059403972541</v>
      </c>
      <c r="F35" s="11">
        <f ca="1"/>
        <v>0</v>
      </c>
      <c r="G35" s="8">
        <f ca="1"/>
        <v>0</v>
      </c>
      <c r="H35" s="11">
        <f ca="1"/>
        <v>4.5395556045766625</v>
      </c>
      <c r="I35" s="8">
        <f ca="1"/>
        <v>0</v>
      </c>
      <c r="J35" s="8">
        <f ca="1"/>
        <v>4.5395556045766625</v>
      </c>
      <c r="K35">
        <f ca="1"/>
        <v>0</v>
      </c>
      <c r="L35">
        <f ca="1"/>
        <v>0</v>
      </c>
    </row>
    <row r="36" spans="2:12" x14ac:dyDescent="0.55000000000000004">
      <c r="B36">
        <v>0.10400000000000001</v>
      </c>
      <c r="C36">
        <f ca="1"/>
        <v>0.1230264568340973</v>
      </c>
      <c r="D36">
        <f ca="1"/>
        <v>1</v>
      </c>
      <c r="E36" s="12">
        <f ca="1"/>
        <v>102.27809013642886</v>
      </c>
      <c r="F36" s="11">
        <f ca="1"/>
        <v>0</v>
      </c>
      <c r="G36" s="8">
        <f ca="1"/>
        <v>0</v>
      </c>
      <c r="H36" s="11">
        <f ca="1"/>
        <v>4.5395556045766625</v>
      </c>
      <c r="I36" s="8">
        <f ca="1"/>
        <v>0</v>
      </c>
      <c r="J36" s="8">
        <f ca="1"/>
        <v>4.5395556045766625</v>
      </c>
      <c r="K36">
        <f ca="1"/>
        <v>0</v>
      </c>
      <c r="L36">
        <f ca="1"/>
        <v>0</v>
      </c>
    </row>
    <row r="37" spans="2:12" x14ac:dyDescent="0.55000000000000004">
      <c r="B37">
        <v>0.108</v>
      </c>
      <c r="C37">
        <f ca="1"/>
        <v>0.12098446580345813</v>
      </c>
      <c r="D37">
        <f ca="1"/>
        <v>1</v>
      </c>
      <c r="E37" s="12">
        <f ca="1"/>
        <v>102.2281498970344</v>
      </c>
      <c r="F37" s="11">
        <f ca="1"/>
        <v>0</v>
      </c>
      <c r="G37" s="8">
        <f ca="1"/>
        <v>0</v>
      </c>
      <c r="H37" s="11">
        <f ca="1"/>
        <v>4.5395556045766625</v>
      </c>
      <c r="I37" s="8">
        <f ca="1"/>
        <v>0</v>
      </c>
      <c r="J37" s="8">
        <f ca="1"/>
        <v>4.5395556045766625</v>
      </c>
      <c r="K37">
        <f ca="1"/>
        <v>0</v>
      </c>
      <c r="L37">
        <f ca="1"/>
        <v>0</v>
      </c>
    </row>
    <row r="38" spans="2:12" x14ac:dyDescent="0.55000000000000004">
      <c r="B38">
        <v>0.112</v>
      </c>
      <c r="C38">
        <f ca="1"/>
        <v>0.11790312710001981</v>
      </c>
      <c r="D38">
        <f ca="1"/>
        <v>1</v>
      </c>
      <c r="E38" s="12">
        <f ca="1"/>
        <v>102.15699650785022</v>
      </c>
      <c r="F38" s="11">
        <f ca="1"/>
        <v>0</v>
      </c>
      <c r="G38" s="8">
        <f ca="1"/>
        <v>0</v>
      </c>
      <c r="H38" s="11">
        <f ca="1"/>
        <v>4.5395556045766625</v>
      </c>
      <c r="I38" s="8">
        <f ca="1"/>
        <v>0</v>
      </c>
      <c r="J38" s="8">
        <f ca="1"/>
        <v>4.5395556045766625</v>
      </c>
      <c r="K38">
        <f ca="1"/>
        <v>0</v>
      </c>
      <c r="L38">
        <f ca="1"/>
        <v>0</v>
      </c>
    </row>
    <row r="39" spans="2:12" x14ac:dyDescent="0.55000000000000004">
      <c r="B39">
        <v>0.11600000000000001</v>
      </c>
      <c r="C39">
        <f ca="1"/>
        <v>0.13916324799665292</v>
      </c>
      <c r="D39">
        <f ca="1"/>
        <v>1</v>
      </c>
      <c r="E39" s="12">
        <f ca="1"/>
        <v>102.5840882664514</v>
      </c>
      <c r="F39" s="11">
        <f ca="1"/>
        <v>0</v>
      </c>
      <c r="G39" s="8">
        <f ca="1"/>
        <v>0</v>
      </c>
      <c r="H39" s="11">
        <f ca="1"/>
        <v>4.5395556045766625</v>
      </c>
      <c r="I39" s="8">
        <f ca="1"/>
        <v>0</v>
      </c>
      <c r="J39" s="8">
        <f ca="1"/>
        <v>4.5395556045766625</v>
      </c>
      <c r="K39">
        <f ca="1"/>
        <v>0</v>
      </c>
      <c r="L39">
        <f ca="1"/>
        <v>0</v>
      </c>
    </row>
    <row r="40" spans="2:12" x14ac:dyDescent="0.55000000000000004">
      <c r="B40">
        <v>0.12</v>
      </c>
      <c r="C40">
        <f ca="1"/>
        <v>0.21697575992611967</v>
      </c>
      <c r="D40">
        <f ca="1"/>
        <v>1</v>
      </c>
      <c r="E40" s="12">
        <f ca="1"/>
        <v>104.18470546433207</v>
      </c>
      <c r="F40" s="11">
        <f ca="1"/>
        <v>0</v>
      </c>
      <c r="G40" s="8">
        <f ca="1"/>
        <v>0</v>
      </c>
      <c r="H40" s="11">
        <f ca="1"/>
        <v>4.5395556045766625</v>
      </c>
      <c r="I40" s="8">
        <f ca="1"/>
        <v>0</v>
      </c>
      <c r="J40" s="8">
        <f ca="1"/>
        <v>4.5395556045766625</v>
      </c>
      <c r="K40">
        <f ca="1"/>
        <v>0</v>
      </c>
      <c r="L40">
        <f ca="1"/>
        <v>0</v>
      </c>
    </row>
    <row r="41" spans="2:12" x14ac:dyDescent="0.55000000000000004">
      <c r="B41">
        <v>0.124</v>
      </c>
      <c r="C41">
        <f ca="1"/>
        <v>0.30421457154033521</v>
      </c>
      <c r="D41">
        <f ca="1"/>
        <v>1</v>
      </c>
      <c r="E41" s="12">
        <f ca="1"/>
        <v>106.00996512389797</v>
      </c>
      <c r="F41" s="11">
        <f ca="1"/>
        <v>0</v>
      </c>
      <c r="G41" s="8">
        <f ca="1"/>
        <v>0</v>
      </c>
      <c r="H41" s="11">
        <f ca="1"/>
        <v>4.5395556045766625</v>
      </c>
      <c r="I41" s="8">
        <f ca="1"/>
        <v>0</v>
      </c>
      <c r="J41" s="8">
        <f ca="1"/>
        <v>4.5395556045766625</v>
      </c>
      <c r="K41">
        <f ca="1"/>
        <v>0</v>
      </c>
      <c r="L41">
        <f ca="1"/>
        <v>0</v>
      </c>
    </row>
    <row r="42" spans="2:12" x14ac:dyDescent="0.55000000000000004">
      <c r="B42">
        <v>0.128</v>
      </c>
      <c r="C42">
        <f ca="1"/>
        <v>0.39421747521135259</v>
      </c>
      <c r="D42">
        <f ca="1"/>
        <v>1</v>
      </c>
      <c r="E42" s="12">
        <f ca="1"/>
        <v>107.92684980597589</v>
      </c>
      <c r="F42" s="11">
        <f ca="1"/>
        <v>0</v>
      </c>
      <c r="G42" s="8">
        <f ca="1"/>
        <v>0</v>
      </c>
      <c r="H42" s="11">
        <f ca="1"/>
        <v>4.5395556045766625</v>
      </c>
      <c r="I42" s="8">
        <f ca="1"/>
        <v>0</v>
      </c>
      <c r="J42" s="8">
        <f ca="1"/>
        <v>4.5395556045766625</v>
      </c>
      <c r="K42">
        <f ca="1"/>
        <v>0</v>
      </c>
      <c r="L42">
        <f ca="1"/>
        <v>0</v>
      </c>
    </row>
    <row r="43" spans="2:12" x14ac:dyDescent="0.55000000000000004">
      <c r="B43">
        <v>0.13200000000000001</v>
      </c>
      <c r="C43">
        <f ca="1"/>
        <v>0.30765812661465836</v>
      </c>
      <c r="D43">
        <f ca="1"/>
        <v>1</v>
      </c>
      <c r="E43" s="12">
        <f ca="1"/>
        <v>106.06602857952167</v>
      </c>
      <c r="F43" s="11">
        <f ca="1"/>
        <v>0</v>
      </c>
      <c r="G43" s="8">
        <f ca="1"/>
        <v>0</v>
      </c>
      <c r="H43" s="11">
        <f ca="1"/>
        <v>4.5395556045766625</v>
      </c>
      <c r="I43" s="8">
        <f ca="1"/>
        <v>0</v>
      </c>
      <c r="J43" s="8">
        <f ca="1"/>
        <v>4.5395556045766625</v>
      </c>
      <c r="K43">
        <f ca="1"/>
        <v>0</v>
      </c>
      <c r="L43">
        <f ca="1"/>
        <v>0</v>
      </c>
    </row>
    <row r="44" spans="2:12" x14ac:dyDescent="0.55000000000000004">
      <c r="B44">
        <v>0.13600000000000001</v>
      </c>
      <c r="C44">
        <f ca="1"/>
        <v>0.32410100611106268</v>
      </c>
      <c r="D44">
        <f ca="1"/>
        <v>1</v>
      </c>
      <c r="E44" s="12">
        <f ca="1"/>
        <v>106.40689603967846</v>
      </c>
      <c r="F44" s="11">
        <f ca="1"/>
        <v>0</v>
      </c>
      <c r="G44" s="8">
        <f ca="1"/>
        <v>0</v>
      </c>
      <c r="H44" s="11">
        <f ca="1"/>
        <v>4.5395556045766625</v>
      </c>
      <c r="I44" s="8">
        <f ca="1"/>
        <v>0</v>
      </c>
      <c r="J44" s="8">
        <f ca="1"/>
        <v>4.5395556045766625</v>
      </c>
      <c r="K44">
        <f ca="1"/>
        <v>0</v>
      </c>
      <c r="L44">
        <f ca="1"/>
        <v>0</v>
      </c>
    </row>
    <row r="45" spans="2:12" x14ac:dyDescent="0.55000000000000004">
      <c r="B45">
        <v>0.14000000000000001</v>
      </c>
      <c r="C45">
        <f ca="1"/>
        <v>0.34537631475524883</v>
      </c>
      <c r="D45">
        <f ca="1"/>
        <v>1</v>
      </c>
      <c r="E45" s="12">
        <f ca="1"/>
        <v>106.8520800877869</v>
      </c>
      <c r="F45" s="11">
        <f ca="1"/>
        <v>0</v>
      </c>
      <c r="G45" s="8">
        <f ca="1"/>
        <v>0</v>
      </c>
      <c r="H45" s="11">
        <f ca="1"/>
        <v>4.5395556045766625</v>
      </c>
      <c r="I45" s="8">
        <f ca="1"/>
        <v>0</v>
      </c>
      <c r="J45" s="8">
        <f ca="1"/>
        <v>4.5395556045766625</v>
      </c>
      <c r="K45">
        <f ca="1"/>
        <v>0</v>
      </c>
      <c r="L45">
        <f ca="1"/>
        <v>0</v>
      </c>
    </row>
    <row r="46" spans="2:12" x14ac:dyDescent="0.55000000000000004">
      <c r="B46">
        <v>0.14400000000000002</v>
      </c>
      <c r="C46">
        <f ca="1"/>
        <v>0.38375420257235293</v>
      </c>
      <c r="D46">
        <f ca="1"/>
        <v>1</v>
      </c>
      <c r="E46" s="12">
        <f ca="1"/>
        <v>107.66677346645592</v>
      </c>
      <c r="F46" s="11">
        <f ca="1"/>
        <v>0</v>
      </c>
      <c r="G46" s="8">
        <f ca="1"/>
        <v>0</v>
      </c>
      <c r="H46" s="11">
        <f ca="1"/>
        <v>4.5395556045766625</v>
      </c>
      <c r="I46" s="8">
        <f ca="1"/>
        <v>0</v>
      </c>
      <c r="J46" s="8">
        <f ca="1"/>
        <v>4.5395556045766625</v>
      </c>
      <c r="K46">
        <f ca="1"/>
        <v>0</v>
      </c>
      <c r="L46">
        <f ca="1"/>
        <v>0</v>
      </c>
    </row>
    <row r="47" spans="2:12" x14ac:dyDescent="0.55000000000000004">
      <c r="B47">
        <v>0.14799999999999999</v>
      </c>
      <c r="C47">
        <f ca="1"/>
        <v>0.44860021734087913</v>
      </c>
      <c r="D47">
        <f ca="1"/>
        <v>1</v>
      </c>
      <c r="E47" s="12">
        <f ca="1"/>
        <v>109.06349433383669</v>
      </c>
      <c r="F47" s="11">
        <f ca="1"/>
        <v>0</v>
      </c>
      <c r="G47" s="8">
        <f ca="1"/>
        <v>0</v>
      </c>
      <c r="H47" s="11">
        <f ca="1"/>
        <v>4.5395556045766625</v>
      </c>
      <c r="I47" s="8">
        <f ca="1"/>
        <v>0</v>
      </c>
      <c r="J47" s="8">
        <f ca="1"/>
        <v>4.5395556045766625</v>
      </c>
      <c r="K47">
        <f ca="1"/>
        <v>0</v>
      </c>
      <c r="L47">
        <f ca="1"/>
        <v>0</v>
      </c>
    </row>
    <row r="48" spans="2:12" x14ac:dyDescent="0.55000000000000004">
      <c r="B48">
        <v>0.152</v>
      </c>
      <c r="C48">
        <f ca="1"/>
        <v>0.33928639992452264</v>
      </c>
      <c r="D48">
        <f ca="1"/>
        <v>1</v>
      </c>
      <c r="E48" s="12">
        <f ca="1"/>
        <v>106.69640508844707</v>
      </c>
      <c r="F48" s="11">
        <f ca="1"/>
        <v>0</v>
      </c>
      <c r="G48" s="8">
        <f ca="1"/>
        <v>0</v>
      </c>
      <c r="H48" s="11">
        <f ca="1"/>
        <v>4.5395556045766625</v>
      </c>
      <c r="I48" s="8">
        <f ca="1"/>
        <v>0</v>
      </c>
      <c r="J48" s="8">
        <f ca="1"/>
        <v>4.5395556045766625</v>
      </c>
      <c r="K48">
        <f ca="1"/>
        <v>0</v>
      </c>
      <c r="L48">
        <f ca="1"/>
        <v>0</v>
      </c>
    </row>
    <row r="49" spans="2:12" x14ac:dyDescent="0.55000000000000004">
      <c r="B49">
        <v>0.156</v>
      </c>
      <c r="C49">
        <f ca="1"/>
        <v>0.37500345704311722</v>
      </c>
      <c r="D49">
        <f ca="1"/>
        <v>1</v>
      </c>
      <c r="E49" s="12">
        <f ca="1"/>
        <v>107.4527136096806</v>
      </c>
      <c r="F49" s="11">
        <f ca="1"/>
        <v>0</v>
      </c>
      <c r="G49" s="8">
        <f ca="1"/>
        <v>0</v>
      </c>
      <c r="H49" s="11">
        <f ca="1"/>
        <v>4.5395556045766625</v>
      </c>
      <c r="I49" s="8">
        <f ca="1"/>
        <v>0</v>
      </c>
      <c r="J49" s="8">
        <f ca="1"/>
        <v>4.5395556045766625</v>
      </c>
      <c r="K49">
        <f ca="1"/>
        <v>0</v>
      </c>
      <c r="L49">
        <f ca="1"/>
        <v>0</v>
      </c>
    </row>
    <row r="50" spans="2:12" x14ac:dyDescent="0.55000000000000004">
      <c r="B50">
        <v>0.16</v>
      </c>
      <c r="C50">
        <f ca="1"/>
        <v>0.41818096487772299</v>
      </c>
      <c r="D50">
        <f ca="1"/>
        <v>1</v>
      </c>
      <c r="E50" s="12">
        <f ca="1"/>
        <v>108.37596929547966</v>
      </c>
      <c r="F50" s="11">
        <f ca="1"/>
        <v>0</v>
      </c>
      <c r="G50" s="8">
        <f ca="1"/>
        <v>0</v>
      </c>
      <c r="H50" s="11">
        <f ca="1"/>
        <v>4.5395556045766625</v>
      </c>
      <c r="I50" s="8">
        <f ca="1"/>
        <v>0</v>
      </c>
      <c r="J50" s="8">
        <f ca="1"/>
        <v>4.5395556045766625</v>
      </c>
      <c r="K50">
        <f ca="1"/>
        <v>0</v>
      </c>
      <c r="L50">
        <f ca="1"/>
        <v>0</v>
      </c>
    </row>
    <row r="51" spans="2:12" x14ac:dyDescent="0.55000000000000004">
      <c r="B51">
        <v>0.16400000000000001</v>
      </c>
      <c r="C51">
        <f ca="1"/>
        <v>0.38724464115920715</v>
      </c>
      <c r="D51">
        <f ca="1"/>
        <v>1</v>
      </c>
      <c r="E51" s="12">
        <f ca="1"/>
        <v>107.69887239310543</v>
      </c>
      <c r="F51" s="11">
        <f ca="1"/>
        <v>0</v>
      </c>
      <c r="G51" s="8">
        <f ca="1"/>
        <v>0</v>
      </c>
      <c r="H51" s="11">
        <f ca="1"/>
        <v>4.5395556045766625</v>
      </c>
      <c r="I51" s="8">
        <f ca="1"/>
        <v>0</v>
      </c>
      <c r="J51" s="8">
        <f ca="1"/>
        <v>4.5395556045766625</v>
      </c>
      <c r="K51">
        <f ca="1"/>
        <v>0</v>
      </c>
      <c r="L51">
        <f ca="1"/>
        <v>0</v>
      </c>
    </row>
    <row r="52" spans="2:12" x14ac:dyDescent="0.55000000000000004">
      <c r="B52">
        <v>0.16800000000000001</v>
      </c>
      <c r="C52">
        <f ca="1"/>
        <v>0.36730221402028818</v>
      </c>
      <c r="D52">
        <f ca="1"/>
        <v>1</v>
      </c>
      <c r="E52" s="12">
        <f ca="1"/>
        <v>107.26159123936347</v>
      </c>
      <c r="F52" s="11">
        <f ca="1"/>
        <v>0</v>
      </c>
      <c r="G52" s="8">
        <f ca="1"/>
        <v>0</v>
      </c>
      <c r="H52" s="11">
        <f ca="1"/>
        <v>4.5395556045766625</v>
      </c>
      <c r="I52" s="8">
        <f ca="1"/>
        <v>0</v>
      </c>
      <c r="J52" s="8">
        <f ca="1"/>
        <v>4.5395556045766625</v>
      </c>
      <c r="K52">
        <f ca="1"/>
        <v>0</v>
      </c>
      <c r="L52">
        <f ca="1"/>
        <v>0</v>
      </c>
    </row>
    <row r="53" spans="2:12" x14ac:dyDescent="0.55000000000000004">
      <c r="B53">
        <v>0.17200000000000001</v>
      </c>
      <c r="C53">
        <f ca="1"/>
        <v>0.34140320688626569</v>
      </c>
      <c r="D53">
        <f ca="1"/>
        <v>1</v>
      </c>
      <c r="E53" s="12">
        <f ca="1"/>
        <v>106.69889769414378</v>
      </c>
      <c r="F53" s="11">
        <f ca="1"/>
        <v>0</v>
      </c>
      <c r="G53" s="8">
        <f ca="1"/>
        <v>0</v>
      </c>
      <c r="H53" s="11">
        <f ca="1"/>
        <v>4.5395556045766625</v>
      </c>
      <c r="I53" s="8">
        <f ca="1"/>
        <v>0</v>
      </c>
      <c r="J53" s="8">
        <f ca="1"/>
        <v>4.5395556045766625</v>
      </c>
      <c r="K53">
        <f ca="1"/>
        <v>0</v>
      </c>
      <c r="L53">
        <f ca="1"/>
        <v>0</v>
      </c>
    </row>
    <row r="54" spans="2:12" x14ac:dyDescent="0.55000000000000004">
      <c r="B54">
        <v>0.17599999999999999</v>
      </c>
      <c r="C54">
        <f ca="1"/>
        <v>0.28605391734911245</v>
      </c>
      <c r="D54">
        <f ca="1"/>
        <v>1</v>
      </c>
      <c r="E54" s="12">
        <f ca="1"/>
        <v>105.51582793235528</v>
      </c>
      <c r="F54" s="11">
        <f ca="1"/>
        <v>0</v>
      </c>
      <c r="G54" s="8">
        <f ca="1"/>
        <v>0</v>
      </c>
      <c r="H54" s="11">
        <f ca="1"/>
        <v>4.5395556045766625</v>
      </c>
      <c r="I54" s="8">
        <f ca="1"/>
        <v>0</v>
      </c>
      <c r="J54" s="8">
        <f ca="1"/>
        <v>4.5395556045766625</v>
      </c>
      <c r="K54">
        <f ca="1"/>
        <v>0</v>
      </c>
      <c r="L54">
        <f ca="1"/>
        <v>0</v>
      </c>
    </row>
    <row r="55" spans="2:12" x14ac:dyDescent="0.55000000000000004">
      <c r="B55">
        <v>0.18</v>
      </c>
      <c r="C55">
        <f ca="1"/>
        <v>0.22542463770193133</v>
      </c>
      <c r="D55">
        <f ca="1"/>
        <v>1</v>
      </c>
      <c r="E55" s="12">
        <f ca="1"/>
        <v>104.2357450842491</v>
      </c>
      <c r="F55" s="11">
        <f ca="1"/>
        <v>0</v>
      </c>
      <c r="G55" s="8">
        <f ca="1"/>
        <v>0</v>
      </c>
      <c r="H55" s="11">
        <f ca="1"/>
        <v>4.5395556045766625</v>
      </c>
      <c r="I55" s="8">
        <f ca="1"/>
        <v>0</v>
      </c>
      <c r="J55" s="8">
        <f ca="1"/>
        <v>4.5395556045766625</v>
      </c>
      <c r="K55">
        <f ca="1"/>
        <v>0</v>
      </c>
      <c r="L55">
        <f ca="1"/>
        <v>0</v>
      </c>
    </row>
    <row r="56" spans="2:12" x14ac:dyDescent="0.55000000000000004">
      <c r="B56">
        <v>0.184</v>
      </c>
      <c r="C56">
        <f ca="1"/>
        <v>0.17492220313866663</v>
      </c>
      <c r="D56">
        <f ca="1"/>
        <v>1</v>
      </c>
      <c r="E56" s="12">
        <f ca="1"/>
        <v>103.17995777868256</v>
      </c>
      <c r="F56" s="11">
        <f ca="1"/>
        <v>0</v>
      </c>
      <c r="G56" s="8">
        <f ca="1"/>
        <v>0</v>
      </c>
      <c r="H56" s="11">
        <f ca="1"/>
        <v>4.5395556045766625</v>
      </c>
      <c r="I56" s="8">
        <f ca="1"/>
        <v>0</v>
      </c>
      <c r="J56" s="8">
        <f ca="1"/>
        <v>4.5395556045766625</v>
      </c>
      <c r="K56">
        <f ca="1"/>
        <v>0</v>
      </c>
      <c r="L56">
        <f ca="1"/>
        <v>0</v>
      </c>
    </row>
    <row r="57" spans="2:12" x14ac:dyDescent="0.55000000000000004">
      <c r="B57">
        <v>0.188</v>
      </c>
      <c r="C57">
        <f ca="1"/>
        <v>0.14083864773621957</v>
      </c>
      <c r="D57">
        <f ca="1"/>
        <v>1</v>
      </c>
      <c r="E57" s="12">
        <f ca="1"/>
        <v>102.47080364704982</v>
      </c>
      <c r="F57" s="11">
        <f ca="1"/>
        <v>0</v>
      </c>
      <c r="G57" s="8">
        <f ca="1"/>
        <v>0</v>
      </c>
      <c r="H57" s="11">
        <f ca="1"/>
        <v>4.5395556045766625</v>
      </c>
      <c r="I57" s="8">
        <f ca="1"/>
        <v>0</v>
      </c>
      <c r="J57" s="8">
        <f ca="1"/>
        <v>4.5395556045766625</v>
      </c>
      <c r="K57">
        <f ca="1"/>
        <v>0</v>
      </c>
      <c r="L57">
        <f ca="1"/>
        <v>0</v>
      </c>
    </row>
    <row r="58" spans="2:12" x14ac:dyDescent="0.55000000000000004">
      <c r="B58">
        <v>0.192</v>
      </c>
      <c r="C58">
        <f ca="1"/>
        <v>0.14094959634013782</v>
      </c>
      <c r="D58">
        <f ca="1"/>
        <v>1</v>
      </c>
      <c r="E58" s="12">
        <f ca="1"/>
        <v>102.46487995250632</v>
      </c>
      <c r="F58" s="11">
        <f ca="1"/>
        <v>0</v>
      </c>
      <c r="G58" s="8">
        <f ca="1"/>
        <v>0</v>
      </c>
      <c r="H58" s="11">
        <f ca="1"/>
        <v>4.5395556045766625</v>
      </c>
      <c r="I58" s="8">
        <f ca="1"/>
        <v>0</v>
      </c>
      <c r="J58" s="8">
        <f ca="1"/>
        <v>4.5395556045766625</v>
      </c>
      <c r="K58">
        <f ca="1"/>
        <v>0</v>
      </c>
      <c r="L58">
        <f ca="1"/>
        <v>0</v>
      </c>
    </row>
    <row r="59" spans="2:12" x14ac:dyDescent="0.55000000000000004">
      <c r="B59">
        <v>0.19600000000000001</v>
      </c>
      <c r="C59">
        <f ca="1"/>
        <v>0.15822015688068936</v>
      </c>
      <c r="D59">
        <f ca="1"/>
        <v>1</v>
      </c>
      <c r="E59" s="12">
        <f ca="1"/>
        <v>102.81119186366369</v>
      </c>
      <c r="F59" s="11">
        <f ca="1"/>
        <v>0</v>
      </c>
      <c r="G59" s="8">
        <f ca="1"/>
        <v>0</v>
      </c>
      <c r="H59" s="11">
        <f ca="1"/>
        <v>4.5395556045766625</v>
      </c>
      <c r="I59" s="8">
        <f ca="1"/>
        <v>0</v>
      </c>
      <c r="J59" s="8">
        <f ca="1"/>
        <v>4.5395556045766625</v>
      </c>
      <c r="K59">
        <f ca="1"/>
        <v>0</v>
      </c>
      <c r="L59">
        <f ca="1"/>
        <v>0</v>
      </c>
    </row>
    <row r="60" spans="2:12" x14ac:dyDescent="0.55000000000000004">
      <c r="B60">
        <v>0.2</v>
      </c>
      <c r="C60">
        <f ca="1"/>
        <v>0.17753898129986634</v>
      </c>
      <c r="D60">
        <f ca="1"/>
        <v>1</v>
      </c>
      <c r="E60" s="12">
        <f ca="1"/>
        <v>103.20094213780263</v>
      </c>
      <c r="F60" s="11">
        <f ca="1"/>
        <v>0</v>
      </c>
      <c r="G60" s="8">
        <f ca="1"/>
        <v>0</v>
      </c>
      <c r="H60" s="11">
        <f ca="1"/>
        <v>4.5395556045766625</v>
      </c>
      <c r="I60" s="8">
        <f ca="1"/>
        <v>0</v>
      </c>
      <c r="J60" s="8">
        <f ca="1"/>
        <v>4.5395556045766625</v>
      </c>
      <c r="K60">
        <f ca="1"/>
        <v>0</v>
      </c>
      <c r="L60">
        <f ca="1"/>
        <v>0</v>
      </c>
    </row>
    <row r="61" spans="2:12" x14ac:dyDescent="0.55000000000000004">
      <c r="B61">
        <v>0.20400000000000001</v>
      </c>
      <c r="C61">
        <f ca="1"/>
        <v>0.20509444177838801</v>
      </c>
      <c r="D61">
        <f ca="1"/>
        <v>1</v>
      </c>
      <c r="E61" s="12">
        <f ca="1"/>
        <v>103.76296076490136</v>
      </c>
      <c r="F61" s="11">
        <f ca="1"/>
        <v>0</v>
      </c>
      <c r="G61" s="8">
        <f ca="1"/>
        <v>0</v>
      </c>
      <c r="H61" s="11">
        <f ca="1"/>
        <v>4.5395556045766625</v>
      </c>
      <c r="I61" s="8">
        <f ca="1"/>
        <v>0</v>
      </c>
      <c r="J61" s="8">
        <f ca="1"/>
        <v>4.5395556045766625</v>
      </c>
      <c r="K61">
        <f ca="1"/>
        <v>0</v>
      </c>
      <c r="L61">
        <f ca="1"/>
        <v>0</v>
      </c>
    </row>
    <row r="62" spans="2:12" x14ac:dyDescent="0.55000000000000004">
      <c r="B62">
        <v>0.20800000000000002</v>
      </c>
      <c r="C62">
        <f ca="1"/>
        <v>0.16046727161621677</v>
      </c>
      <c r="D62">
        <f ca="1"/>
        <v>1</v>
      </c>
      <c r="E62" s="12">
        <f ca="1"/>
        <v>102.83272514116173</v>
      </c>
      <c r="F62" s="11">
        <f ca="1"/>
        <v>0</v>
      </c>
      <c r="G62" s="8">
        <f ca="1"/>
        <v>0</v>
      </c>
      <c r="H62" s="11">
        <f ca="1"/>
        <v>4.5395556045766625</v>
      </c>
      <c r="I62" s="8">
        <f ca="1"/>
        <v>0</v>
      </c>
      <c r="J62" s="8">
        <f ca="1"/>
        <v>4.5395556045766625</v>
      </c>
      <c r="K62">
        <f ca="1"/>
        <v>0</v>
      </c>
      <c r="L62">
        <f ca="1"/>
        <v>0</v>
      </c>
    </row>
    <row r="63" spans="2:12" x14ac:dyDescent="0.55000000000000004">
      <c r="B63">
        <v>0.21199999999999999</v>
      </c>
      <c r="C63">
        <f ca="1"/>
        <v>0.15576425952150941</v>
      </c>
      <c r="D63">
        <f ca="1"/>
        <v>1</v>
      </c>
      <c r="E63" s="12">
        <f ca="1"/>
        <v>102.72782735171053</v>
      </c>
      <c r="F63" s="11">
        <f ca="1"/>
        <v>0</v>
      </c>
      <c r="G63" s="8">
        <f ca="1"/>
        <v>0</v>
      </c>
      <c r="H63" s="11">
        <f ca="1"/>
        <v>4.5395556045766625</v>
      </c>
      <c r="I63" s="8">
        <f ca="1"/>
        <v>0</v>
      </c>
      <c r="J63" s="8">
        <f ca="1"/>
        <v>4.5395556045766625</v>
      </c>
      <c r="K63">
        <f ca="1"/>
        <v>0</v>
      </c>
      <c r="L63">
        <f ca="1"/>
        <v>0</v>
      </c>
    </row>
    <row r="64" spans="2:12" x14ac:dyDescent="0.55000000000000004">
      <c r="B64">
        <v>0.216</v>
      </c>
      <c r="C64">
        <f ca="1"/>
        <v>0.21271792266006012</v>
      </c>
      <c r="D64">
        <f ca="1"/>
        <v>1</v>
      </c>
      <c r="E64" s="12">
        <f ca="1"/>
        <v>103.89635030801317</v>
      </c>
      <c r="F64" s="11">
        <f ca="1"/>
        <v>0</v>
      </c>
      <c r="G64" s="8">
        <f ca="1"/>
        <v>0</v>
      </c>
      <c r="H64" s="11">
        <f ca="1"/>
        <v>4.5395556045766625</v>
      </c>
      <c r="I64" s="8">
        <f ca="1"/>
        <v>0</v>
      </c>
      <c r="J64" s="8">
        <f ca="1"/>
        <v>4.5395556045766625</v>
      </c>
      <c r="K64">
        <f ca="1"/>
        <v>0</v>
      </c>
      <c r="L64">
        <f ca="1"/>
        <v>0</v>
      </c>
    </row>
    <row r="65" spans="2:12" x14ac:dyDescent="0.55000000000000004">
      <c r="B65">
        <v>0.22</v>
      </c>
      <c r="C65">
        <f ca="1"/>
        <v>0.21948759519689068</v>
      </c>
      <c r="D65">
        <f ca="1"/>
        <v>1</v>
      </c>
      <c r="E65" s="12">
        <f ca="1"/>
        <v>104.02879179683966</v>
      </c>
      <c r="F65" s="11">
        <f ca="1"/>
        <v>0</v>
      </c>
      <c r="G65" s="8">
        <f ca="1"/>
        <v>0</v>
      </c>
      <c r="H65" s="11">
        <f ca="1"/>
        <v>4.5395556045766625</v>
      </c>
      <c r="I65" s="8">
        <f ca="1"/>
        <v>0</v>
      </c>
      <c r="J65" s="8">
        <f ca="1"/>
        <v>4.5395556045766625</v>
      </c>
      <c r="K65">
        <f ca="1"/>
        <v>0</v>
      </c>
      <c r="L65">
        <f ca="1"/>
        <v>0</v>
      </c>
    </row>
    <row r="66" spans="2:12" x14ac:dyDescent="0.55000000000000004">
      <c r="B66">
        <v>0.224</v>
      </c>
      <c r="C66">
        <f ca="1"/>
        <v>9.8376306402575539E-2</v>
      </c>
      <c r="D66">
        <f ca="1"/>
        <v>1</v>
      </c>
      <c r="E66" s="12">
        <f ca="1"/>
        <v>101.53112962454345</v>
      </c>
      <c r="F66" s="11">
        <f ca="1"/>
        <v>0</v>
      </c>
      <c r="G66" s="8">
        <f ca="1"/>
        <v>0</v>
      </c>
      <c r="H66" s="11">
        <f ca="1"/>
        <v>4.5395556045766625</v>
      </c>
      <c r="I66" s="8">
        <f ca="1"/>
        <v>0</v>
      </c>
      <c r="J66" s="8">
        <f ca="1"/>
        <v>4.5395556045766625</v>
      </c>
      <c r="K66">
        <f ca="1"/>
        <v>0</v>
      </c>
      <c r="L66">
        <f ca="1"/>
        <v>0</v>
      </c>
    </row>
    <row r="67" spans="2:12" x14ac:dyDescent="0.55000000000000004">
      <c r="B67">
        <v>0.22800000000000001</v>
      </c>
      <c r="C67">
        <f ca="1"/>
        <v>1.1881647246253332E-2</v>
      </c>
      <c r="D67">
        <f ca="1"/>
        <v>1</v>
      </c>
      <c r="E67" s="12">
        <f ca="1"/>
        <v>99.781871192329277</v>
      </c>
      <c r="F67" s="11">
        <f ca="1"/>
        <v>-99.781871192329277</v>
      </c>
      <c r="G67" s="8">
        <f ca="1"/>
        <v>1</v>
      </c>
      <c r="H67" s="11">
        <f ca="1"/>
        <v>-95.242315587752614</v>
      </c>
      <c r="I67" s="8">
        <f ca="1"/>
        <v>1</v>
      </c>
      <c r="J67" s="8">
        <f ca="1"/>
        <v>4.5395556045766625</v>
      </c>
      <c r="K67">
        <f ca="1"/>
        <v>0</v>
      </c>
      <c r="L67">
        <f ca="1"/>
        <v>0.21812880767072329</v>
      </c>
    </row>
    <row r="68" spans="2:12" x14ac:dyDescent="0.55000000000000004">
      <c r="B68">
        <v>0.23200000000000001</v>
      </c>
      <c r="C68">
        <f ca="1"/>
        <v>-5.271700813535192E-2</v>
      </c>
      <c r="D68">
        <f ca="1"/>
        <v>1</v>
      </c>
      <c r="E68" s="12">
        <f ca="1"/>
        <v>98.493128503717003</v>
      </c>
      <c r="F68" s="11">
        <f ca="1"/>
        <v>0</v>
      </c>
      <c r="G68" s="8">
        <f ca="1"/>
        <v>0</v>
      </c>
      <c r="H68" s="11">
        <f ca="1"/>
        <v>-95.242315587752614</v>
      </c>
      <c r="I68" s="8">
        <f ca="1"/>
        <v>1</v>
      </c>
      <c r="J68" s="8">
        <f ca="1"/>
        <v>3.2508129159643886</v>
      </c>
      <c r="K68">
        <f ca="1"/>
        <v>0</v>
      </c>
      <c r="L68">
        <f ca="1"/>
        <v>1.5068714962829972</v>
      </c>
    </row>
    <row r="69" spans="2:12" x14ac:dyDescent="0.55000000000000004">
      <c r="B69">
        <v>0.23600000000000002</v>
      </c>
      <c r="C69">
        <f ca="1"/>
        <v>-9.2505313785698262E-2</v>
      </c>
      <c r="D69">
        <f ca="1"/>
        <v>1</v>
      </c>
      <c r="E69" s="12">
        <f ca="1"/>
        <v>97.704647131119998</v>
      </c>
      <c r="F69" s="11">
        <f ca="1"/>
        <v>0</v>
      </c>
      <c r="G69" s="8">
        <f ca="1"/>
        <v>0</v>
      </c>
      <c r="H69" s="11">
        <f ca="1"/>
        <v>-95.242315587752614</v>
      </c>
      <c r="I69" s="8">
        <f ca="1"/>
        <v>1</v>
      </c>
      <c r="J69" s="8">
        <f ca="1"/>
        <v>2.4623315433673838</v>
      </c>
      <c r="K69">
        <f ca="1"/>
        <v>0</v>
      </c>
      <c r="L69">
        <f ca="1"/>
        <v>2.295352868880002</v>
      </c>
    </row>
    <row r="70" spans="2:12" x14ac:dyDescent="0.55000000000000004">
      <c r="B70">
        <v>0.24</v>
      </c>
      <c r="C70">
        <f ca="1"/>
        <v>-9.130821155286814E-2</v>
      </c>
      <c r="D70">
        <f ca="1"/>
        <v>1</v>
      </c>
      <c r="E70" s="12">
        <f ca="1"/>
        <v>97.720224491239065</v>
      </c>
      <c r="F70" s="11">
        <f ca="1"/>
        <v>0</v>
      </c>
      <c r="G70" s="8">
        <f ca="1"/>
        <v>0</v>
      </c>
      <c r="H70" s="11">
        <f ca="1"/>
        <v>-95.242315587752614</v>
      </c>
      <c r="I70" s="8">
        <f ca="1"/>
        <v>1</v>
      </c>
      <c r="J70" s="8">
        <f ca="1"/>
        <v>2.4779089034864512</v>
      </c>
      <c r="K70">
        <f ca="1"/>
        <v>0</v>
      </c>
      <c r="L70">
        <f ca="1"/>
        <v>2.2797755087609346</v>
      </c>
    </row>
    <row r="71" spans="2:12" x14ac:dyDescent="0.55000000000000004">
      <c r="B71">
        <v>0.24399999999999999</v>
      </c>
      <c r="C71">
        <f ca="1"/>
        <v>-8.6092587061043668E-2</v>
      </c>
      <c r="D71">
        <f ca="1"/>
        <v>1</v>
      </c>
      <c r="E71" s="12">
        <f ca="1"/>
        <v>97.814386610182197</v>
      </c>
      <c r="F71" s="11">
        <f ca="1"/>
        <v>0</v>
      </c>
      <c r="G71" s="8">
        <f ca="1"/>
        <v>0</v>
      </c>
      <c r="H71" s="11">
        <f ca="1"/>
        <v>-95.242315587752614</v>
      </c>
      <c r="I71" s="8">
        <f ca="1"/>
        <v>1</v>
      </c>
      <c r="J71" s="8">
        <f ca="1"/>
        <v>2.5720710224295829</v>
      </c>
      <c r="K71">
        <f ca="1"/>
        <v>0</v>
      </c>
      <c r="L71">
        <f ca="1"/>
        <v>2.185613389817803</v>
      </c>
    </row>
    <row r="72" spans="2:12" x14ac:dyDescent="0.55000000000000004">
      <c r="B72">
        <v>0.248</v>
      </c>
      <c r="C72">
        <f ca="1"/>
        <v>-0.12658255211244224</v>
      </c>
      <c r="D72">
        <f ca="1"/>
        <v>1</v>
      </c>
      <c r="E72" s="12">
        <f ca="1"/>
        <v>97.017723233977435</v>
      </c>
      <c r="F72" s="11">
        <f ca="1"/>
        <v>95.242315587752614</v>
      </c>
      <c r="G72" s="8">
        <f ca="1"/>
        <v>-1</v>
      </c>
      <c r="H72" s="11">
        <f ca="1"/>
        <v>0</v>
      </c>
      <c r="I72" s="8">
        <f ca="1"/>
        <v>1</v>
      </c>
      <c r="J72" s="8">
        <f ca="1"/>
        <v>97.017723233977435</v>
      </c>
      <c r="K72">
        <f ca="1"/>
        <v>1.7754076462248207</v>
      </c>
      <c r="L72">
        <f ca="1"/>
        <v>2.9822767660225651</v>
      </c>
    </row>
    <row r="73" spans="2:12" x14ac:dyDescent="0.55000000000000004">
      <c r="E73" s="12"/>
      <c r="F73" s="11"/>
      <c r="G73" s="8"/>
      <c r="H73" s="11"/>
      <c r="I73" s="8"/>
      <c r="J73" s="8"/>
    </row>
    <row r="74" spans="2:12" x14ac:dyDescent="0.55000000000000004">
      <c r="E74" s="12"/>
      <c r="F74" s="11"/>
      <c r="G74" s="8"/>
      <c r="H74" s="11"/>
      <c r="I74" s="8"/>
      <c r="J74" s="8"/>
    </row>
    <row r="75" spans="2:12" x14ac:dyDescent="0.55000000000000004">
      <c r="E75" s="12"/>
      <c r="F75" s="11"/>
      <c r="G75" s="8"/>
      <c r="H75" s="11"/>
      <c r="I75" s="8"/>
      <c r="J75" s="8"/>
    </row>
    <row r="76" spans="2:12" x14ac:dyDescent="0.55000000000000004">
      <c r="E76" s="12"/>
      <c r="F76" s="11"/>
      <c r="G76" s="8"/>
      <c r="H76" s="11"/>
      <c r="I76" s="8"/>
      <c r="J76" s="8"/>
    </row>
    <row r="77" spans="2:12" x14ac:dyDescent="0.55000000000000004">
      <c r="E77" s="12"/>
      <c r="F77" s="11"/>
      <c r="G77" s="8"/>
      <c r="H77" s="11"/>
      <c r="I77" s="8"/>
      <c r="J77" s="8"/>
    </row>
    <row r="78" spans="2:12" x14ac:dyDescent="0.55000000000000004">
      <c r="E78" s="12"/>
      <c r="F78" s="11"/>
      <c r="G78" s="8"/>
      <c r="H78" s="11"/>
      <c r="I78" s="8"/>
      <c r="J78" s="8"/>
    </row>
    <row r="79" spans="2:12" x14ac:dyDescent="0.55000000000000004">
      <c r="E79" s="12"/>
      <c r="F79" s="11"/>
      <c r="G79" s="8"/>
      <c r="H79" s="11"/>
      <c r="I79" s="8"/>
      <c r="J79" s="8"/>
    </row>
    <row r="80" spans="2:12" x14ac:dyDescent="0.55000000000000004">
      <c r="E80" s="12"/>
      <c r="F80" s="11"/>
      <c r="G80" s="8"/>
      <c r="H80" s="11"/>
      <c r="I80" s="8"/>
      <c r="J80" s="8"/>
    </row>
    <row r="81" spans="5:10" x14ac:dyDescent="0.55000000000000004">
      <c r="E81" s="12"/>
      <c r="F81" s="11"/>
      <c r="G81" s="8"/>
      <c r="H81" s="11"/>
      <c r="I81" s="8"/>
      <c r="J81" s="8"/>
    </row>
    <row r="82" spans="5:10" x14ac:dyDescent="0.55000000000000004">
      <c r="E82" s="12"/>
      <c r="F82" s="11"/>
      <c r="G82" s="8"/>
      <c r="H82" s="11"/>
      <c r="I82" s="8"/>
      <c r="J82" s="8"/>
    </row>
    <row r="83" spans="5:10" x14ac:dyDescent="0.55000000000000004">
      <c r="E83" s="12"/>
      <c r="F83" s="11"/>
      <c r="G83" s="8"/>
      <c r="H83" s="11"/>
      <c r="I83" s="8"/>
      <c r="J83" s="8"/>
    </row>
    <row r="84" spans="5:10" x14ac:dyDescent="0.55000000000000004">
      <c r="E84" s="12"/>
      <c r="F84" s="11"/>
      <c r="G84" s="8"/>
      <c r="H84" s="11"/>
      <c r="I84" s="8"/>
      <c r="J84" s="8"/>
    </row>
    <row r="85" spans="5:10" x14ac:dyDescent="0.55000000000000004">
      <c r="E85" s="12"/>
      <c r="F85" s="11"/>
      <c r="G85" s="8"/>
      <c r="H85" s="11"/>
      <c r="I85" s="8"/>
      <c r="J85" s="8"/>
    </row>
    <row r="86" spans="5:10" x14ac:dyDescent="0.55000000000000004">
      <c r="E86" s="12"/>
      <c r="F86" s="11"/>
      <c r="G86" s="8"/>
      <c r="H86" s="11"/>
      <c r="I86" s="8"/>
      <c r="J86" s="8"/>
    </row>
    <row r="87" spans="5:10" x14ac:dyDescent="0.55000000000000004">
      <c r="E87" s="12"/>
      <c r="F87" s="11"/>
      <c r="G87" s="8"/>
      <c r="H87" s="11"/>
      <c r="I87" s="8"/>
      <c r="J87" s="8"/>
    </row>
    <row r="88" spans="5:10" x14ac:dyDescent="0.55000000000000004">
      <c r="E88" s="12"/>
      <c r="F88" s="11"/>
      <c r="G88" s="8"/>
      <c r="H88" s="11"/>
      <c r="I88" s="8"/>
      <c r="J88" s="8"/>
    </row>
    <row r="89" spans="5:10" x14ac:dyDescent="0.55000000000000004">
      <c r="E89" s="12"/>
      <c r="F89" s="11"/>
      <c r="G89" s="8"/>
      <c r="H89" s="11"/>
      <c r="I89" s="8"/>
      <c r="J89" s="8"/>
    </row>
    <row r="90" spans="5:10" x14ac:dyDescent="0.55000000000000004">
      <c r="E90" s="12"/>
      <c r="F90" s="11"/>
      <c r="G90" s="8"/>
      <c r="H90" s="11"/>
      <c r="I90" s="8"/>
      <c r="J90" s="8"/>
    </row>
    <row r="91" spans="5:10" x14ac:dyDescent="0.55000000000000004">
      <c r="E91" s="12"/>
      <c r="F91" s="11"/>
      <c r="G91" s="8"/>
      <c r="H91" s="11"/>
      <c r="I91" s="8"/>
      <c r="J91" s="8"/>
    </row>
    <row r="92" spans="5:10" x14ac:dyDescent="0.55000000000000004">
      <c r="E92" s="12"/>
      <c r="F92" s="11"/>
      <c r="G92" s="8"/>
      <c r="H92" s="11"/>
      <c r="I92" s="8"/>
      <c r="J92" s="8"/>
    </row>
    <row r="93" spans="5:10" x14ac:dyDescent="0.55000000000000004">
      <c r="E93" s="12"/>
      <c r="F93" s="11"/>
      <c r="G93" s="8"/>
      <c r="H93" s="11"/>
      <c r="I93" s="8"/>
      <c r="J93" s="8"/>
    </row>
    <row r="94" spans="5:10" x14ac:dyDescent="0.55000000000000004">
      <c r="E94" s="12"/>
      <c r="F94" s="11"/>
      <c r="G94" s="8"/>
      <c r="H94" s="11"/>
      <c r="I94" s="8"/>
      <c r="J94" s="8"/>
    </row>
    <row r="95" spans="5:10" x14ac:dyDescent="0.55000000000000004">
      <c r="E95" s="12"/>
      <c r="F95" s="11"/>
      <c r="G95" s="8"/>
      <c r="H95" s="11"/>
      <c r="I95" s="8"/>
      <c r="J95" s="8"/>
    </row>
    <row r="96" spans="5:10" x14ac:dyDescent="0.55000000000000004">
      <c r="E96" s="12"/>
      <c r="F96" s="11"/>
      <c r="G96" s="8"/>
      <c r="H96" s="11"/>
      <c r="I96" s="8"/>
      <c r="J96" s="8"/>
    </row>
    <row r="97" spans="5:10" x14ac:dyDescent="0.55000000000000004">
      <c r="E97" s="12"/>
      <c r="F97" s="11"/>
      <c r="G97" s="8"/>
      <c r="H97" s="11"/>
      <c r="I97" s="8"/>
      <c r="J97" s="8"/>
    </row>
    <row r="98" spans="5:10" x14ac:dyDescent="0.55000000000000004">
      <c r="E98" s="12"/>
      <c r="F98" s="11"/>
      <c r="G98" s="8"/>
      <c r="H98" s="11"/>
      <c r="I98" s="8"/>
      <c r="J98" s="8"/>
    </row>
    <row r="99" spans="5:10" x14ac:dyDescent="0.55000000000000004">
      <c r="E99" s="12"/>
      <c r="F99" s="11"/>
      <c r="G99" s="8"/>
      <c r="H99" s="11"/>
      <c r="I99" s="8"/>
    </row>
    <row r="100" spans="5:10" x14ac:dyDescent="0.55000000000000004">
      <c r="E100" s="12"/>
      <c r="F100" s="11"/>
      <c r="G100" s="8"/>
      <c r="H100" s="11"/>
      <c r="I100" s="8"/>
    </row>
    <row r="101" spans="5:10" x14ac:dyDescent="0.55000000000000004">
      <c r="E101" s="12"/>
      <c r="F101" s="11"/>
      <c r="G101" s="8"/>
      <c r="H101" s="11"/>
      <c r="I101" s="8"/>
    </row>
    <row r="102" spans="5:10" x14ac:dyDescent="0.55000000000000004">
      <c r="E102" s="12"/>
      <c r="F102" s="11"/>
      <c r="G102" s="8"/>
      <c r="H102" s="11"/>
      <c r="I102" s="8"/>
    </row>
    <row r="103" spans="5:10" x14ac:dyDescent="0.55000000000000004">
      <c r="E103" s="12"/>
      <c r="F103" s="11"/>
      <c r="G103" s="8"/>
      <c r="H103" s="11"/>
      <c r="I103" s="8"/>
    </row>
    <row r="104" spans="5:10" x14ac:dyDescent="0.55000000000000004">
      <c r="E104" s="12"/>
      <c r="F104" s="11"/>
      <c r="G104" s="8"/>
      <c r="H104" s="11"/>
      <c r="I104" s="8"/>
    </row>
    <row r="105" spans="5:10" x14ac:dyDescent="0.55000000000000004">
      <c r="E105" s="12"/>
      <c r="F105" s="11"/>
      <c r="G105" s="8"/>
      <c r="H105" s="11"/>
      <c r="I105" s="8"/>
    </row>
    <row r="106" spans="5:10" x14ac:dyDescent="0.55000000000000004">
      <c r="E106" s="12"/>
      <c r="F106" s="11"/>
      <c r="G106" s="8"/>
      <c r="H106" s="11"/>
      <c r="I106" s="8"/>
    </row>
    <row r="107" spans="5:10" x14ac:dyDescent="0.55000000000000004">
      <c r="E107" s="12"/>
      <c r="F107" s="11"/>
      <c r="G107" s="8"/>
      <c r="H107" s="11"/>
      <c r="I107" s="8"/>
    </row>
    <row r="108" spans="5:10" x14ac:dyDescent="0.55000000000000004">
      <c r="E108" s="12"/>
      <c r="F108" s="11"/>
      <c r="G108" s="8"/>
      <c r="H108" s="11"/>
      <c r="I108" s="8"/>
    </row>
    <row r="109" spans="5:10" x14ac:dyDescent="0.55000000000000004">
      <c r="E109" s="12"/>
      <c r="F109" s="11"/>
      <c r="G109" s="8"/>
      <c r="H109" s="11"/>
      <c r="I109" s="8"/>
    </row>
    <row r="110" spans="5:10" x14ac:dyDescent="0.55000000000000004">
      <c r="E110" s="12"/>
      <c r="F110" s="11"/>
      <c r="G110" s="8"/>
      <c r="H110" s="11"/>
      <c r="I110" s="8"/>
    </row>
    <row r="111" spans="5:10" x14ac:dyDescent="0.55000000000000004">
      <c r="F111" s="11"/>
      <c r="G111" s="8"/>
      <c r="H111" s="11"/>
      <c r="I111" s="8"/>
    </row>
    <row r="112" spans="5:10" x14ac:dyDescent="0.55000000000000004">
      <c r="F112" s="11"/>
      <c r="G112" s="8"/>
      <c r="H112" s="11"/>
      <c r="I112" s="8"/>
    </row>
    <row r="113" spans="6:9" x14ac:dyDescent="0.55000000000000004">
      <c r="F113" s="11"/>
      <c r="G113" s="8"/>
      <c r="H113" s="11"/>
      <c r="I113" s="8"/>
    </row>
    <row r="114" spans="6:9" x14ac:dyDescent="0.55000000000000004">
      <c r="F114" s="11"/>
      <c r="G114" s="8"/>
      <c r="H114" s="11"/>
      <c r="I114" s="8"/>
    </row>
    <row r="115" spans="6:9" x14ac:dyDescent="0.55000000000000004">
      <c r="F115" s="11"/>
      <c r="G115" s="8"/>
      <c r="H115" s="11"/>
      <c r="I115" s="8"/>
    </row>
    <row r="116" spans="6:9" x14ac:dyDescent="0.55000000000000004">
      <c r="F116" s="11"/>
      <c r="G116" s="8"/>
      <c r="H116" s="11"/>
      <c r="I116" s="8"/>
    </row>
    <row r="117" spans="6:9" x14ac:dyDescent="0.55000000000000004">
      <c r="F117" s="11"/>
      <c r="G117" s="8"/>
      <c r="H117" s="11"/>
      <c r="I117" s="8"/>
    </row>
    <row r="118" spans="6:9" x14ac:dyDescent="0.55000000000000004">
      <c r="F118" s="11"/>
      <c r="G118" s="8"/>
      <c r="H118" s="11"/>
      <c r="I118" s="8"/>
    </row>
    <row r="119" spans="6:9" x14ac:dyDescent="0.55000000000000004">
      <c r="F119" s="11"/>
      <c r="G119" s="8"/>
      <c r="H119" s="11"/>
      <c r="I119" s="8"/>
    </row>
    <row r="120" spans="6:9" x14ac:dyDescent="0.55000000000000004">
      <c r="F120" s="11"/>
      <c r="G120" s="8"/>
      <c r="H120" s="11"/>
      <c r="I120" s="8"/>
    </row>
    <row r="121" spans="6:9" x14ac:dyDescent="0.55000000000000004">
      <c r="F121" s="11"/>
      <c r="G121" s="8"/>
      <c r="H121" s="11"/>
      <c r="I121" s="8"/>
    </row>
    <row r="122" spans="6:9" x14ac:dyDescent="0.55000000000000004">
      <c r="F122" s="11"/>
      <c r="G122" s="8"/>
      <c r="H122" s="11"/>
      <c r="I122" s="8"/>
    </row>
    <row r="123" spans="6:9" x14ac:dyDescent="0.55000000000000004">
      <c r="F123" s="11"/>
      <c r="G123" s="8"/>
      <c r="H123" s="11"/>
      <c r="I123" s="8"/>
    </row>
    <row r="124" spans="6:9" x14ac:dyDescent="0.55000000000000004">
      <c r="F124" s="11"/>
      <c r="G124" s="8"/>
      <c r="H124" s="11"/>
      <c r="I124" s="8"/>
    </row>
    <row r="125" spans="6:9" x14ac:dyDescent="0.55000000000000004">
      <c r="F125" s="11"/>
      <c r="G125" s="8"/>
      <c r="H125" s="11"/>
      <c r="I125" s="8"/>
    </row>
    <row r="126" spans="6:9" x14ac:dyDescent="0.55000000000000004">
      <c r="F126" s="11"/>
      <c r="G126" s="8"/>
      <c r="H126" s="11"/>
      <c r="I126" s="8"/>
    </row>
    <row r="127" spans="6:9" x14ac:dyDescent="0.55000000000000004">
      <c r="F127" s="11"/>
      <c r="G127" s="8"/>
      <c r="H127" s="11"/>
      <c r="I127" s="8"/>
    </row>
    <row r="128" spans="6:9" x14ac:dyDescent="0.55000000000000004">
      <c r="F128" s="11"/>
      <c r="G128" s="8"/>
      <c r="H128" s="11"/>
      <c r="I128" s="8"/>
    </row>
    <row r="129" spans="6:9" x14ac:dyDescent="0.55000000000000004">
      <c r="F129" s="11"/>
      <c r="G129" s="8"/>
      <c r="H129" s="11"/>
      <c r="I129" s="8"/>
    </row>
    <row r="130" spans="6:9" x14ac:dyDescent="0.55000000000000004">
      <c r="F130" s="11"/>
      <c r="G130" s="8"/>
      <c r="H130" s="11"/>
      <c r="I130" s="8"/>
    </row>
    <row r="131" spans="6:9" x14ac:dyDescent="0.55000000000000004">
      <c r="F131" s="11"/>
      <c r="G131" s="8"/>
      <c r="H131" s="11"/>
      <c r="I131" s="8"/>
    </row>
    <row r="132" spans="6:9" x14ac:dyDescent="0.55000000000000004">
      <c r="F132" s="11"/>
      <c r="G132" s="8"/>
      <c r="H132" s="11"/>
      <c r="I132" s="8"/>
    </row>
    <row r="133" spans="6:9" x14ac:dyDescent="0.55000000000000004">
      <c r="F133" s="11"/>
      <c r="G133" s="8"/>
      <c r="H133" s="11"/>
      <c r="I133" s="8"/>
    </row>
    <row r="134" spans="6:9" x14ac:dyDescent="0.55000000000000004">
      <c r="F134" s="11"/>
      <c r="G134" s="8"/>
      <c r="H134" s="11"/>
      <c r="I134" s="8"/>
    </row>
    <row r="135" spans="6:9" x14ac:dyDescent="0.55000000000000004">
      <c r="F135" s="11"/>
      <c r="G135" s="8"/>
      <c r="H135" s="11"/>
      <c r="I135" s="8"/>
    </row>
    <row r="136" spans="6:9" x14ac:dyDescent="0.55000000000000004">
      <c r="F136" s="11"/>
      <c r="G136" s="8"/>
      <c r="H136" s="11"/>
      <c r="I136" s="8"/>
    </row>
    <row r="137" spans="6:9" x14ac:dyDescent="0.55000000000000004">
      <c r="F137" s="11"/>
      <c r="G137" s="8"/>
      <c r="H137" s="11"/>
      <c r="I137" s="8"/>
    </row>
    <row r="138" spans="6:9" x14ac:dyDescent="0.55000000000000004">
      <c r="F138" s="11"/>
      <c r="G138" s="8"/>
      <c r="H138" s="11"/>
      <c r="I138" s="8"/>
    </row>
    <row r="139" spans="6:9" x14ac:dyDescent="0.55000000000000004">
      <c r="F139" s="11"/>
      <c r="G139" s="8"/>
      <c r="H139" s="11"/>
      <c r="I139" s="8"/>
    </row>
    <row r="140" spans="6:9" x14ac:dyDescent="0.55000000000000004">
      <c r="F140" s="11"/>
      <c r="G140" s="8"/>
      <c r="H140" s="11"/>
      <c r="I140" s="8"/>
    </row>
    <row r="141" spans="6:9" x14ac:dyDescent="0.55000000000000004">
      <c r="F141" s="11"/>
      <c r="G141" s="8"/>
      <c r="H141" s="11"/>
      <c r="I141" s="8"/>
    </row>
    <row r="142" spans="6:9" x14ac:dyDescent="0.55000000000000004">
      <c r="F142" s="11"/>
      <c r="G142" s="8"/>
      <c r="H142" s="11"/>
      <c r="I142" s="8"/>
    </row>
    <row r="143" spans="6:9" x14ac:dyDescent="0.55000000000000004">
      <c r="F143" s="11"/>
      <c r="G143" s="8"/>
      <c r="I143" s="8"/>
    </row>
    <row r="144" spans="6:9" x14ac:dyDescent="0.55000000000000004">
      <c r="F144" s="11"/>
      <c r="G144" s="8"/>
      <c r="I144" s="8"/>
    </row>
    <row r="145" spans="6:9" x14ac:dyDescent="0.55000000000000004">
      <c r="F145" s="11"/>
      <c r="G145" s="8"/>
      <c r="I145" s="8"/>
    </row>
    <row r="146" spans="6:9" x14ac:dyDescent="0.55000000000000004">
      <c r="F146" s="11"/>
      <c r="G146" s="8"/>
      <c r="I146" s="8"/>
    </row>
    <row r="147" spans="6:9" x14ac:dyDescent="0.55000000000000004">
      <c r="F147" s="11"/>
      <c r="G147" s="8"/>
      <c r="I147" s="8"/>
    </row>
    <row r="148" spans="6:9" x14ac:dyDescent="0.55000000000000004">
      <c r="F148" s="11"/>
      <c r="G148" s="8"/>
      <c r="I148" s="8"/>
    </row>
    <row r="149" spans="6:9" x14ac:dyDescent="0.55000000000000004">
      <c r="F149" s="11"/>
      <c r="G149" s="8"/>
      <c r="I149" s="8"/>
    </row>
    <row r="150" spans="6:9" x14ac:dyDescent="0.55000000000000004">
      <c r="F150" s="11"/>
      <c r="G150" s="8"/>
      <c r="I150" s="8"/>
    </row>
    <row r="151" spans="6:9" x14ac:dyDescent="0.55000000000000004">
      <c r="F151" s="11"/>
      <c r="G151" s="8"/>
      <c r="I151" s="8"/>
    </row>
    <row r="152" spans="6:9" x14ac:dyDescent="0.55000000000000004">
      <c r="F152" s="11"/>
      <c r="G152" s="8"/>
      <c r="I152" s="8"/>
    </row>
    <row r="153" spans="6:9" x14ac:dyDescent="0.55000000000000004">
      <c r="F153" s="11"/>
      <c r="G153" s="8"/>
      <c r="I153" s="8"/>
    </row>
    <row r="154" spans="6:9" x14ac:dyDescent="0.55000000000000004">
      <c r="F154" s="11"/>
      <c r="G154" s="8"/>
      <c r="I154" s="8"/>
    </row>
    <row r="155" spans="6:9" x14ac:dyDescent="0.55000000000000004">
      <c r="F155" s="11"/>
      <c r="G155" s="8"/>
      <c r="I155" s="8"/>
    </row>
    <row r="156" spans="6:9" x14ac:dyDescent="0.55000000000000004">
      <c r="F156" s="11"/>
      <c r="G156" s="8"/>
      <c r="I156" s="8"/>
    </row>
    <row r="157" spans="6:9" x14ac:dyDescent="0.55000000000000004">
      <c r="F157" s="11"/>
      <c r="G157" s="8"/>
      <c r="I157" s="8"/>
    </row>
    <row r="158" spans="6:9" x14ac:dyDescent="0.55000000000000004">
      <c r="F158" s="11"/>
      <c r="G158" s="8"/>
      <c r="I158" s="8"/>
    </row>
    <row r="159" spans="6:9" x14ac:dyDescent="0.55000000000000004">
      <c r="F159" s="11"/>
      <c r="G159" s="8"/>
      <c r="I159" s="8"/>
    </row>
    <row r="160" spans="6:9" x14ac:dyDescent="0.55000000000000004">
      <c r="F160" s="11"/>
      <c r="G160" s="8"/>
      <c r="I160" s="8"/>
    </row>
    <row r="161" spans="6:9" x14ac:dyDescent="0.55000000000000004">
      <c r="F161" s="11"/>
      <c r="G161" s="8"/>
      <c r="I161" s="8"/>
    </row>
    <row r="162" spans="6:9" x14ac:dyDescent="0.55000000000000004">
      <c r="F162" s="11"/>
      <c r="G162" s="8"/>
      <c r="I162" s="8"/>
    </row>
    <row r="163" spans="6:9" x14ac:dyDescent="0.55000000000000004">
      <c r="F163" s="11"/>
      <c r="G163" s="8"/>
      <c r="I163" s="8"/>
    </row>
    <row r="164" spans="6:9" x14ac:dyDescent="0.55000000000000004">
      <c r="F164" s="11"/>
      <c r="G164" s="8"/>
      <c r="I164" s="8"/>
    </row>
    <row r="165" spans="6:9" x14ac:dyDescent="0.55000000000000004">
      <c r="F165" s="11"/>
      <c r="G165" s="8"/>
    </row>
    <row r="166" spans="6:9" x14ac:dyDescent="0.55000000000000004">
      <c r="F166" s="11"/>
      <c r="G166" s="8"/>
    </row>
    <row r="167" spans="6:9" x14ac:dyDescent="0.55000000000000004">
      <c r="F167" s="11"/>
      <c r="G167" s="8"/>
    </row>
    <row r="168" spans="6:9" x14ac:dyDescent="0.55000000000000004">
      <c r="F168" s="11"/>
      <c r="G168" s="8"/>
    </row>
    <row r="169" spans="6:9" x14ac:dyDescent="0.55000000000000004">
      <c r="F169" s="11"/>
      <c r="G169" s="8"/>
    </row>
    <row r="170" spans="6:9" x14ac:dyDescent="0.55000000000000004">
      <c r="F170" s="11"/>
      <c r="G170" s="8"/>
    </row>
    <row r="171" spans="6:9" x14ac:dyDescent="0.55000000000000004">
      <c r="F171" s="11"/>
      <c r="G171" s="8"/>
    </row>
    <row r="172" spans="6:9" x14ac:dyDescent="0.55000000000000004">
      <c r="F172" s="11"/>
      <c r="G172" s="8"/>
    </row>
    <row r="173" spans="6:9" x14ac:dyDescent="0.55000000000000004">
      <c r="F173" s="11"/>
      <c r="G173" s="8"/>
    </row>
    <row r="174" spans="6:9" x14ac:dyDescent="0.55000000000000004">
      <c r="F174" s="11"/>
      <c r="G174" s="8"/>
    </row>
    <row r="175" spans="6:9" x14ac:dyDescent="0.55000000000000004">
      <c r="F175" s="11"/>
      <c r="G175" s="8"/>
    </row>
    <row r="176" spans="6:9" x14ac:dyDescent="0.55000000000000004">
      <c r="F176" s="11"/>
      <c r="G176" s="8"/>
    </row>
    <row r="177" spans="6:7" x14ac:dyDescent="0.55000000000000004">
      <c r="F177" s="11"/>
      <c r="G177" s="8"/>
    </row>
    <row r="178" spans="6:7" x14ac:dyDescent="0.55000000000000004">
      <c r="F178" s="11"/>
      <c r="G178" s="8"/>
    </row>
    <row r="179" spans="6:7" x14ac:dyDescent="0.55000000000000004">
      <c r="F179" s="11"/>
      <c r="G179" s="8"/>
    </row>
    <row r="180" spans="6:7" x14ac:dyDescent="0.55000000000000004">
      <c r="F180" s="11"/>
      <c r="G180" s="8"/>
    </row>
    <row r="181" spans="6:7" x14ac:dyDescent="0.55000000000000004">
      <c r="F181" s="11"/>
      <c r="G181" s="8"/>
    </row>
    <row r="182" spans="6:7" x14ac:dyDescent="0.55000000000000004">
      <c r="F182" s="11"/>
      <c r="G182" s="8"/>
    </row>
    <row r="183" spans="6:7" x14ac:dyDescent="0.55000000000000004">
      <c r="F183" s="11"/>
      <c r="G183" s="8"/>
    </row>
    <row r="184" spans="6:7" x14ac:dyDescent="0.55000000000000004">
      <c r="F184" s="11"/>
      <c r="G184" s="8"/>
    </row>
    <row r="185" spans="6:7" x14ac:dyDescent="0.55000000000000004">
      <c r="F185" s="11"/>
      <c r="G185" s="8"/>
    </row>
    <row r="186" spans="6:7" x14ac:dyDescent="0.55000000000000004">
      <c r="F186" s="11"/>
      <c r="G186" s="8"/>
    </row>
    <row r="187" spans="6:7" x14ac:dyDescent="0.55000000000000004">
      <c r="G187" s="8"/>
    </row>
    <row r="188" spans="6:7" x14ac:dyDescent="0.55000000000000004">
      <c r="G188" s="8"/>
    </row>
    <row r="189" spans="6:7" x14ac:dyDescent="0.55000000000000004">
      <c r="G189" s="8"/>
    </row>
    <row r="190" spans="6:7" x14ac:dyDescent="0.55000000000000004">
      <c r="G190" s="8"/>
    </row>
    <row r="191" spans="6:7" x14ac:dyDescent="0.55000000000000004">
      <c r="G191" s="8"/>
    </row>
    <row r="192" spans="6:7" x14ac:dyDescent="0.55000000000000004">
      <c r="G192" s="8"/>
    </row>
    <row r="193" spans="7:7" x14ac:dyDescent="0.55000000000000004">
      <c r="G193" s="8"/>
    </row>
    <row r="194" spans="7:7" x14ac:dyDescent="0.55000000000000004">
      <c r="G194" s="8"/>
    </row>
    <row r="195" spans="7:7" x14ac:dyDescent="0.55000000000000004">
      <c r="G195" s="8"/>
    </row>
    <row r="196" spans="7:7" x14ac:dyDescent="0.55000000000000004">
      <c r="G196" s="8"/>
    </row>
    <row r="197" spans="7:7" x14ac:dyDescent="0.55000000000000004">
      <c r="G197" s="8"/>
    </row>
    <row r="198" spans="7:7" x14ac:dyDescent="0.55000000000000004">
      <c r="G198" s="8"/>
    </row>
    <row r="199" spans="7:7" x14ac:dyDescent="0.55000000000000004">
      <c r="G199" s="8"/>
    </row>
    <row r="200" spans="7:7" x14ac:dyDescent="0.55000000000000004">
      <c r="G200" s="8"/>
    </row>
    <row r="201" spans="7:7" x14ac:dyDescent="0.55000000000000004">
      <c r="G201" s="8"/>
    </row>
    <row r="202" spans="7:7" x14ac:dyDescent="0.55000000000000004">
      <c r="G202" s="8"/>
    </row>
    <row r="203" spans="7:7" x14ac:dyDescent="0.55000000000000004">
      <c r="G203" s="8"/>
    </row>
    <row r="204" spans="7:7" x14ac:dyDescent="0.55000000000000004">
      <c r="G204" s="8"/>
    </row>
    <row r="205" spans="7:7" x14ac:dyDescent="0.55000000000000004">
      <c r="G205" s="8"/>
    </row>
    <row r="206" spans="7:7" x14ac:dyDescent="0.55000000000000004">
      <c r="G206" s="8"/>
    </row>
    <row r="207" spans="7:7" x14ac:dyDescent="0.55000000000000004">
      <c r="G207" s="8"/>
    </row>
    <row r="208" spans="7:7" x14ac:dyDescent="0.55000000000000004">
      <c r="G208" s="8"/>
    </row>
  </sheetData>
  <mergeCells count="3">
    <mergeCell ref="D8:E8"/>
    <mergeCell ref="F8:G8"/>
    <mergeCell ref="H8:I8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22</vt:i4>
      </vt:variant>
    </vt:vector>
  </HeadingPairs>
  <TitlesOfParts>
    <vt:vector size="25" baseType="lpstr">
      <vt:lpstr>Elementary</vt:lpstr>
      <vt:lpstr>Simulation</vt:lpstr>
      <vt:lpstr>Simulation (2)</vt:lpstr>
      <vt:lpstr>'Simulation (2)'!dt</vt:lpstr>
      <vt:lpstr>dt</vt:lpstr>
      <vt:lpstr>'Simulation (2)'!error</vt:lpstr>
      <vt:lpstr>error</vt:lpstr>
      <vt:lpstr>'Simulation (2)'!f</vt:lpstr>
      <vt:lpstr>f</vt:lpstr>
      <vt:lpstr>'Simulation (2)'!hedge</vt:lpstr>
      <vt:lpstr>hedge</vt:lpstr>
      <vt:lpstr>'Simulation (2)'!k</vt:lpstr>
      <vt:lpstr>k</vt:lpstr>
      <vt:lpstr>'Simulation (2)'!last</vt:lpstr>
      <vt:lpstr>last</vt:lpstr>
      <vt:lpstr>'Simulation (2)'!mu</vt:lpstr>
      <vt:lpstr>mu</vt:lpstr>
      <vt:lpstr>'Simulation (2)'!payoff</vt:lpstr>
      <vt:lpstr>payoff</vt:lpstr>
      <vt:lpstr>'Simulation (2)'!put</vt:lpstr>
      <vt:lpstr>put</vt:lpstr>
      <vt:lpstr>'Simulation (2)'!sigma</vt:lpstr>
      <vt:lpstr>sigma</vt:lpstr>
      <vt:lpstr>'Simulation (2)'!t</vt:lpstr>
      <vt:lpstr>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Keith Lewis</cp:lastModifiedBy>
  <dcterms:created xsi:type="dcterms:W3CDTF">2026-02-23T20:58:14Z</dcterms:created>
  <dcterms:modified xsi:type="dcterms:W3CDTF">2026-03-06T22:21:02Z</dcterms:modified>
</cp:coreProperties>
</file>