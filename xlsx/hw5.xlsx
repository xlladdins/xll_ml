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W\source\repos\xll_ml\xlsx\"/>
    </mc:Choice>
  </mc:AlternateContent>
  <xr:revisionPtr revIDLastSave="0" documentId="13_ncr:1_{890D632B-58FF-4C4F-87BB-70EEA70CD463}" xr6:coauthVersionLast="47" xr6:coauthVersionMax="47" xr10:uidLastSave="{00000000-0000-0000-0000-000000000000}"/>
  <bookViews>
    <workbookView xWindow="-98" yWindow="-98" windowWidth="22695" windowHeight="14476" xr2:uid="{5E38A752-04D7-4C78-952F-E31FCF3159F7}"/>
  </bookViews>
  <sheets>
    <sheet name="Elementary" sheetId="1" r:id="rId1"/>
    <sheet name="Simulation" sheetId="4" r:id="rId2"/>
    <sheet name="log-log" sheetId="5" r:id="rId3"/>
    <sheet name="Simulation (2)" sheetId="6" r:id="rId4"/>
    <sheet name="log-log (2)" sheetId="7" r:id="rId5"/>
  </sheets>
  <definedNames>
    <definedName name="_M" localSheetId="3">_xlfn.ANCHORARRAY('Simulation (2)'!$H$10)</definedName>
    <definedName name="_M">_xlfn.ANCHORARRAY(Simulation!$H$10)</definedName>
    <definedName name="_N" localSheetId="3">_xlfn.ANCHORARRAY('Simulation (2)'!$I$10)</definedName>
    <definedName name="_N">_xlfn.ANCHORARRAY(Simulation!$I$10)</definedName>
    <definedName name="A" localSheetId="3">_xlfn.ANCHORARRAY('Simulation (2)'!$K$10)</definedName>
    <definedName name="A">_xlfn.ANCHORARRAY(Simulation!$K$10)</definedName>
    <definedName name="ad">_xlfn.LAMBDA(_xlpm.x, _xlfn.VSTACK(_xlfn.TAKE(_xlpm.x,1), _xlfn.DROP(_xlpm.x,1) - _xlfn.DROP(_xlpm.x,-1)))</definedName>
    <definedName name="B_" localSheetId="3">_xlfn.ANCHORARRAY('Simulation (2)'!$C$10)</definedName>
    <definedName name="B_">_xlfn.ANCHORARRAY(Simulation!$C$10)</definedName>
    <definedName name="co">_xlfn.LAMBDA(_xlpm.x,_xlfn.LET(_xlpm.x_,_xlfn.DROP(_xlpm.x,-1),_xlfn.VSTACK(_xlpm.x_, -SUM(_xlpm.x_))))</definedName>
    <definedName name="dt" localSheetId="3">'Simulation (2)'!$C$6</definedName>
    <definedName name="dt">Simulation!$C$6</definedName>
    <definedName name="error" localSheetId="3">'Simulation (2)'!$G$6</definedName>
    <definedName name="error">Simulation!$G$6</definedName>
    <definedName name="f" localSheetId="3">'Simulation (2)'!$C$3</definedName>
    <definedName name="f">Simulation!$C$3</definedName>
    <definedName name="hedge" localSheetId="3">'Simulation (2)'!$G$5</definedName>
    <definedName name="hedge">Simulation!$G$5</definedName>
    <definedName name="k" localSheetId="3">'Simulation (2)'!$C$7</definedName>
    <definedName name="k">Simulation!$C$7</definedName>
    <definedName name="last" localSheetId="3">'Simulation (2)'!$G$3</definedName>
    <definedName name="last">Simulation!$G$3</definedName>
    <definedName name="M" localSheetId="3">_xlfn.ANCHORARRAY('Simulation (2)'!$F$10)</definedName>
    <definedName name="M">_xlfn.ANCHORARRAY(Simulation!$F$10)</definedName>
    <definedName name="mu" localSheetId="3">'Simulation (2)'!$C$2</definedName>
    <definedName name="mu">Simulation!$C$2</definedName>
    <definedName name="N" localSheetId="3">_xlfn.ANCHORARRAY('Simulation (2)'!$G$10)</definedName>
    <definedName name="N">_xlfn.ANCHORARRAY(Simulation!$G$10)</definedName>
    <definedName name="payoff" localSheetId="3">'Simulation (2)'!$G$4</definedName>
    <definedName name="payoff">Simulation!$G$4</definedName>
    <definedName name="put" localSheetId="3">'Simulation (2)'!$G$2</definedName>
    <definedName name="put">Simulation!$G$2</definedName>
    <definedName name="R_" localSheetId="3">_xlfn.ANCHORARRAY('Simulation (2)'!$D$10)</definedName>
    <definedName name="R_">_xlfn.ANCHORARRAY(Simulation!$D$10)</definedName>
    <definedName name="S_" localSheetId="3">_xlfn.ANCHORARRAY('Simulation (2)'!$E$10)</definedName>
    <definedName name="S_">_xlfn.ANCHORARRAY(Simulation!$E$10)</definedName>
    <definedName name="sigma" localSheetId="3">'Simulation (2)'!$C$4</definedName>
    <definedName name="sigma">Simulation!$C$4</definedName>
    <definedName name="t" localSheetId="3">'Simulation (2)'!$C$5</definedName>
    <definedName name="t">Simulation!$C$5</definedName>
    <definedName name="t_" localSheetId="3">_xlfn.ANCHORARRAY('Simulation (2)'!$B$10)</definedName>
    <definedName name="t_">_xlfn.ANCHORARRAY(Simulation!$B$10)</definedName>
    <definedName name="V" localSheetId="3">_xlfn.ANCHORARRAY('Simulation (2)'!$J$10)</definedName>
    <definedName name="V">_xlfn.ANCHORARRAY(Simulation!$J$10)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6" l="1"/>
  <c r="E13" i="7"/>
  <c r="E12" i="7"/>
  <c r="E11" i="7"/>
  <c r="E10" i="7"/>
  <c r="E9" i="7"/>
  <c r="E8" i="7"/>
  <c r="E7" i="7"/>
  <c r="E6" i="7"/>
  <c r="E5" i="7"/>
  <c r="E4" i="7"/>
  <c r="C4" i="7" a="1"/>
  <c r="B13" i="7" s="1"/>
  <c r="C6" i="4"/>
  <c r="B8" i="7" l="1"/>
  <c r="B5" i="7"/>
  <c r="B9" i="7"/>
  <c r="B6" i="7"/>
  <c r="B10" i="7"/>
  <c r="B7" i="7"/>
  <c r="B11" i="7"/>
  <c r="C4" i="7"/>
  <c r="B4" i="7" s="1"/>
  <c r="B12" i="7"/>
  <c r="O3" i="6" l="1" a="1"/>
  <c r="E5" i="5"/>
  <c r="E6" i="5"/>
  <c r="E7" i="5"/>
  <c r="E8" i="5"/>
  <c r="E9" i="5"/>
  <c r="E10" i="5"/>
  <c r="E11" i="5"/>
  <c r="E12" i="5"/>
  <c r="E13" i="5"/>
  <c r="E4" i="5"/>
  <c r="B5" i="5"/>
  <c r="B6" i="5"/>
  <c r="B7" i="5"/>
  <c r="B8" i="5"/>
  <c r="B9" i="5"/>
  <c r="B10" i="5"/>
  <c r="B11" i="5"/>
  <c r="B12" i="5"/>
  <c r="B13" i="5"/>
  <c r="B4" i="5"/>
  <c r="C4" i="5" a="1"/>
  <c r="C4" i="5" s="1"/>
  <c r="O3" i="4" a="1"/>
  <c r="O3" i="4" s="1"/>
  <c r="H4" i="1"/>
  <c r="F5" i="1"/>
  <c r="D5" i="1"/>
  <c r="D4" i="1"/>
  <c r="I2" i="6" a="1"/>
  <c r="B1" i="6" a="1"/>
  <c r="K2" i="4" a="1"/>
  <c r="J2" i="4" a="1"/>
  <c r="I2" i="4" a="1"/>
  <c r="G2" i="6" a="1"/>
  <c r="K2" i="6" a="1"/>
  <c r="J2" i="6" a="1"/>
  <c r="G2" i="4" a="1"/>
  <c r="B10" i="4" a="1"/>
  <c r="B10" i="6" a="1"/>
  <c r="B1" i="4" a="1"/>
  <c r="N21" i="6" l="1"/>
  <c r="P20" i="6"/>
  <c r="B10" i="6"/>
  <c r="J2" i="6"/>
  <c r="K2" i="6"/>
  <c r="G2" i="6"/>
  <c r="B1" i="6"/>
  <c r="I2" i="6"/>
  <c r="P3" i="6" a="1"/>
  <c r="P3" i="6" s="1"/>
  <c r="O3" i="6"/>
  <c r="P3" i="4" a="1"/>
  <c r="P3" i="4" s="1"/>
  <c r="B1" i="4"/>
  <c r="N21" i="4"/>
  <c r="P20" i="4"/>
  <c r="K2" i="4"/>
  <c r="J2" i="4"/>
  <c r="I2" i="4"/>
  <c r="G2" i="4"/>
  <c r="B10" i="4"/>
  <c r="K5" i="1"/>
  <c r="E4" i="1"/>
  <c r="C10" i="6" a="1"/>
  <c r="C10" i="4" a="1"/>
  <c r="M20" i="6" a="1"/>
  <c r="M21" i="6" l="1"/>
  <c r="M20" i="6"/>
  <c r="C10" i="6"/>
  <c r="E10" i="6" s="1" a="1"/>
  <c r="M14" i="6"/>
  <c r="L2" i="6"/>
  <c r="M2" i="6" s="1"/>
  <c r="C10" i="4"/>
  <c r="M14" i="4"/>
  <c r="L2" i="4"/>
  <c r="M2" i="4" s="1"/>
  <c r="G4" i="1"/>
  <c r="E5" i="1"/>
  <c r="J5" i="1" s="1"/>
  <c r="L5" i="1" s="1"/>
  <c r="J4" i="1"/>
  <c r="M16" i="6" a="1"/>
  <c r="O20" i="6" a="1"/>
  <c r="M20" i="4" a="1"/>
  <c r="D10" i="6" l="1" a="1"/>
  <c r="D10" i="6" s="1"/>
  <c r="O21" i="6"/>
  <c r="O20" i="6"/>
  <c r="M16" i="6"/>
  <c r="G3" i="6" a="1"/>
  <c r="G3" i="6" s="1"/>
  <c r="G4" i="6" s="1"/>
  <c r="E10" i="6"/>
  <c r="I10" i="6" s="1" a="1"/>
  <c r="I10" i="6" s="1"/>
  <c r="N14" i="6"/>
  <c r="M21" i="4"/>
  <c r="M20" i="4"/>
  <c r="E10" i="4" a="1"/>
  <c r="D10" i="4" a="1"/>
  <c r="D10" i="4" s="1"/>
  <c r="G5" i="1" a="1"/>
  <c r="G5" i="1" s="1"/>
  <c r="I5" i="1" s="1"/>
  <c r="I4" i="1"/>
  <c r="H4" i="6" a="1"/>
  <c r="O20" i="4" a="1"/>
  <c r="M16" i="4" a="1"/>
  <c r="L10" i="6" l="1" a="1"/>
  <c r="L10" i="6" s="1"/>
  <c r="N16" i="6"/>
  <c r="G10" i="6" a="1"/>
  <c r="H4" i="6"/>
  <c r="I4" i="6"/>
  <c r="M16" i="4"/>
  <c r="N14" i="4"/>
  <c r="O20" i="4"/>
  <c r="O21" i="4"/>
  <c r="E10" i="4"/>
  <c r="I10" i="4" a="1"/>
  <c r="G10" i="6" l="1"/>
  <c r="M10" i="6" s="1"/>
  <c r="M11" i="6"/>
  <c r="N16" i="4"/>
  <c r="I10" i="4"/>
  <c r="L10" i="4" a="1"/>
  <c r="L10" i="4" s="1"/>
  <c r="G3" i="4" a="1"/>
  <c r="G3" i="4" s="1"/>
  <c r="G4" i="4" s="1"/>
  <c r="H4" i="4" a="1"/>
  <c r="F10" i="6" l="1" a="1"/>
  <c r="N11" i="6" s="1"/>
  <c r="G10" i="4" a="1"/>
  <c r="G10" i="4" s="1"/>
  <c r="F10" i="4" s="1" a="1"/>
  <c r="H4" i="4"/>
  <c r="I4" i="4"/>
  <c r="F10" i="6" l="1"/>
  <c r="N10" i="6" s="1"/>
  <c r="M10" i="4"/>
  <c r="M11" i="4"/>
  <c r="N11" i="4" s="1"/>
  <c r="F10" i="4"/>
  <c r="K10" i="4" s="1" a="1"/>
  <c r="K10" i="4" s="1"/>
  <c r="G5" i="4" s="1" a="1"/>
  <c r="G5" i="4" s="1"/>
  <c r="G6" i="4" s="1"/>
  <c r="H6" i="4" a="1"/>
  <c r="H10" i="6" l="1" a="1"/>
  <c r="H10" i="6" s="1"/>
  <c r="J10" i="6" s="1" a="1"/>
  <c r="J10" i="6" s="1"/>
  <c r="K10" i="6" a="1"/>
  <c r="G5" i="6" s="1" a="1"/>
  <c r="G5" i="6" s="1"/>
  <c r="G6" i="6" s="1"/>
  <c r="H6" i="4"/>
  <c r="I6" i="4"/>
  <c r="J6" i="4" s="1"/>
  <c r="N10" i="4"/>
  <c r="H10" i="4" a="1"/>
  <c r="H10" i="4" s="1"/>
  <c r="J10" i="4" s="1" a="1"/>
  <c r="J10" i="4" s="1"/>
  <c r="H6" i="6" a="1"/>
  <c r="K10" i="6" l="1"/>
  <c r="I6" i="6"/>
  <c r="J6" i="6" s="1"/>
  <c r="H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H4" authorId="0" shapeId="0" xr:uid="{11EC72C2-EA02-4BCF-BE17-CDD3CFEC86F9}">
      <text>
        <r>
          <rPr>
            <b/>
            <sz val="11"/>
            <color indexed="81"/>
            <rFont val="Tahoma"/>
            <family val="2"/>
          </rPr>
          <t>E[max(k - F, 0)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H4" authorId="0" shapeId="0" xr:uid="{180DBB65-701C-4850-B310-7734ACC4D4A5}">
      <text>
        <r>
          <rPr>
            <b/>
            <sz val="11"/>
            <color indexed="81"/>
            <rFont val="Tahoma"/>
            <family val="2"/>
          </rPr>
          <t>E[max(k - F, 0)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<sst xmlns="http://schemas.openxmlformats.org/spreadsheetml/2006/main" count="82" uniqueCount="39">
  <si>
    <t>X</t>
  </si>
  <si>
    <t>t</t>
  </si>
  <si>
    <t>R</t>
  </si>
  <si>
    <t>S</t>
  </si>
  <si>
    <t>M</t>
  </si>
  <si>
    <t>N</t>
  </si>
  <si>
    <t>\M</t>
  </si>
  <si>
    <t>\N</t>
  </si>
  <si>
    <t>V</t>
  </si>
  <si>
    <t>A</t>
  </si>
  <si>
    <t>Γ</t>
  </si>
  <si>
    <t>(Δ+Γ).X</t>
  </si>
  <si>
    <t>-Γ.X</t>
  </si>
  <si>
    <t>Δ+Γ</t>
  </si>
  <si>
    <t>sigma</t>
  </si>
  <si>
    <t>mu</t>
  </si>
  <si>
    <t>f</t>
  </si>
  <si>
    <t>k</t>
  </si>
  <si>
    <t>R_</t>
  </si>
  <si>
    <t>S_</t>
  </si>
  <si>
    <t>put</t>
  </si>
  <si>
    <t>dt</t>
  </si>
  <si>
    <t>t_</t>
  </si>
  <si>
    <t>B_</t>
  </si>
  <si>
    <t>payoff</t>
  </si>
  <si>
    <t>hedge</t>
  </si>
  <si>
    <t>_M</t>
  </si>
  <si>
    <t>_N</t>
  </si>
  <si>
    <t>last</t>
  </si>
  <si>
    <t>error</t>
  </si>
  <si>
    <t>accuracy</t>
  </si>
  <si>
    <t>intrinsic</t>
  </si>
  <si>
    <t>dt</t>
    <phoneticPr fontId="13" type="noConversion"/>
  </si>
  <si>
    <t>log(dt)</t>
    <phoneticPr fontId="13" type="noConversion"/>
  </si>
  <si>
    <t>accuracy</t>
    <phoneticPr fontId="13" type="noConversion"/>
  </si>
  <si>
    <t>log(accuracy)</t>
    <phoneticPr fontId="13" type="noConversion"/>
  </si>
  <si>
    <t>My guess for the relationship between dt and accuracy:</t>
    <phoneticPr fontId="13" type="noConversion"/>
  </si>
  <si>
    <t>Based on the log-log plot, I guess there is a power-law relationship between dt and accuracy, which can be expressed as:</t>
    <phoneticPr fontId="13" type="noConversion"/>
  </si>
  <si>
    <t>Based on the log-log plot, there seems to have no clear rule between log(accuracy) and log(dt). The deduction of the relationship is unclear to me.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</si>
</sst>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76" formatCode="&quot;0x&quot;#"/>
    <numFmt numFmtId="177" formatCode="0.0000"/>
    <numFmt numFmtId="178" formatCode="0.000"/>
    <numFmt numFmtId="179" formatCode="0.0%"/>
    <numFmt numFmtId="180" formatCode="_(* #,##0_);_(* \(#,##0\);_(* &quot;-&quot;??_);_(@_)"/>
  </numFmts>
  <fonts count="14" x14ac:knownFonts="1">
    <font>
      <sz val="14"/>
      <color theme="1"/>
      <name val="等线"/>
      <family val="2"/>
      <scheme val="minor"/>
    </font>
    <font>
      <sz val="14"/>
      <color theme="1"/>
      <name val="Aptos Narrow"/>
      <family val="2"/>
    </font>
    <font>
      <b/>
      <sz val="14"/>
      <color theme="0"/>
      <name val="等线"/>
      <family val="2"/>
      <scheme val="minor"/>
    </font>
    <font>
      <sz val="8"/>
      <color indexed="63"/>
      <name val="等线"/>
      <family val="2"/>
      <scheme val="minor"/>
    </font>
    <font>
      <b/>
      <sz val="11"/>
      <color indexed="81"/>
      <name val="Tahoma"/>
      <family val="2"/>
    </font>
    <font>
      <sz val="14"/>
      <color theme="0" tint="-0.34998626667073579"/>
      <name val="等线"/>
      <family val="2"/>
      <scheme val="minor"/>
    </font>
    <font>
      <sz val="14"/>
      <color theme="1"/>
      <name val="等线"/>
      <family val="2"/>
      <scheme val="minor"/>
    </font>
    <font>
      <b/>
      <sz val="14"/>
      <color rgb="FF3F3F3F"/>
      <name val="等线"/>
      <family val="2"/>
      <scheme val="minor"/>
    </font>
    <font>
      <sz val="14"/>
      <color rgb="FF3F3F76"/>
      <name val="等线"/>
      <family val="2"/>
      <scheme val="minor"/>
    </font>
    <font>
      <b/>
      <sz val="14"/>
      <color rgb="FFFA7D00"/>
      <name val="等线"/>
      <family val="2"/>
      <scheme val="minor"/>
    </font>
    <font>
      <b/>
      <sz val="14"/>
      <color theme="1"/>
      <name val="等线"/>
      <family val="2"/>
      <scheme val="minor"/>
    </font>
    <font>
      <sz val="12"/>
      <color theme="1"/>
      <name val="等线"/>
      <family val="2"/>
      <scheme val="minor"/>
    </font>
    <font>
      <sz val="14"/>
      <color theme="0" tint="-0.499984740745262"/>
      <name val="等线"/>
      <family val="2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F2F2F2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2" fillId="2" borderId="2" applyNumberFormat="0" applyAlignment="0" applyProtection="0"/>
    <xf numFmtId="176" fontId="3" fillId="0" borderId="0">
      <alignment horizontal="center" vertical="center"/>
    </xf>
    <xf numFmtId="9" fontId="6" fillId="0" borderId="0" applyFont="0" applyFill="0" applyBorder="0" applyAlignment="0" applyProtection="0"/>
    <xf numFmtId="0" fontId="7" fillId="3" borderId="3" applyNumberFormat="0" applyAlignment="0" applyProtection="0"/>
    <xf numFmtId="43" fontId="6" fillId="0" borderId="0" applyFont="0" applyFill="0" applyBorder="0" applyAlignment="0" applyProtection="0"/>
    <xf numFmtId="0" fontId="8" fillId="4" borderId="4" applyNumberFormat="0" applyAlignment="0" applyProtection="0"/>
    <xf numFmtId="0" fontId="9" fillId="3" borderId="4" applyNumberFormat="0" applyAlignment="0" applyProtection="0"/>
  </cellStyleXfs>
  <cellXfs count="2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2" fillId="2" borderId="2" xfId="1"/>
    <xf numFmtId="0" fontId="5" fillId="0" borderId="0" xfId="0" applyFont="1"/>
    <xf numFmtId="177" fontId="0" fillId="0" borderId="0" xfId="0" applyNumberFormat="1"/>
    <xf numFmtId="177" fontId="5" fillId="0" borderId="0" xfId="0" applyNumberFormat="1" applyFont="1"/>
    <xf numFmtId="0" fontId="5" fillId="0" borderId="0" xfId="0" applyFont="1" applyAlignment="1">
      <alignment horizontal="right"/>
    </xf>
    <xf numFmtId="178" fontId="0" fillId="0" borderId="0" xfId="0" applyNumberFormat="1"/>
    <xf numFmtId="2" fontId="0" fillId="0" borderId="0" xfId="0" applyNumberFormat="1"/>
    <xf numFmtId="177" fontId="7" fillId="3" borderId="3" xfId="4" applyNumberFormat="1"/>
    <xf numFmtId="0" fontId="0" fillId="0" borderId="0" xfId="0" applyAlignment="1">
      <alignment horizontal="center"/>
    </xf>
    <xf numFmtId="0" fontId="10" fillId="0" borderId="0" xfId="0" applyFont="1"/>
    <xf numFmtId="179" fontId="0" fillId="0" borderId="0" xfId="3" applyNumberFormat="1" applyFont="1" applyAlignment="1">
      <alignment horizontal="center"/>
    </xf>
    <xf numFmtId="180" fontId="11" fillId="0" borderId="0" xfId="5" applyNumberFormat="1" applyFont="1"/>
    <xf numFmtId="0" fontId="8" fillId="4" borderId="4" xfId="6"/>
    <xf numFmtId="0" fontId="9" fillId="3" borderId="4" xfId="7"/>
    <xf numFmtId="0" fontId="12" fillId="0" borderId="0" xfId="0" applyFont="1"/>
    <xf numFmtId="10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8">
    <cellStyle name="Calculation" xfId="7" builtinId="22"/>
    <cellStyle name="Check Cell" xfId="1" builtinId="23"/>
    <cellStyle name="Comma" xfId="5" builtinId="3"/>
    <cellStyle name="Handle" xfId="2" xr:uid="{FF7A162F-DF08-42FE-AEB2-120BB5405C33}"/>
    <cellStyle name="Input" xfId="6" builtinId="20"/>
    <cellStyle name="Normal" xfId="0" builtinId="0"/>
    <cellStyle name="Output" xfId="4" builtinId="21"/>
    <cellStyle name="Percent" xfId="3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log-log</a:t>
            </a:r>
            <a:r>
              <a:rPr lang="en-US" altLang="zh-CN" baseline="0"/>
              <a:t> plot</a:t>
            </a:r>
            <a:endParaRPr lang="en-US" altLang="zh-CN"/>
          </a:p>
        </c:rich>
      </c:tx>
      <c:layout>
        <c:manualLayout>
          <c:xMode val="edge"/>
          <c:yMode val="edge"/>
          <c:x val="0.3862152230971128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'log-log'!$E$3</c:f>
              <c:strCache>
                <c:ptCount val="1"/>
                <c:pt idx="0">
                  <c:v>log(accuracy)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'log-log'!$B$4:$B$13</c:f>
              <c:numCache>
                <c:formatCode>General</c:formatCode>
                <c:ptCount val="10"/>
                <c:pt idx="0">
                  <c:v>-6.9077552789821368</c:v>
                </c:pt>
                <c:pt idx="1">
                  <c:v>-6.2146080984221914</c:v>
                </c:pt>
                <c:pt idx="2">
                  <c:v>-5.8091429903140277</c:v>
                </c:pt>
                <c:pt idx="3">
                  <c:v>-5.521460917862246</c:v>
                </c:pt>
                <c:pt idx="4">
                  <c:v>-5.2983173665480363</c:v>
                </c:pt>
                <c:pt idx="5">
                  <c:v>-5.1159958097540823</c:v>
                </c:pt>
                <c:pt idx="6">
                  <c:v>-4.9618451299268234</c:v>
                </c:pt>
                <c:pt idx="7">
                  <c:v>-4.8283137373023015</c:v>
                </c:pt>
                <c:pt idx="8">
                  <c:v>-4.7105307016459177</c:v>
                </c:pt>
                <c:pt idx="9">
                  <c:v>-4.6051701859880909</c:v>
                </c:pt>
              </c:numCache>
            </c:numRef>
          </c:xVal>
          <c:yVal>
            <c:numRef>
              <c:f>'log-log'!$E$4:$E$13</c:f>
              <c:numCache>
                <c:formatCode>General</c:formatCode>
                <c:ptCount val="10"/>
                <c:pt idx="0">
                  <c:v>-2.9004220937496661</c:v>
                </c:pt>
                <c:pt idx="1">
                  <c:v>-2.5770219386958062</c:v>
                </c:pt>
                <c:pt idx="2">
                  <c:v>-2.364460496712133</c:v>
                </c:pt>
                <c:pt idx="3">
                  <c:v>-2.2537949288246137</c:v>
                </c:pt>
                <c:pt idx="4">
                  <c:v>-2.0714733720306588</c:v>
                </c:pt>
                <c:pt idx="5">
                  <c:v>-2.0174061507603831</c:v>
                </c:pt>
                <c:pt idx="6">
                  <c:v>-1.9519282213808764</c:v>
                </c:pt>
                <c:pt idx="7">
                  <c:v>-1.9310215365615626</c:v>
                </c:pt>
                <c:pt idx="8">
                  <c:v>-1.7602608021686841</c:v>
                </c:pt>
                <c:pt idx="9">
                  <c:v>-1.7544636844843582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E2-4AF7-BC4E-7A3EBF4B52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5374176"/>
        <c:axId val="2025371776"/>
      </c:scatterChart>
      <c:valAx>
        <c:axId val="202537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LOG(accuracy)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25371776"/>
        <c:crosses val="autoZero"/>
        <c:crossBetween val="midCat"/>
      </c:valAx>
      <c:valAx>
        <c:axId val="202537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LOG(dt)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25374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log-log</a:t>
            </a:r>
            <a:r>
              <a:rPr lang="en-US" altLang="zh-CN" baseline="0"/>
              <a:t> plot</a:t>
            </a:r>
            <a:endParaRPr lang="en-US" altLang="zh-CN"/>
          </a:p>
        </c:rich>
      </c:tx>
      <c:layout>
        <c:manualLayout>
          <c:xMode val="edge"/>
          <c:yMode val="edge"/>
          <c:x val="0.3862152230971128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'log-log (2)'!$E$3</c:f>
              <c:strCache>
                <c:ptCount val="1"/>
                <c:pt idx="0">
                  <c:v>log(accuracy)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'log-log (2)'!$B$4:$B$13</c:f>
              <c:numCache>
                <c:formatCode>General</c:formatCode>
                <c:ptCount val="10"/>
                <c:pt idx="0">
                  <c:v>-6.9077552789821368</c:v>
                </c:pt>
                <c:pt idx="1">
                  <c:v>-6.2146080984221914</c:v>
                </c:pt>
                <c:pt idx="2">
                  <c:v>-5.8091429903140277</c:v>
                </c:pt>
                <c:pt idx="3">
                  <c:v>-5.521460917862246</c:v>
                </c:pt>
                <c:pt idx="4">
                  <c:v>-5.2983173665480363</c:v>
                </c:pt>
                <c:pt idx="5">
                  <c:v>-5.1159958097540823</c:v>
                </c:pt>
                <c:pt idx="6">
                  <c:v>-4.9618451299268234</c:v>
                </c:pt>
                <c:pt idx="7">
                  <c:v>-4.8283137373023015</c:v>
                </c:pt>
                <c:pt idx="8">
                  <c:v>-4.7105307016459177</c:v>
                </c:pt>
                <c:pt idx="9">
                  <c:v>-4.6051701859880909</c:v>
                </c:pt>
              </c:numCache>
            </c:numRef>
          </c:xVal>
          <c:yVal>
            <c:numRef>
              <c:f>'log-log (2)'!$E$4:$E$13</c:f>
              <c:numCache>
                <c:formatCode>General</c:formatCode>
                <c:ptCount val="10"/>
                <c:pt idx="0">
                  <c:v>1.0260415958332743</c:v>
                </c:pt>
                <c:pt idx="1">
                  <c:v>1.0570956084651761</c:v>
                </c:pt>
                <c:pt idx="2">
                  <c:v>1.0360274134764884</c:v>
                </c:pt>
                <c:pt idx="3">
                  <c:v>1.1180880651687664</c:v>
                </c:pt>
                <c:pt idx="4">
                  <c:v>1.1098818809263404</c:v>
                </c:pt>
                <c:pt idx="5">
                  <c:v>1.1184149159642893</c:v>
                </c:pt>
                <c:pt idx="6">
                  <c:v>1.0985789547792084</c:v>
                </c:pt>
                <c:pt idx="7">
                  <c:v>1.1518370499054076</c:v>
                </c:pt>
                <c:pt idx="8">
                  <c:v>1.0999447339018884</c:v>
                </c:pt>
                <c:pt idx="9">
                  <c:v>1.104262960176924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44-4637-9847-E7A00A17A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5374176"/>
        <c:axId val="2025371776"/>
      </c:scatterChart>
      <c:valAx>
        <c:axId val="202537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LOG(accuracy)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25371776"/>
        <c:crosses val="autoZero"/>
        <c:crossBetween val="midCat"/>
      </c:valAx>
      <c:valAx>
        <c:axId val="202537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LOG(dt)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25374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404812</xdr:colOff>
      <xdr:row>7</xdr:row>
      <xdr:rowOff>202405</xdr:rowOff>
    </xdr:from>
    <xdr:to>
      <xdr:col>10</xdr:col>
      <xdr:colOff>785812</xdr:colOff>
      <xdr:row>20</xdr:row>
      <xdr:rowOff>35718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E8E013-03AC-920B-3469-BC701BAFEA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47624</xdr:colOff>
      <xdr:row>24</xdr:row>
      <xdr:rowOff>130968</xdr:rowOff>
    </xdr:from>
    <xdr:ext cx="2324101" cy="1806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F660DC7-4F64-56A3-A96D-0817BC4058F2}"/>
                </a:ext>
              </a:extLst>
            </xdr:cNvPr>
            <xdr:cNvSpPr txBox="1"/>
          </xdr:nvSpPr>
          <xdr:spPr>
            <a:xfrm>
              <a:off x="3400424" y="5503068"/>
              <a:ext cx="2324101" cy="1806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zh-CN" altLang="en-US" sz="1100" i="1">
                        <a:latin typeface="Cambria Math" panose="02040503050406030204" pitchFamily="18" charset="0"/>
                      </a:rPr>
                      <m:t>𝐴</m:t>
                    </m:r>
                    <m:r>
                      <a:rPr lang="en-US" altLang="zh-CN" sz="1100" b="0" i="1">
                        <a:latin typeface="Cambria Math" panose="02040503050406030204" pitchFamily="18" charset="0"/>
                      </a:rPr>
                      <m:t>𝑐𝑐</m:t>
                    </m:r>
                    <m:r>
                      <a:rPr lang="zh-CN" altLang="en-US" sz="1100" i="1">
                        <a:latin typeface="Cambria Math" panose="02040503050406030204" pitchFamily="18" charset="0"/>
                      </a:rPr>
                      <m:t>𝑢𝑟𝑎𝑐𝑦</m:t>
                    </m:r>
                    <m:r>
                      <a:rPr lang="en-US" altLang="zh-CN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zh-CN" altLang="en-US" sz="1100" i="1">
                        <a:latin typeface="Cambria Math" panose="02040503050406030204" pitchFamily="18" charset="0"/>
                      </a:rPr>
                      <m:t>𝐶</m:t>
                    </m:r>
                    <m:r>
                      <a:rPr lang="en-US" altLang="zh-CN" sz="1100" b="0" i="0">
                        <a:latin typeface="Cambria Math" panose="02040503050406030204" pitchFamily="18" charset="0"/>
                      </a:rPr>
                      <m:t>∗</m:t>
                    </m:r>
                    <m:r>
                      <a:rPr lang="zh-CN" altLang="en-US" sz="1100" i="0">
                        <a:latin typeface="Cambria Math" panose="02040503050406030204" pitchFamily="18" charset="0"/>
                      </a:rPr>
                      <m:t>ⅆ</m:t>
                    </m:r>
                    <m:sSup>
                      <m:sSupPr>
                        <m:ctrlPr>
                          <a:rPr lang="zh-CN" alt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zh-CN" altLang="en-US" sz="110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zh-CN" altLang="en-US" sz="110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p>
                  </m:oMath>
                </m:oMathPara>
              </a14:m>
              <a:endParaRPr lang="zh-CN" alt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F660DC7-4F64-56A3-A96D-0817BC4058F2}"/>
                </a:ext>
              </a:extLst>
            </xdr:cNvPr>
            <xdr:cNvSpPr txBox="1"/>
          </xdr:nvSpPr>
          <xdr:spPr>
            <a:xfrm>
              <a:off x="3400424" y="5503068"/>
              <a:ext cx="2324101" cy="1806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zh-CN" altLang="en-US" sz="1100" i="0">
                  <a:latin typeface="Cambria Math" panose="02040503050406030204" pitchFamily="18" charset="0"/>
                </a:rPr>
                <a:t>𝐴</a:t>
              </a:r>
              <a:r>
                <a:rPr lang="en-US" altLang="zh-CN" sz="1100" b="0" i="0">
                  <a:latin typeface="Cambria Math" panose="02040503050406030204" pitchFamily="18" charset="0"/>
                </a:rPr>
                <a:t>𝑐𝑐</a:t>
              </a:r>
              <a:r>
                <a:rPr lang="zh-CN" altLang="en-US" sz="1100" i="0">
                  <a:latin typeface="Cambria Math" panose="02040503050406030204" pitchFamily="18" charset="0"/>
                </a:rPr>
                <a:t>𝑢𝑟𝑎𝑐𝑦</a:t>
              </a:r>
              <a:r>
                <a:rPr lang="en-US" altLang="zh-CN" sz="1100" b="0" i="0">
                  <a:latin typeface="Cambria Math" panose="02040503050406030204" pitchFamily="18" charset="0"/>
                </a:rPr>
                <a:t>=</a:t>
              </a:r>
              <a:r>
                <a:rPr lang="zh-CN" altLang="en-US" sz="1100" i="0">
                  <a:latin typeface="Cambria Math" panose="02040503050406030204" pitchFamily="18" charset="0"/>
                </a:rPr>
                <a:t>𝐶</a:t>
              </a:r>
              <a:r>
                <a:rPr lang="en-US" altLang="zh-CN" sz="1100" b="0" i="0">
                  <a:latin typeface="Cambria Math" panose="02040503050406030204" pitchFamily="18" charset="0"/>
                </a:rPr>
                <a:t>∗</a:t>
              </a:r>
              <a:r>
                <a:rPr lang="zh-CN" altLang="en-US" sz="1100" i="0">
                  <a:latin typeface="Cambria Math" panose="02040503050406030204" pitchFamily="18" charset="0"/>
                </a:rPr>
                <a:t>ⅆ𝑡^𝑘</a:t>
              </a:r>
              <a:endParaRPr lang="zh-CN" alt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404812</xdr:colOff>
      <xdr:row>7</xdr:row>
      <xdr:rowOff>202405</xdr:rowOff>
    </xdr:from>
    <xdr:to>
      <xdr:col>10</xdr:col>
      <xdr:colOff>785812</xdr:colOff>
      <xdr:row>20</xdr:row>
      <xdr:rowOff>35718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03CACD-7021-421C-98FF-3F0D12EC3D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3CCDB-807E-4762-83AC-A616811C3245}">
  <dimension ref="B2:L6"/>
  <sheetViews>
    <sheetView tabSelected="1" workbookViewId="0">
      <selection activeCell="H16" sqref="H16"/>
    </sheetView>
  </sheetViews>
  <sheetFormatPr defaultRowHeight="17.649999999999999" x14ac:dyDescent="0.5"/>
  <cols>
    <col min="1" max="1" width="3.59765625" customWidth="1"/>
  </cols>
  <sheetData>
    <row r="2" spans="2:12" ht="18" x14ac:dyDescent="0.55000000000000004">
      <c r="C2" s="22" t="s">
        <v>0</v>
      </c>
      <c r="D2" s="22"/>
      <c r="E2" s="23" t="s">
        <v>10</v>
      </c>
      <c r="F2" s="23"/>
      <c r="G2" s="23" t="s">
        <v>13</v>
      </c>
      <c r="H2" s="23"/>
      <c r="I2" s="1" t="s">
        <v>11</v>
      </c>
      <c r="J2" s="2" t="s">
        <v>12</v>
      </c>
    </row>
    <row r="3" spans="2:12" x14ac:dyDescent="0.5"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</row>
    <row r="4" spans="2:12" ht="18" thickBot="1" x14ac:dyDescent="0.55000000000000004">
      <c r="B4">
        <v>0</v>
      </c>
      <c r="C4">
        <v>1</v>
      </c>
      <c r="D4">
        <f ca="1">RAND()</f>
        <v>0.77579967706976083</v>
      </c>
      <c r="E4">
        <f ca="1">-F4*D4</f>
        <v>-2.3273990312092825</v>
      </c>
      <c r="F4" s="17">
        <v>3</v>
      </c>
      <c r="G4">
        <f ca="1">E4</f>
        <v>-2.3273990312092825</v>
      </c>
      <c r="H4">
        <f>F4</f>
        <v>3</v>
      </c>
      <c r="I4">
        <f ca="1">SUMPRODUCT(G4:H4,C4:D4)</f>
        <v>0</v>
      </c>
      <c r="J4">
        <f ca="1">-SUMPRODUCT(E4:F4,C4:D4)</f>
        <v>0</v>
      </c>
    </row>
    <row r="5" spans="2:12" ht="18.399999999999999" thickTop="1" thickBot="1" x14ac:dyDescent="0.55000000000000004">
      <c r="B5">
        <v>1</v>
      </c>
      <c r="C5">
        <v>1</v>
      </c>
      <c r="D5">
        <f ca="1">RAND()</f>
        <v>0.56171126941459049</v>
      </c>
      <c r="E5">
        <f ca="1">-E4</f>
        <v>2.3273990312092825</v>
      </c>
      <c r="F5" s="18">
        <f>-F4</f>
        <v>-3</v>
      </c>
      <c r="G5" cm="1">
        <f t="array" aca="1" ref="G5:H5" ca="1">G4:H4+E5:F5</f>
        <v>0</v>
      </c>
      <c r="H5">
        <f ca="1"/>
        <v>0</v>
      </c>
      <c r="I5">
        <f ca="1">SUMPRODUCT(G5:H5,C5:D5)</f>
        <v>0</v>
      </c>
      <c r="J5">
        <f ca="1">-SUMPRODUCT(E5:F5,C5:D5)</f>
        <v>-0.64226522296551103</v>
      </c>
      <c r="K5">
        <f ca="1">F4*(D5-D4)</f>
        <v>-0.64226522296551103</v>
      </c>
      <c r="L5" s="5">
        <f ca="1">J5-K5</f>
        <v>0</v>
      </c>
    </row>
    <row r="6" spans="2:12" ht="18" thickTop="1" x14ac:dyDescent="0.5"/>
  </sheetData>
  <mergeCells count="3">
    <mergeCell ref="C2:D2"/>
    <mergeCell ref="E2:F2"/>
    <mergeCell ref="G2:H2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952DD-292F-41DF-A786-89DEB5029ACA}">
  <dimension ref="B1:P260"/>
  <sheetViews>
    <sheetView workbookViewId="0">
      <selection activeCell="H6" sqref="H6"/>
    </sheetView>
  </sheetViews>
  <sheetFormatPr defaultRowHeight="17.649999999999999" x14ac:dyDescent="0.5"/>
  <cols>
    <col min="1" max="1" width="3.59765625" customWidth="1"/>
    <col min="2" max="2" width="9.8984375" bestFit="1" customWidth="1"/>
    <col min="7" max="7" width="11.69921875" bestFit="1" customWidth="1"/>
    <col min="10" max="10" width="10.19921875" bestFit="1" customWidth="1"/>
    <col min="13" max="13" width="11.69921875" bestFit="1" customWidth="1"/>
  </cols>
  <sheetData>
    <row r="1" spans="2:16" x14ac:dyDescent="0.5">
      <c r="B1" s="16" cm="1">
        <f t="array" aca="1" ref="B1" ca="1">_xll.MONTE.COUNT()</f>
        <v>336</v>
      </c>
    </row>
    <row r="2" spans="2:16" x14ac:dyDescent="0.5">
      <c r="B2" s="3" t="s">
        <v>15</v>
      </c>
      <c r="C2">
        <v>0</v>
      </c>
      <c r="F2" s="3" t="s">
        <v>20</v>
      </c>
      <c r="G2" s="7" cm="1">
        <f t="array" ref="G2">_xll.OPTION.BLACK.PUT(f, sigma*SQRT(t), k)</f>
        <v>3.987761167674492</v>
      </c>
      <c r="I2" s="8" cm="1">
        <f t="array" ref="I2">_xll.OPTION.BLACK.PUT_DELTA(f, sigma*SQRT(t), k)</f>
        <v>-0.48006119416162751</v>
      </c>
      <c r="J2" s="8" cm="1">
        <f t="array" ref="J2">_xll.OPTION.BLACK.PUT(f+0.01, sigma*SQRT(t), k)</f>
        <v>3.9829625478526722</v>
      </c>
      <c r="K2" s="8" cm="1">
        <f t="array" ref="K2">_xll.OPTION.BLACK.PUT(f-0.01, sigma*SQRT(t), k)</f>
        <v>3.9925637719351386</v>
      </c>
      <c r="L2" s="8">
        <f>(J2-K2)/0.02</f>
        <v>-0.48006120412331654</v>
      </c>
      <c r="M2" s="9">
        <f>I2-L2</f>
        <v>9.9616890292253402E-9</v>
      </c>
    </row>
    <row r="3" spans="2:16" x14ac:dyDescent="0.5">
      <c r="B3" s="3" t="s">
        <v>16</v>
      </c>
      <c r="C3">
        <v>100</v>
      </c>
      <c r="F3" s="3" t="s">
        <v>28</v>
      </c>
      <c r="G3" s="7" cm="1">
        <f t="array" aca="1" ref="G3" ca="1">_xlfn.TAKE(S_,-1)</f>
        <v>112.85755779235971</v>
      </c>
      <c r="N3" s="6">
        <v>1</v>
      </c>
      <c r="O3" s="6" cm="1">
        <f t="array" ref="O3:O5">ad(N3:N5)</f>
        <v>1</v>
      </c>
      <c r="P3" s="6" cm="1">
        <f t="array" ref="P3:P5">_xlfn.SCAN(0,_xlfn.ANCHORARRAY(O3),_xlfn.LAMBDA(_xlpm.a,_xlpm.b,_xlpm.a+_xlpm.b))</f>
        <v>1</v>
      </c>
    </row>
    <row r="4" spans="2:16" x14ac:dyDescent="0.5">
      <c r="B4" s="3" t="s">
        <v>14</v>
      </c>
      <c r="C4">
        <v>0.2</v>
      </c>
      <c r="F4" s="3" t="s">
        <v>24</v>
      </c>
      <c r="G4" s="10">
        <f ca="1">MAX(k - last,0)</f>
        <v>0</v>
      </c>
      <c r="H4" s="10">
        <f t="array" aca="1" ref="H4:I4" ca="1">_xll.MONTE.STDEV(G4)</f>
        <v>4.3373913090512088</v>
      </c>
      <c r="I4" s="10">
        <f ca="1"/>
        <v>5.7025922526078654</v>
      </c>
      <c r="M4">
        <v>1E-3</v>
      </c>
      <c r="N4" s="6">
        <v>2</v>
      </c>
      <c r="O4" s="6">
        <v>1</v>
      </c>
      <c r="P4" s="6">
        <v>2</v>
      </c>
    </row>
    <row r="5" spans="2:16" x14ac:dyDescent="0.5">
      <c r="B5" s="3" t="s">
        <v>1</v>
      </c>
      <c r="C5">
        <v>0.25</v>
      </c>
      <c r="F5" s="3" t="s">
        <v>25</v>
      </c>
      <c r="G5" s="10" cm="1">
        <f t="array" aca="1" ref="G5" ca="1">_xlfn.TAKE(A,-1)</f>
        <v>0.25496027854324871</v>
      </c>
      <c r="H5" s="10"/>
      <c r="I5" s="10"/>
      <c r="M5">
        <v>0.01</v>
      </c>
      <c r="N5" s="6">
        <v>3</v>
      </c>
      <c r="O5" s="6">
        <v>1</v>
      </c>
      <c r="P5" s="6">
        <v>3</v>
      </c>
    </row>
    <row r="6" spans="2:16" x14ac:dyDescent="0.5">
      <c r="B6" s="3" t="s">
        <v>21</v>
      </c>
      <c r="C6">
        <f>1/1000</f>
        <v>1E-3</v>
      </c>
      <c r="F6" s="3" t="s">
        <v>29</v>
      </c>
      <c r="G6" s="10">
        <f ca="1">payoff-hedge</f>
        <v>-0.25496027854324871</v>
      </c>
      <c r="H6" s="7">
        <f t="array" aca="1" ref="H6:I6" ca="1">_xll.MONTE.STDEV(error)</f>
        <v>2.196645635481964E-3</v>
      </c>
      <c r="I6" s="12">
        <f ca="1"/>
        <v>0.22865760161242396</v>
      </c>
      <c r="J6" s="15">
        <f ca="1">I6/put</f>
        <v>5.7339843585910696E-2</v>
      </c>
      <c r="K6" s="14" t="s">
        <v>30</v>
      </c>
      <c r="M6">
        <v>0.1</v>
      </c>
    </row>
    <row r="7" spans="2:16" x14ac:dyDescent="0.5">
      <c r="B7" s="3" t="s">
        <v>17</v>
      </c>
      <c r="C7">
        <v>100</v>
      </c>
    </row>
    <row r="8" spans="2:16" ht="18" x14ac:dyDescent="0.55000000000000004">
      <c r="D8" s="24" t="s">
        <v>0</v>
      </c>
      <c r="E8" s="24"/>
      <c r="F8" s="25" t="s">
        <v>10</v>
      </c>
      <c r="G8" s="25"/>
      <c r="H8" s="25" t="s">
        <v>13</v>
      </c>
      <c r="I8" s="25"/>
      <c r="J8" s="1" t="s">
        <v>11</v>
      </c>
      <c r="K8" s="2" t="s">
        <v>12</v>
      </c>
    </row>
    <row r="9" spans="2:16" x14ac:dyDescent="0.5">
      <c r="B9" s="4" t="s">
        <v>22</v>
      </c>
      <c r="C9" s="4" t="s">
        <v>23</v>
      </c>
      <c r="D9" s="4" t="s">
        <v>18</v>
      </c>
      <c r="E9" s="4" t="s">
        <v>19</v>
      </c>
      <c r="F9" s="4" t="s">
        <v>4</v>
      </c>
      <c r="G9" s="4" t="s">
        <v>5</v>
      </c>
      <c r="H9" s="4" t="s">
        <v>26</v>
      </c>
      <c r="I9" s="4" t="s">
        <v>27</v>
      </c>
      <c r="J9" s="4" t="s">
        <v>8</v>
      </c>
      <c r="K9" s="4" t="s">
        <v>9</v>
      </c>
      <c r="L9" s="13" t="s">
        <v>31</v>
      </c>
    </row>
    <row r="10" spans="2:16" x14ac:dyDescent="0.5">
      <c r="B10" cm="1">
        <f t="array" ref="B10:B260">_xll.ARRAY.SEQUENCE(0, t, dt)</f>
        <v>0</v>
      </c>
      <c r="C10" cm="1">
        <f t="array" aca="1" ref="C10:C260" ca="1">_xll.RANDOM.BROWNIAN(t_)</f>
        <v>0</v>
      </c>
      <c r="D10" cm="1">
        <f t="array" aca="1" ref="D10:D260" ca="1">1+0*B_</f>
        <v>1</v>
      </c>
      <c r="E10" cm="1">
        <f t="array" aca="1" ref="E10:E260" ca="1">f*EXP(sigma*B_+(mu-sigma*sigma/2)*t_)</f>
        <v>100</v>
      </c>
      <c r="F10" s="10" cm="1">
        <f t="array" aca="1" ref="F10:F260" ca="1">co(put*(t_ = 0) - N*S_/R_)</f>
        <v>51.993880583837246</v>
      </c>
      <c r="G10" s="7" cm="1">
        <f t="array" aca="1" ref="G10:G260" ca="1">co(ad(_N))</f>
        <v>-0.48006119416162751</v>
      </c>
      <c r="H10" s="10" cm="1">
        <f t="array" aca="1" ref="H10:H260" ca="1">_xlfn.SCAN(0,M,_xlfn.LAMBDA(_xlpm.a,_xlpm.b,_xlpm.a+_xlpm.b))</f>
        <v>51.993880583837246</v>
      </c>
      <c r="I10" s="7" cm="1">
        <f t="array" aca="1" ref="I10:I260" ca="1">_xlfn.VSTACK(_xlfn.DROP(_xlfn.MAP(t_,S_,_xlfn.LAMBDA(_xlpm._t,_xlpm._S,_xll.OPTION.BLACK.PUT_DELTA(_xlpm._S,sigma*SQRT(t - _xlpm._t),k))),-1),0)</f>
        <v>-0.48006119416162751</v>
      </c>
      <c r="J10" s="7" cm="1">
        <f t="array" aca="1" ref="J10:J260" ca="1">_M * R_ + _N * S_</f>
        <v>3.987761167674492</v>
      </c>
      <c r="K10" cm="1">
        <f t="array" aca="1" ref="K10:K260" ca="1">-M * R_ - N * S_</f>
        <v>-3.987761167674492</v>
      </c>
      <c r="L10" cm="1">
        <f t="array" aca="1" ref="L10:L260" ca="1">_xlfn.MAP(S_,_xlfn.LAMBDA(_xlpm.s,MAX(k-_xlpm.s,0)))</f>
        <v>0</v>
      </c>
      <c r="M10" s="19">
        <f ca="1">put - G10*E10</f>
        <v>51.993880583837246</v>
      </c>
      <c r="N10" s="19">
        <f ca="1">F10-M10</f>
        <v>0</v>
      </c>
    </row>
    <row r="11" spans="2:16" x14ac:dyDescent="0.5">
      <c r="B11">
        <v>1E-3</v>
      </c>
      <c r="C11">
        <f ca="1"/>
        <v>8.6733193663104443E-3</v>
      </c>
      <c r="D11">
        <f ca="1"/>
        <v>1</v>
      </c>
      <c r="E11" s="11">
        <f ca="1"/>
        <v>100.17161347499275</v>
      </c>
      <c r="F11" s="10">
        <f ca="1"/>
        <v>-0.68142325971223694</v>
      </c>
      <c r="G11" s="7">
        <f ca="1"/>
        <v>6.8025584901090785E-3</v>
      </c>
      <c r="H11" s="10">
        <f ca="1"/>
        <v>51.312457324125006</v>
      </c>
      <c r="I11" s="7">
        <f ca="1"/>
        <v>-0.47325863567151844</v>
      </c>
      <c r="J11" s="7">
        <f ca="1"/>
        <v>3.9053761979352473</v>
      </c>
      <c r="K11">
        <f ca="1"/>
        <v>0</v>
      </c>
      <c r="L11">
        <f ca="1"/>
        <v>0</v>
      </c>
      <c r="M11" s="19">
        <f ca="1" xml:space="preserve"> - G11*E11</f>
        <v>-0.68142325971223694</v>
      </c>
      <c r="N11" s="19">
        <f ca="1">F11-M11</f>
        <v>0</v>
      </c>
    </row>
    <row r="12" spans="2:16" x14ac:dyDescent="0.5">
      <c r="B12">
        <v>2E-3</v>
      </c>
      <c r="C12">
        <f ca="1"/>
        <v>-1.8842719866659231E-2</v>
      </c>
      <c r="D12">
        <f ca="1"/>
        <v>1</v>
      </c>
      <c r="E12" s="11">
        <f ca="1"/>
        <v>99.619869933186678</v>
      </c>
      <c r="F12" s="10">
        <f ca="1"/>
        <v>2.2045216305105928</v>
      </c>
      <c r="G12" s="7">
        <f ca="1"/>
        <v>-2.2129336566983349E-2</v>
      </c>
      <c r="H12" s="10">
        <f ca="1"/>
        <v>53.516978954635597</v>
      </c>
      <c r="I12" s="7">
        <f ca="1"/>
        <v>-0.49538797223850178</v>
      </c>
      <c r="J12" s="7">
        <f ca="1"/>
        <v>4.1664935937709586</v>
      </c>
      <c r="K12">
        <f ca="1"/>
        <v>0</v>
      </c>
      <c r="L12">
        <f ca="1"/>
        <v>0.38013006681332229</v>
      </c>
    </row>
    <row r="13" spans="2:16" x14ac:dyDescent="0.5">
      <c r="B13">
        <v>3.0000000000000001E-3</v>
      </c>
      <c r="C13">
        <f ca="1"/>
        <v>2.2022345583032267E-2</v>
      </c>
      <c r="D13">
        <f ca="1"/>
        <v>1</v>
      </c>
      <c r="E13" s="11">
        <f ca="1"/>
        <v>100.43539200039653</v>
      </c>
      <c r="F13" s="10">
        <f ca="1"/>
        <v>-3.2739715509096889</v>
      </c>
      <c r="G13" s="7">
        <f ca="1"/>
        <v>3.2597787350665819E-2</v>
      </c>
      <c r="H13" s="10">
        <f ca="1"/>
        <v>50.243007403725912</v>
      </c>
      <c r="I13" s="7">
        <f ca="1"/>
        <v>-0.46279018488783596</v>
      </c>
      <c r="J13" s="7">
        <f ca="1"/>
        <v>3.7624937705801216</v>
      </c>
      <c r="K13">
        <f ca="1"/>
        <v>0</v>
      </c>
      <c r="L13">
        <f ca="1"/>
        <v>0</v>
      </c>
    </row>
    <row r="14" spans="2:16" x14ac:dyDescent="0.5">
      <c r="B14">
        <v>4.0000000000000001E-3</v>
      </c>
      <c r="C14">
        <f ca="1"/>
        <v>5.5993305575946818E-2</v>
      </c>
      <c r="D14">
        <f ca="1"/>
        <v>1</v>
      </c>
      <c r="E14" s="11">
        <f ca="1"/>
        <v>101.11807031559508</v>
      </c>
      <c r="F14" s="10">
        <f ca="1"/>
        <v>-2.7315376242279239</v>
      </c>
      <c r="G14" s="7">
        <f ca="1"/>
        <v>2.7013348016854399E-2</v>
      </c>
      <c r="H14" s="10">
        <f ca="1"/>
        <v>47.511469779497986</v>
      </c>
      <c r="I14" s="7">
        <f ca="1"/>
        <v>-0.43577683687098157</v>
      </c>
      <c r="J14" s="7">
        <f ca="1"/>
        <v>3.4465569468704658</v>
      </c>
      <c r="K14">
        <f ca="1"/>
        <v>0</v>
      </c>
      <c r="L14">
        <f ca="1"/>
        <v>0</v>
      </c>
      <c r="M14" s="19">
        <f ca="1">f*EXP(sigma*C14-sigma^2*B14/2)</f>
        <v>101.11807031559508</v>
      </c>
      <c r="N14" s="19">
        <f ca="1">E14-M14</f>
        <v>0</v>
      </c>
    </row>
    <row r="15" spans="2:16" x14ac:dyDescent="0.5">
      <c r="B15">
        <v>5.0000000000000001E-3</v>
      </c>
      <c r="C15">
        <f ca="1"/>
        <v>6.1442549687494727E-2</v>
      </c>
      <c r="D15">
        <f ca="1"/>
        <v>1</v>
      </c>
      <c r="E15" s="11">
        <f ca="1"/>
        <v>101.22630925336249</v>
      </c>
      <c r="F15" s="10">
        <f ca="1"/>
        <v>-0.43545319580536707</v>
      </c>
      <c r="G15" s="7">
        <f ca="1"/>
        <v>4.3017788460059103E-3</v>
      </c>
      <c r="H15" s="10">
        <f ca="1"/>
        <v>47.076016583692621</v>
      </c>
      <c r="I15" s="7">
        <f ca="1"/>
        <v>-0.43147505802497566</v>
      </c>
      <c r="J15" s="7">
        <f ca="1"/>
        <v>3.3993889249439135</v>
      </c>
      <c r="K15">
        <f ca="1"/>
        <v>0</v>
      </c>
      <c r="L15">
        <f ca="1"/>
        <v>0</v>
      </c>
    </row>
    <row r="16" spans="2:16" x14ac:dyDescent="0.5">
      <c r="B16">
        <v>6.0000000000000001E-3</v>
      </c>
      <c r="C16">
        <f ca="1"/>
        <v>1.5741696333313356E-2</v>
      </c>
      <c r="D16">
        <f ca="1"/>
        <v>1</v>
      </c>
      <c r="E16" s="11">
        <f ca="1"/>
        <v>100.30329293182614</v>
      </c>
      <c r="F16" s="10">
        <f ca="1"/>
        <v>3.673483372449585</v>
      </c>
      <c r="G16" s="7">
        <f ca="1"/>
        <v>-3.6623756459784107E-2</v>
      </c>
      <c r="H16" s="10">
        <f ca="1"/>
        <v>50.749499956142202</v>
      </c>
      <c r="I16" s="7">
        <f ca="1"/>
        <v>-0.46809881448475976</v>
      </c>
      <c r="J16" s="7">
        <f ca="1"/>
        <v>3.7976474458368017</v>
      </c>
      <c r="K16">
        <f ca="1"/>
        <v>0</v>
      </c>
      <c r="L16">
        <f ca="1"/>
        <v>0</v>
      </c>
      <c r="M16" s="19" cm="1">
        <f t="array" aca="1" ref="M16" ca="1">_xll.OPTION.BLACK.PUT_DELTA(E16,sigma*SQRT(t - B16),k)</f>
        <v>-0.46809881448475976</v>
      </c>
      <c r="N16" s="19">
        <f ca="1">I16-M16</f>
        <v>0</v>
      </c>
    </row>
    <row r="17" spans="2:16" x14ac:dyDescent="0.5">
      <c r="B17">
        <v>7.0000000000000001E-3</v>
      </c>
      <c r="C17">
        <f ca="1"/>
        <v>-6.2979627580638693E-3</v>
      </c>
      <c r="D17">
        <f ca="1"/>
        <v>1</v>
      </c>
      <c r="E17" s="11">
        <f ca="1"/>
        <v>99.860138642126813</v>
      </c>
      <c r="F17" s="10">
        <f ca="1"/>
        <v>1.7876568033059186</v>
      </c>
      <c r="G17" s="7">
        <f ca="1"/>
        <v>-1.7901605461538794E-2</v>
      </c>
      <c r="H17" s="10">
        <f ca="1"/>
        <v>52.537156759448123</v>
      </c>
      <c r="I17" s="7">
        <f ca="1"/>
        <v>-0.48600041994629856</v>
      </c>
      <c r="J17" s="7">
        <f ca="1"/>
        <v>4.0050874434788994</v>
      </c>
      <c r="K17">
        <f ca="1"/>
        <v>0</v>
      </c>
      <c r="L17">
        <f ca="1"/>
        <v>0.13986135787318688</v>
      </c>
    </row>
    <row r="18" spans="2:16" x14ac:dyDescent="0.5">
      <c r="B18">
        <v>8.0000000000000002E-3</v>
      </c>
      <c r="C18">
        <f ca="1"/>
        <v>9.5675812017097135E-3</v>
      </c>
      <c r="D18">
        <f ca="1"/>
        <v>1</v>
      </c>
      <c r="E18" s="11">
        <f ca="1"/>
        <v>100.17550545489628</v>
      </c>
      <c r="F18" s="10">
        <f ca="1"/>
        <v>-1.2738309595436499</v>
      </c>
      <c r="G18" s="7">
        <f ca="1"/>
        <v>1.2715992335243953E-2</v>
      </c>
      <c r="H18" s="10">
        <f ca="1"/>
        <v>51.263325799904472</v>
      </c>
      <c r="I18" s="7">
        <f ca="1"/>
        <v>-0.4732844276110546</v>
      </c>
      <c r="J18" s="7">
        <f ca="1"/>
        <v>3.8518190400358066</v>
      </c>
      <c r="K18">
        <f ca="1"/>
        <v>0</v>
      </c>
      <c r="L18">
        <f ca="1"/>
        <v>0</v>
      </c>
    </row>
    <row r="19" spans="2:16" x14ac:dyDescent="0.5">
      <c r="B19">
        <v>9.0000000000000011E-3</v>
      </c>
      <c r="C19">
        <f ca="1"/>
        <v>-2.8105193358730286E-2</v>
      </c>
      <c r="D19">
        <f ca="1"/>
        <v>1</v>
      </c>
      <c r="E19" s="11">
        <f ca="1"/>
        <v>99.421575486408045</v>
      </c>
      <c r="F19" s="10">
        <f ca="1"/>
        <v>3.052410701233693</v>
      </c>
      <c r="G19" s="7">
        <f ca="1"/>
        <v>-3.0701693131497287E-2</v>
      </c>
      <c r="H19" s="10">
        <f ca="1"/>
        <v>54.315736501138161</v>
      </c>
      <c r="I19" s="7">
        <f ca="1"/>
        <v>-0.50398612074255189</v>
      </c>
      <c r="J19" s="7">
        <f ca="1"/>
        <v>4.2086423536305801</v>
      </c>
      <c r="K19">
        <f ca="1"/>
        <v>0</v>
      </c>
      <c r="L19">
        <f ca="1"/>
        <v>0.57842451359195479</v>
      </c>
    </row>
    <row r="20" spans="2:16" x14ac:dyDescent="0.5">
      <c r="B20">
        <v>0.01</v>
      </c>
      <c r="C20">
        <f ca="1"/>
        <v>-4.9939148979830414E-2</v>
      </c>
      <c r="D20">
        <f ca="1"/>
        <v>1</v>
      </c>
      <c r="E20" s="11">
        <f ca="1"/>
        <v>98.986389035430037</v>
      </c>
      <c r="F20" s="10">
        <f ca="1"/>
        <v>1.7758542409272688</v>
      </c>
      <c r="G20" s="7">
        <f ca="1"/>
        <v>-1.794038815065413E-2</v>
      </c>
      <c r="H20" s="10">
        <f ca="1"/>
        <v>56.091590742065428</v>
      </c>
      <c r="I20" s="7">
        <f ca="1"/>
        <v>-0.52192650889320602</v>
      </c>
      <c r="J20" s="7">
        <f ca="1"/>
        <v>4.4279702848587021</v>
      </c>
      <c r="K20">
        <f ca="1"/>
        <v>0</v>
      </c>
      <c r="L20">
        <f ca="1"/>
        <v>1.0136109645699634</v>
      </c>
      <c r="M20" s="6">
        <f t="array" aca="1" ref="M20:M21" ca="1">_xll.MONTE.STDEV(C20)</f>
        <v>1.0876470276516797E-3</v>
      </c>
      <c r="N20" s="6">
        <v>0</v>
      </c>
      <c r="O20" s="6">
        <f t="array" aca="1" ref="O20:O21" ca="1">_xll.MONTE.STDEV(E20)</f>
        <v>100.02265424434161</v>
      </c>
      <c r="P20" s="6">
        <f>f*EXP(mu*B20)</f>
        <v>100</v>
      </c>
    </row>
    <row r="21" spans="2:16" x14ac:dyDescent="0.5">
      <c r="B21">
        <v>1.0999999999999999E-2</v>
      </c>
      <c r="C21">
        <f ca="1"/>
        <v>-4.0438908335157668E-2</v>
      </c>
      <c r="D21">
        <f ca="1"/>
        <v>1</v>
      </c>
      <c r="E21" s="11">
        <f ca="1"/>
        <v>99.172663258311403</v>
      </c>
      <c r="F21" s="10">
        <f ca="1"/>
        <v>-0.74732428756823832</v>
      </c>
      <c r="G21" s="7">
        <f ca="1"/>
        <v>7.5355875602706179E-3</v>
      </c>
      <c r="H21" s="10">
        <f ca="1"/>
        <v>55.344266454497188</v>
      </c>
      <c r="I21" s="7">
        <f ca="1"/>
        <v>-0.5143909213329354</v>
      </c>
      <c r="J21" s="7">
        <f ca="1"/>
        <v>4.3307488300134338</v>
      </c>
      <c r="K21">
        <f ca="1"/>
        <v>0</v>
      </c>
      <c r="L21">
        <f ca="1"/>
        <v>0.8273367416885975</v>
      </c>
      <c r="M21" s="6">
        <f ca="1"/>
        <v>0.10247063880006191</v>
      </c>
      <c r="N21" s="6">
        <f>SQRT(B20)</f>
        <v>0.1</v>
      </c>
      <c r="O21" s="6">
        <f ca="1"/>
        <v>2.0478020375284527</v>
      </c>
      <c r="P21" s="6"/>
    </row>
    <row r="22" spans="2:16" x14ac:dyDescent="0.5">
      <c r="B22">
        <v>1.2E-2</v>
      </c>
      <c r="C22">
        <f ca="1"/>
        <v>-5.4233273463411273E-2</v>
      </c>
      <c r="D22">
        <f ca="1"/>
        <v>1</v>
      </c>
      <c r="E22" s="11">
        <f ca="1"/>
        <v>98.89745757742044</v>
      </c>
      <c r="F22" s="10">
        <f ca="1"/>
        <v>1.1332792278021422</v>
      </c>
      <c r="G22" s="7">
        <f ca="1"/>
        <v>-1.14591340926532E-2</v>
      </c>
      <c r="H22" s="10">
        <f ca="1"/>
        <v>56.477545682299329</v>
      </c>
      <c r="I22" s="7">
        <f ca="1"/>
        <v>-0.5258500554255886</v>
      </c>
      <c r="J22" s="7">
        <f ca="1"/>
        <v>4.4723121337629905</v>
      </c>
      <c r="K22">
        <f ca="1"/>
        <v>0</v>
      </c>
      <c r="L22">
        <f ca="1"/>
        <v>1.1025424225795604</v>
      </c>
    </row>
    <row r="23" spans="2:16" x14ac:dyDescent="0.5">
      <c r="B23">
        <v>1.3000000000000001E-2</v>
      </c>
      <c r="C23">
        <f ca="1"/>
        <v>-4.3430145331046353E-2</v>
      </c>
      <c r="D23">
        <f ca="1"/>
        <v>1</v>
      </c>
      <c r="E23" s="11">
        <f ca="1"/>
        <v>99.109386759095813</v>
      </c>
      <c r="F23" s="10">
        <f ca="1"/>
        <v>-0.85449420097361428</v>
      </c>
      <c r="G23" s="7">
        <f ca="1"/>
        <v>8.6217282632433667E-3</v>
      </c>
      <c r="H23" s="10">
        <f ca="1"/>
        <v>55.623051481325717</v>
      </c>
      <c r="I23" s="7">
        <f ca="1"/>
        <v>-0.51722832716234524</v>
      </c>
      <c r="J23" s="7">
        <f ca="1"/>
        <v>4.3608691618327029</v>
      </c>
      <c r="K23">
        <f ca="1"/>
        <v>0</v>
      </c>
      <c r="L23">
        <f ca="1"/>
        <v>0.89061324090418736</v>
      </c>
    </row>
    <row r="24" spans="2:16" x14ac:dyDescent="0.5">
      <c r="B24">
        <v>1.4E-2</v>
      </c>
      <c r="C24">
        <f ca="1"/>
        <v>-1.6642379355755948E-2</v>
      </c>
      <c r="D24">
        <f ca="1"/>
        <v>1</v>
      </c>
      <c r="E24" s="11">
        <f ca="1"/>
        <v>99.63980268539116</v>
      </c>
      <c r="F24" s="10">
        <f ca="1"/>
        <v>-2.1713704609785727</v>
      </c>
      <c r="G24" s="7">
        <f ca="1"/>
        <v>2.1792199527277178E-2</v>
      </c>
      <c r="H24" s="10">
        <f ca="1"/>
        <v>53.451681020347145</v>
      </c>
      <c r="I24" s="7">
        <f ca="1"/>
        <v>-0.49543612763506806</v>
      </c>
      <c r="J24" s="7">
        <f ca="1"/>
        <v>4.0865230195746918</v>
      </c>
      <c r="K24">
        <f ca="1"/>
        <v>0</v>
      </c>
      <c r="L24">
        <f ca="1"/>
        <v>0.36019731460883975</v>
      </c>
    </row>
    <row r="25" spans="2:16" x14ac:dyDescent="0.5">
      <c r="B25">
        <v>1.4999999999999999E-2</v>
      </c>
      <c r="C25">
        <f ca="1"/>
        <v>-4.0956028109033024E-2</v>
      </c>
      <c r="D25">
        <f ca="1"/>
        <v>1</v>
      </c>
      <c r="E25" s="11">
        <f ca="1"/>
        <v>99.154474284408749</v>
      </c>
      <c r="F25" s="10">
        <f ca="1"/>
        <v>1.998940071249409</v>
      </c>
      <c r="G25" s="7">
        <f ca="1"/>
        <v>-2.0159857491813926E-2</v>
      </c>
      <c r="H25" s="10">
        <f ca="1"/>
        <v>55.450621091596553</v>
      </c>
      <c r="I25" s="7">
        <f ca="1"/>
        <v>-0.51559598512688198</v>
      </c>
      <c r="J25" s="7">
        <f ca="1"/>
        <v>4.3269722431887345</v>
      </c>
      <c r="K25">
        <f ca="1"/>
        <v>0</v>
      </c>
      <c r="L25">
        <f ca="1"/>
        <v>0.84552571559125056</v>
      </c>
    </row>
    <row r="26" spans="2:16" x14ac:dyDescent="0.5">
      <c r="B26">
        <v>1.6E-2</v>
      </c>
      <c r="C26">
        <f ca="1"/>
        <v>-3.2762007994709928E-2</v>
      </c>
      <c r="D26">
        <f ca="1"/>
        <v>1</v>
      </c>
      <c r="E26" s="11">
        <f ca="1"/>
        <v>99.315115934859904</v>
      </c>
      <c r="F26" s="10">
        <f ca="1"/>
        <v>-0.65113601664983967</v>
      </c>
      <c r="G26" s="7">
        <f ca="1"/>
        <v>6.5562629668268757E-3</v>
      </c>
      <c r="H26" s="10">
        <f ca="1"/>
        <v>54.799485074946716</v>
      </c>
      <c r="I26" s="7">
        <f ca="1"/>
        <v>-0.50903972216005511</v>
      </c>
      <c r="J26" s="7">
        <f ca="1"/>
        <v>4.244146053171967</v>
      </c>
      <c r="K26">
        <f ca="1"/>
        <v>0</v>
      </c>
      <c r="L26">
        <f ca="1"/>
        <v>0.68488406514009625</v>
      </c>
    </row>
    <row r="27" spans="2:16" x14ac:dyDescent="0.5">
      <c r="B27">
        <v>1.7000000000000001E-2</v>
      </c>
      <c r="C27">
        <f ca="1"/>
        <v>-5.1201219522703616E-2</v>
      </c>
      <c r="D27">
        <f ca="1"/>
        <v>1</v>
      </c>
      <c r="E27" s="11">
        <f ca="1"/>
        <v>98.947553000218107</v>
      </c>
      <c r="F27" s="10">
        <f ca="1"/>
        <v>1.5247575254306909</v>
      </c>
      <c r="G27" s="7">
        <f ca="1"/>
        <v>-1.5409754755909222E-2</v>
      </c>
      <c r="H27" s="10">
        <f ca="1"/>
        <v>56.32424260037741</v>
      </c>
      <c r="I27" s="7">
        <f ca="1"/>
        <v>-0.52444947691596433</v>
      </c>
      <c r="J27" s="7">
        <f ca="1"/>
        <v>4.4312501872983674</v>
      </c>
      <c r="K27">
        <f ca="1"/>
        <v>0</v>
      </c>
      <c r="L27">
        <f ca="1"/>
        <v>1.0524469997818926</v>
      </c>
    </row>
    <row r="28" spans="2:16" x14ac:dyDescent="0.5">
      <c r="B28">
        <v>1.8000000000000002E-2</v>
      </c>
      <c r="C28">
        <f ca="1"/>
        <v>-7.2330021782846199E-2</v>
      </c>
      <c r="D28">
        <f ca="1"/>
        <v>1</v>
      </c>
      <c r="E28" s="11">
        <f ca="1"/>
        <v>98.528335970158793</v>
      </c>
      <c r="F28" s="10">
        <f ca="1"/>
        <v>1.7395463634577808</v>
      </c>
      <c r="G28" s="7">
        <f ca="1"/>
        <v>-1.7655290189663164E-2</v>
      </c>
      <c r="H28" s="10">
        <f ca="1"/>
        <v>58.063788963835194</v>
      </c>
      <c r="I28" s="7">
        <f ca="1"/>
        <v>-0.54210476710562749</v>
      </c>
      <c r="J28" s="7">
        <f ca="1"/>
        <v>4.651108339427239</v>
      </c>
      <c r="K28">
        <f ca="1"/>
        <v>0</v>
      </c>
      <c r="L28">
        <f ca="1"/>
        <v>1.4716640298412074</v>
      </c>
    </row>
    <row r="29" spans="2:16" x14ac:dyDescent="0.5">
      <c r="B29">
        <v>1.9E-2</v>
      </c>
      <c r="C29">
        <f ca="1"/>
        <v>-6.4483810662532601E-2</v>
      </c>
      <c r="D29">
        <f ca="1"/>
        <v>1</v>
      </c>
      <c r="E29" s="11">
        <f ca="1"/>
        <v>98.681098531060769</v>
      </c>
      <c r="F29" s="10">
        <f ca="1"/>
        <v>-0.61434510856313551</v>
      </c>
      <c r="G29" s="7">
        <f ca="1"/>
        <v>6.2255600890961382E-3</v>
      </c>
      <c r="H29" s="10">
        <f ca="1"/>
        <v>57.449443855272058</v>
      </c>
      <c r="I29" s="7">
        <f ca="1"/>
        <v>-0.53587920701653136</v>
      </c>
      <c r="J29" s="7">
        <f ca="1"/>
        <v>4.5682950269270179</v>
      </c>
      <c r="K29">
        <f ca="1"/>
        <v>0</v>
      </c>
      <c r="L29">
        <f ca="1"/>
        <v>1.3189014689392309</v>
      </c>
    </row>
    <row r="30" spans="2:16" x14ac:dyDescent="0.5">
      <c r="B30">
        <v>0.02</v>
      </c>
      <c r="C30">
        <f ca="1"/>
        <v>-3.7286109769174125E-2</v>
      </c>
      <c r="D30">
        <f ca="1"/>
        <v>1</v>
      </c>
      <c r="E30" s="11">
        <f ca="1"/>
        <v>99.217356532764413</v>
      </c>
      <c r="F30" s="10">
        <f ca="1"/>
        <v>-2.2159377911090443</v>
      </c>
      <c r="G30" s="7">
        <f ca="1"/>
        <v>2.2334174871684653E-2</v>
      </c>
      <c r="H30" s="10">
        <f ca="1"/>
        <v>55.233506064163016</v>
      </c>
      <c r="I30" s="7">
        <f ca="1"/>
        <v>-0.5135450321448467</v>
      </c>
      <c r="J30" s="7">
        <f ca="1"/>
        <v>4.2809255142177989</v>
      </c>
      <c r="K30">
        <f ca="1"/>
        <v>0</v>
      </c>
      <c r="L30">
        <f ca="1"/>
        <v>0.78264346723558731</v>
      </c>
    </row>
    <row r="31" spans="2:16" x14ac:dyDescent="0.5">
      <c r="B31">
        <v>2.1000000000000001E-2</v>
      </c>
      <c r="C31">
        <f ca="1"/>
        <v>-6.9249494257500821E-2</v>
      </c>
      <c r="D31">
        <f ca="1"/>
        <v>1</v>
      </c>
      <c r="E31" s="11">
        <f ca="1"/>
        <v>98.583143358129732</v>
      </c>
      <c r="F31" s="10">
        <f ca="1"/>
        <v>2.6397399203431946</v>
      </c>
      <c r="G31" s="7">
        <f ca="1"/>
        <v>-2.6776787901290899E-2</v>
      </c>
      <c r="H31" s="10">
        <f ca="1"/>
        <v>57.873245984506212</v>
      </c>
      <c r="I31" s="7">
        <f ca="1"/>
        <v>-0.5403218200461376</v>
      </c>
      <c r="J31" s="7">
        <f ca="1"/>
        <v>4.6066225393722533</v>
      </c>
      <c r="K31">
        <f ca="1"/>
        <v>0</v>
      </c>
      <c r="L31">
        <f ca="1"/>
        <v>1.4168566418702682</v>
      </c>
    </row>
    <row r="32" spans="2:16" x14ac:dyDescent="0.5">
      <c r="B32">
        <v>2.1999999999999999E-2</v>
      </c>
      <c r="C32">
        <f ca="1"/>
        <v>-0.11303854419358975</v>
      </c>
      <c r="D32">
        <f ca="1"/>
        <v>1</v>
      </c>
      <c r="E32" s="11">
        <f ca="1"/>
        <v>97.721586082722581</v>
      </c>
      <c r="F32" s="10">
        <f ca="1"/>
        <v>3.5600165475128778</v>
      </c>
      <c r="G32" s="7">
        <f ca="1"/>
        <v>-3.6430196133935833E-2</v>
      </c>
      <c r="H32" s="10">
        <f ca="1"/>
        <v>61.433262532019093</v>
      </c>
      <c r="I32" s="7">
        <f ca="1"/>
        <v>-0.57675201618007343</v>
      </c>
      <c r="J32" s="7">
        <f ca="1"/>
        <v>5.0721407344942406</v>
      </c>
      <c r="K32">
        <f ca="1"/>
        <v>0</v>
      </c>
      <c r="L32">
        <f ca="1"/>
        <v>2.2784139172774189</v>
      </c>
    </row>
    <row r="33" spans="2:12" x14ac:dyDescent="0.5">
      <c r="B33">
        <v>2.3E-2</v>
      </c>
      <c r="C33">
        <f ca="1"/>
        <v>-4.7591026920313487E-2</v>
      </c>
      <c r="D33">
        <f ca="1"/>
        <v>1</v>
      </c>
      <c r="E33" s="11">
        <f ca="1"/>
        <v>99.007141174019452</v>
      </c>
      <c r="F33" s="10">
        <f ca="1"/>
        <v>-5.3460372659645801</v>
      </c>
      <c r="G33" s="7">
        <f ca="1"/>
        <v>5.3996481491856652E-2</v>
      </c>
      <c r="H33" s="10">
        <f ca="1"/>
        <v>56.08722526605451</v>
      </c>
      <c r="I33" s="7">
        <f ca="1"/>
        <v>-0.52275553468821678</v>
      </c>
      <c r="J33" s="7">
        <f ca="1"/>
        <v>4.3306942436782094</v>
      </c>
      <c r="K33">
        <f ca="1"/>
        <v>0</v>
      </c>
      <c r="L33">
        <f ca="1"/>
        <v>0.99285882598054798</v>
      </c>
    </row>
    <row r="34" spans="2:12" x14ac:dyDescent="0.5">
      <c r="B34">
        <v>2.4E-2</v>
      </c>
      <c r="C34">
        <f ca="1"/>
        <v>-4.9029974132227018E-2</v>
      </c>
      <c r="D34">
        <f ca="1"/>
        <v>1</v>
      </c>
      <c r="E34" s="11">
        <f ca="1"/>
        <v>98.97667251045263</v>
      </c>
      <c r="F34" s="10">
        <f ca="1"/>
        <v>0.140865756626253</v>
      </c>
      <c r="G34" s="7">
        <f ca="1"/>
        <v>-1.4232217860362661E-3</v>
      </c>
      <c r="H34" s="10">
        <f ca="1"/>
        <v>56.228091022680765</v>
      </c>
      <c r="I34" s="7">
        <f ca="1"/>
        <v>-0.52417875647425305</v>
      </c>
      <c r="J34" s="7">
        <f ca="1"/>
        <v>4.3466219061923184</v>
      </c>
      <c r="K34">
        <f ca="1"/>
        <v>0</v>
      </c>
      <c r="L34">
        <f ca="1"/>
        <v>1.0233274895473699</v>
      </c>
    </row>
    <row r="35" spans="2:12" x14ac:dyDescent="0.5">
      <c r="B35">
        <v>2.5000000000000001E-2</v>
      </c>
      <c r="C35">
        <f ca="1"/>
        <v>-5.3304629636969345E-2</v>
      </c>
      <c r="D35">
        <f ca="1"/>
        <v>1</v>
      </c>
      <c r="E35" s="11">
        <f ca="1"/>
        <v>98.890112613899461</v>
      </c>
      <c r="F35" s="10">
        <f ca="1"/>
        <v>0.37666362781329982</v>
      </c>
      <c r="G35" s="7">
        <f ca="1"/>
        <v>-3.8089108997572119E-3</v>
      </c>
      <c r="H35" s="10">
        <f ca="1"/>
        <v>56.604754650494066</v>
      </c>
      <c r="I35" s="7">
        <f ca="1"/>
        <v>-0.52798766737401026</v>
      </c>
      <c r="J35" s="7">
        <f ca="1"/>
        <v>4.3919947651281035</v>
      </c>
      <c r="K35">
        <f ca="1"/>
        <v>0</v>
      </c>
      <c r="L35">
        <f ca="1"/>
        <v>1.1098873861005387</v>
      </c>
    </row>
    <row r="36" spans="2:12" x14ac:dyDescent="0.5">
      <c r="B36">
        <v>2.6000000000000002E-2</v>
      </c>
      <c r="C36">
        <f ca="1"/>
        <v>-6.6085283642186868E-2</v>
      </c>
      <c r="D36">
        <f ca="1"/>
        <v>1</v>
      </c>
      <c r="E36" s="11">
        <f ca="1"/>
        <v>98.635686606919819</v>
      </c>
      <c r="F36" s="10">
        <f ca="1"/>
        <v>1.0815399709420193</v>
      </c>
      <c r="G36" s="7">
        <f ca="1"/>
        <v>-1.0964996626952495E-2</v>
      </c>
      <c r="H36" s="10">
        <f ca="1"/>
        <v>57.686294621436083</v>
      </c>
      <c r="I36" s="7">
        <f ca="1"/>
        <v>-0.53895266400096276</v>
      </c>
      <c r="J36" s="7">
        <f ca="1"/>
        <v>4.5263285590725673</v>
      </c>
      <c r="K36">
        <f ca="1"/>
        <v>0</v>
      </c>
      <c r="L36">
        <f ca="1"/>
        <v>1.364313393080181</v>
      </c>
    </row>
    <row r="37" spans="2:12" x14ac:dyDescent="0.5">
      <c r="B37">
        <v>2.7E-2</v>
      </c>
      <c r="C37">
        <f ca="1"/>
        <v>-6.5831623823705013E-2</v>
      </c>
      <c r="D37">
        <f ca="1"/>
        <v>1</v>
      </c>
      <c r="E37" s="11">
        <f ca="1"/>
        <v>98.638717921838676</v>
      </c>
      <c r="F37" s="10">
        <f ca="1"/>
        <v>4.127654822749894E-3</v>
      </c>
      <c r="G37" s="7">
        <f ca="1"/>
        <v>-4.1846192952554873E-5</v>
      </c>
      <c r="H37" s="10">
        <f ca="1"/>
        <v>57.690422276258836</v>
      </c>
      <c r="I37" s="7">
        <f ca="1"/>
        <v>-0.53899451019391531</v>
      </c>
      <c r="J37" s="7">
        <f ca="1"/>
        <v>4.5246948238216262</v>
      </c>
      <c r="K37">
        <f ca="1"/>
        <v>0</v>
      </c>
      <c r="L37">
        <f ca="1"/>
        <v>1.3612820781613237</v>
      </c>
    </row>
    <row r="38" spans="2:12" x14ac:dyDescent="0.5">
      <c r="B38">
        <v>2.8000000000000001E-2</v>
      </c>
      <c r="C38">
        <f ca="1"/>
        <v>-3.864021631271701E-2</v>
      </c>
      <c r="D38">
        <f ca="1"/>
        <v>1</v>
      </c>
      <c r="E38" s="11">
        <f ca="1"/>
        <v>99.174620787772156</v>
      </c>
      <c r="F38" s="10">
        <f ca="1"/>
        <v>-2.2520765949624142</v>
      </c>
      <c r="G38" s="7">
        <f ca="1"/>
        <v>2.2708194667885095E-2</v>
      </c>
      <c r="H38" s="10">
        <f ca="1"/>
        <v>55.438345681296425</v>
      </c>
      <c r="I38" s="7">
        <f ca="1"/>
        <v>-0.51628631552603022</v>
      </c>
      <c r="J38" s="7">
        <f ca="1"/>
        <v>4.235846121086297</v>
      </c>
      <c r="K38">
        <f ca="1"/>
        <v>0</v>
      </c>
      <c r="L38">
        <f ca="1"/>
        <v>0.82537921222784405</v>
      </c>
    </row>
    <row r="39" spans="2:12" x14ac:dyDescent="0.5">
      <c r="B39">
        <v>2.9000000000000001E-2</v>
      </c>
      <c r="C39">
        <f ca="1"/>
        <v>-5.9753945193581043E-2</v>
      </c>
      <c r="D39">
        <f ca="1"/>
        <v>1</v>
      </c>
      <c r="E39" s="11">
        <f ca="1"/>
        <v>98.75473943908365</v>
      </c>
      <c r="F39" s="10">
        <f ca="1"/>
        <v>1.7860771686918937</v>
      </c>
      <c r="G39" s="7">
        <f ca="1"/>
        <v>-1.8085989379716061E-2</v>
      </c>
      <c r="H39" s="10">
        <f ca="1"/>
        <v>57.224422849988322</v>
      </c>
      <c r="I39" s="7">
        <f ca="1"/>
        <v>-0.53437230490574628</v>
      </c>
      <c r="J39" s="7">
        <f ca="1"/>
        <v>4.4526251155587886</v>
      </c>
      <c r="K39">
        <f ca="1"/>
        <v>0</v>
      </c>
      <c r="L39">
        <f ca="1"/>
        <v>1.2452605609163498</v>
      </c>
    </row>
    <row r="40" spans="2:12" x14ac:dyDescent="0.5">
      <c r="B40">
        <v>0.03</v>
      </c>
      <c r="C40">
        <f ca="1"/>
        <v>-2.1025635105650274E-2</v>
      </c>
      <c r="D40">
        <f ca="1"/>
        <v>1</v>
      </c>
      <c r="E40" s="11">
        <f ca="1"/>
        <v>99.520639913277989</v>
      </c>
      <c r="F40" s="10">
        <f ca="1"/>
        <v>-3.2492902535481805</v>
      </c>
      <c r="G40" s="7">
        <f ca="1"/>
        <v>3.2649410779307719E-2</v>
      </c>
      <c r="H40" s="10">
        <f ca="1"/>
        <v>53.97513259644014</v>
      </c>
      <c r="I40" s="7">
        <f ca="1"/>
        <v>-0.50172289412643856</v>
      </c>
      <c r="J40" s="7">
        <f ca="1"/>
        <v>4.0433491138351556</v>
      </c>
      <c r="K40">
        <f ca="1"/>
        <v>0</v>
      </c>
      <c r="L40">
        <f ca="1"/>
        <v>0.47936008672201069</v>
      </c>
    </row>
    <row r="41" spans="2:12" x14ac:dyDescent="0.5">
      <c r="B41">
        <v>3.1E-2</v>
      </c>
      <c r="C41">
        <f ca="1"/>
        <v>-2.7835000422243905E-2</v>
      </c>
      <c r="D41">
        <f ca="1"/>
        <v>1</v>
      </c>
      <c r="E41" s="11">
        <f ca="1"/>
        <v>99.383209998955309</v>
      </c>
      <c r="F41" s="10">
        <f ca="1"/>
        <v>0.59419751661754983</v>
      </c>
      <c r="G41" s="7">
        <f ca="1"/>
        <v>-5.9788521282799767E-3</v>
      </c>
      <c r="H41" s="10">
        <f ca="1"/>
        <v>54.569330113057688</v>
      </c>
      <c r="I41" s="7">
        <f ca="1"/>
        <v>-0.50770174625471853</v>
      </c>
      <c r="J41" s="7">
        <f ca="1"/>
        <v>4.1123008481886743</v>
      </c>
      <c r="K41">
        <f ca="1"/>
        <v>0</v>
      </c>
      <c r="L41">
        <f ca="1"/>
        <v>0.61679000104469139</v>
      </c>
    </row>
    <row r="42" spans="2:12" x14ac:dyDescent="0.5">
      <c r="B42">
        <v>3.2000000000000001E-2</v>
      </c>
      <c r="C42">
        <f ca="1"/>
        <v>-3.4990914786397903E-2</v>
      </c>
      <c r="D42">
        <f ca="1"/>
        <v>1</v>
      </c>
      <c r="E42" s="11">
        <f ca="1"/>
        <v>99.239091383283224</v>
      </c>
      <c r="F42" s="10">
        <f ca="1"/>
        <v>0.62524982840449916</v>
      </c>
      <c r="G42" s="7">
        <f ca="1"/>
        <v>-6.3004388662694089E-3</v>
      </c>
      <c r="H42" s="10">
        <f ca="1"/>
        <v>55.194579941462187</v>
      </c>
      <c r="I42" s="7">
        <f ca="1"/>
        <v>-0.51400218512098794</v>
      </c>
      <c r="J42" s="7">
        <f ca="1"/>
        <v>4.1854701210332053</v>
      </c>
      <c r="K42">
        <f ca="1"/>
        <v>0</v>
      </c>
      <c r="L42">
        <f ca="1"/>
        <v>0.76090861671677601</v>
      </c>
    </row>
    <row r="43" spans="2:12" x14ac:dyDescent="0.5">
      <c r="B43">
        <v>3.3000000000000002E-2</v>
      </c>
      <c r="C43">
        <f ca="1"/>
        <v>1.2770074379042456E-2</v>
      </c>
      <c r="D43">
        <f ca="1"/>
        <v>1</v>
      </c>
      <c r="E43" s="11">
        <f ca="1"/>
        <v>100.18958096549173</v>
      </c>
      <c r="F43" s="10">
        <f ca="1"/>
        <v>-4.0753663090532672</v>
      </c>
      <c r="G43" s="7">
        <f ca="1"/>
        <v>4.0676548097919929E-2</v>
      </c>
      <c r="H43" s="10">
        <f ca="1"/>
        <v>51.119213632408922</v>
      </c>
      <c r="I43" s="7">
        <f ca="1"/>
        <v>-0.47332563702306801</v>
      </c>
      <c r="J43" s="7">
        <f ca="1"/>
        <v>3.6969163988432996</v>
      </c>
      <c r="K43">
        <f ca="1"/>
        <v>0</v>
      </c>
      <c r="L43">
        <f ca="1"/>
        <v>0</v>
      </c>
    </row>
    <row r="44" spans="2:12" x14ac:dyDescent="0.5">
      <c r="B44">
        <v>3.4000000000000002E-2</v>
      </c>
      <c r="C44">
        <f ca="1"/>
        <v>7.2299212838508459E-2</v>
      </c>
      <c r="D44">
        <f ca="1"/>
        <v>1</v>
      </c>
      <c r="E44" s="11">
        <f ca="1"/>
        <v>101.38752222001901</v>
      </c>
      <c r="F44" s="10">
        <f ca="1"/>
        <v>-5.1221840841205148</v>
      </c>
      <c r="G44" s="7">
        <f ca="1"/>
        <v>5.0520852783096593E-2</v>
      </c>
      <c r="H44" s="10">
        <f ca="1"/>
        <v>45.99702954828841</v>
      </c>
      <c r="I44" s="7">
        <f ca="1"/>
        <v>-0.42280478423997142</v>
      </c>
      <c r="J44" s="7">
        <f ca="1"/>
        <v>3.1299000914279631</v>
      </c>
      <c r="K44">
        <f ca="1"/>
        <v>0</v>
      </c>
      <c r="L44">
        <f ca="1"/>
        <v>0</v>
      </c>
    </row>
    <row r="45" spans="2:12" x14ac:dyDescent="0.5">
      <c r="B45">
        <v>3.5000000000000003E-2</v>
      </c>
      <c r="C45">
        <f ca="1"/>
        <v>0.11113705399357851</v>
      </c>
      <c r="D45">
        <f ca="1"/>
        <v>1</v>
      </c>
      <c r="E45" s="11">
        <f ca="1"/>
        <v>102.17607972330831</v>
      </c>
      <c r="F45" s="10">
        <f ca="1"/>
        <v>-3.3199141606275595</v>
      </c>
      <c r="G45" s="7">
        <f ca="1"/>
        <v>3.2492087870447273E-2</v>
      </c>
      <c r="H45" s="10">
        <f ca="1"/>
        <v>42.677115387660848</v>
      </c>
      <c r="I45" s="7">
        <f ca="1"/>
        <v>-0.39031269636952415</v>
      </c>
      <c r="J45" s="7">
        <f ca="1"/>
        <v>2.7964942063889211</v>
      </c>
      <c r="K45">
        <f ca="1"/>
        <v>0</v>
      </c>
      <c r="L45">
        <f ca="1"/>
        <v>0</v>
      </c>
    </row>
    <row r="46" spans="2:12" x14ac:dyDescent="0.5">
      <c r="B46">
        <v>3.6000000000000004E-2</v>
      </c>
      <c r="C46">
        <f ca="1"/>
        <v>6.4096255006722502E-2</v>
      </c>
      <c r="D46">
        <f ca="1"/>
        <v>1</v>
      </c>
      <c r="E46" s="11">
        <f ca="1"/>
        <v>101.21727430391869</v>
      </c>
      <c r="F46" s="10">
        <f ca="1"/>
        <v>3.9908017152432862</v>
      </c>
      <c r="G46" s="7">
        <f ca="1"/>
        <v>-3.9428069395154419E-2</v>
      </c>
      <c r="H46" s="10">
        <f ca="1"/>
        <v>46.667917102904134</v>
      </c>
      <c r="I46" s="7">
        <f ca="1"/>
        <v>-0.42974076576467857</v>
      </c>
      <c r="J46" s="7">
        <f ca="1"/>
        <v>3.1707281349245946</v>
      </c>
      <c r="K46">
        <f ca="1"/>
        <v>0</v>
      </c>
      <c r="L46">
        <f ca="1"/>
        <v>0</v>
      </c>
    </row>
    <row r="47" spans="2:12" x14ac:dyDescent="0.5">
      <c r="B47">
        <v>3.6999999999999998E-2</v>
      </c>
      <c r="C47">
        <f ca="1"/>
        <v>7.9180129561353341E-2</v>
      </c>
      <c r="D47">
        <f ca="1"/>
        <v>1</v>
      </c>
      <c r="E47" s="11">
        <f ca="1"/>
        <v>101.52105464541231</v>
      </c>
      <c r="F47" s="10">
        <f ca="1"/>
        <v>-1.2984004721505578</v>
      </c>
      <c r="G47" s="7">
        <f ca="1"/>
        <v>1.2789469895535921E-2</v>
      </c>
      <c r="H47" s="10">
        <f ca="1"/>
        <v>45.36951663075358</v>
      </c>
      <c r="I47" s="7">
        <f ca="1"/>
        <v>-0.41695129586914265</v>
      </c>
      <c r="J47" s="7">
        <f ca="1"/>
        <v>3.0401813383468763</v>
      </c>
      <c r="K47">
        <f ca="1"/>
        <v>0</v>
      </c>
      <c r="L47">
        <f ca="1"/>
        <v>0</v>
      </c>
    </row>
    <row r="48" spans="2:12" x14ac:dyDescent="0.5">
      <c r="B48">
        <v>3.7999999999999999E-2</v>
      </c>
      <c r="C48">
        <f ca="1"/>
        <v>6.9906025973917679E-2</v>
      </c>
      <c r="D48">
        <f ca="1"/>
        <v>1</v>
      </c>
      <c r="E48" s="11">
        <f ca="1"/>
        <v>101.33089917830551</v>
      </c>
      <c r="F48" s="10">
        <f ca="1"/>
        <v>0.79580266487114737</v>
      </c>
      <c r="G48" s="7">
        <f ca="1"/>
        <v>-7.8535044228791873E-3</v>
      </c>
      <c r="H48" s="10">
        <f ca="1"/>
        <v>46.165319295624727</v>
      </c>
      <c r="I48" s="7">
        <f ca="1"/>
        <v>-0.42480480029202183</v>
      </c>
      <c r="J48" s="7">
        <f ca="1"/>
        <v>3.1194669067736527</v>
      </c>
      <c r="K48">
        <f ca="1"/>
        <v>0</v>
      </c>
      <c r="L48">
        <f ca="1"/>
        <v>0</v>
      </c>
    </row>
    <row r="49" spans="2:12" x14ac:dyDescent="0.5">
      <c r="B49">
        <v>3.9E-2</v>
      </c>
      <c r="C49">
        <f ca="1"/>
        <v>6.4961199513048712E-2</v>
      </c>
      <c r="D49">
        <f ca="1"/>
        <v>1</v>
      </c>
      <c r="E49" s="11">
        <f ca="1"/>
        <v>101.22871137865044</v>
      </c>
      <c r="F49" s="10">
        <f ca="1"/>
        <v>0.42688389548445449</v>
      </c>
      <c r="G49" s="7">
        <f ca="1"/>
        <v>-4.2170239023163747E-3</v>
      </c>
      <c r="H49" s="10">
        <f ca="1"/>
        <v>46.592203191109178</v>
      </c>
      <c r="I49" s="7">
        <f ca="1"/>
        <v>-0.42902182419433821</v>
      </c>
      <c r="J49" s="7">
        <f ca="1"/>
        <v>3.1628767745984021</v>
      </c>
      <c r="K49">
        <f ca="1"/>
        <v>0</v>
      </c>
      <c r="L49">
        <f ca="1"/>
        <v>0</v>
      </c>
    </row>
    <row r="50" spans="2:12" x14ac:dyDescent="0.5">
      <c r="B50">
        <v>0.04</v>
      </c>
      <c r="C50">
        <f ca="1"/>
        <v>8.9241010539456656E-2</v>
      </c>
      <c r="D50">
        <f ca="1"/>
        <v>1</v>
      </c>
      <c r="E50" s="11">
        <f ca="1"/>
        <v>101.71943520554674</v>
      </c>
      <c r="F50" s="10">
        <f ca="1"/>
        <v>-2.1045215239656927</v>
      </c>
      <c r="G50" s="7">
        <f ca="1"/>
        <v>2.0689473154398064E-2</v>
      </c>
      <c r="H50" s="10">
        <f ca="1"/>
        <v>44.487681667143484</v>
      </c>
      <c r="I50" s="7">
        <f ca="1"/>
        <v>-0.40833235103994014</v>
      </c>
      <c r="J50" s="7">
        <f ca="1"/>
        <v>2.952345543207727</v>
      </c>
      <c r="K50">
        <f ca="1"/>
        <v>0</v>
      </c>
      <c r="L50">
        <f ca="1"/>
        <v>0</v>
      </c>
    </row>
    <row r="51" spans="2:12" x14ac:dyDescent="0.5">
      <c r="B51">
        <v>4.1000000000000002E-2</v>
      </c>
      <c r="C51">
        <f ca="1"/>
        <v>8.5490839773675692E-2</v>
      </c>
      <c r="D51">
        <f ca="1"/>
        <v>1</v>
      </c>
      <c r="E51" s="11">
        <f ca="1"/>
        <v>101.64113791606108</v>
      </c>
      <c r="F51" s="10">
        <f ca="1"/>
        <v>0.31950446289466178</v>
      </c>
      <c r="G51" s="7">
        <f ca="1"/>
        <v>-3.1434561777389791E-3</v>
      </c>
      <c r="H51" s="10">
        <f ca="1"/>
        <v>44.807186130038147</v>
      </c>
      <c r="I51" s="7">
        <f ca="1"/>
        <v>-0.41147580721767912</v>
      </c>
      <c r="J51" s="7">
        <f ca="1"/>
        <v>2.9843168595034584</v>
      </c>
      <c r="K51">
        <f ca="1"/>
        <v>0</v>
      </c>
      <c r="L51">
        <f ca="1"/>
        <v>0</v>
      </c>
    </row>
    <row r="52" spans="2:12" x14ac:dyDescent="0.5">
      <c r="B52">
        <v>4.2000000000000003E-2</v>
      </c>
      <c r="C52">
        <f ca="1"/>
        <v>6.041186724164542E-2</v>
      </c>
      <c r="D52">
        <f ca="1"/>
        <v>1</v>
      </c>
      <c r="E52" s="11">
        <f ca="1"/>
        <v>101.13058064182128</v>
      </c>
      <c r="F52" s="10">
        <f ca="1"/>
        <v>2.1720518974739691</v>
      </c>
      <c r="G52" s="7">
        <f ca="1"/>
        <v>-2.1477696298084381E-2</v>
      </c>
      <c r="H52" s="10">
        <f ca="1"/>
        <v>46.979238027512118</v>
      </c>
      <c r="I52" s="7">
        <f ca="1"/>
        <v>-0.4329535035157635</v>
      </c>
      <c r="J52" s="7">
        <f ca="1"/>
        <v>3.1943988260521436</v>
      </c>
      <c r="K52">
        <f ca="1"/>
        <v>0</v>
      </c>
      <c r="L52">
        <f ca="1"/>
        <v>0</v>
      </c>
    </row>
    <row r="53" spans="2:12" x14ac:dyDescent="0.5">
      <c r="B53">
        <v>4.3000000000000003E-2</v>
      </c>
      <c r="C53">
        <f ca="1"/>
        <v>6.5428223045173151E-2</v>
      </c>
      <c r="D53">
        <f ca="1"/>
        <v>1</v>
      </c>
      <c r="E53" s="11">
        <f ca="1"/>
        <v>101.23006832890297</v>
      </c>
      <c r="F53" s="10">
        <f ca="1"/>
        <v>-0.43726925106474474</v>
      </c>
      <c r="G53" s="7">
        <f ca="1"/>
        <v>4.3195589836413917E-3</v>
      </c>
      <c r="H53" s="10">
        <f ca="1"/>
        <v>46.541968776447369</v>
      </c>
      <c r="I53" s="7">
        <f ca="1"/>
        <v>-0.42863394453212211</v>
      </c>
      <c r="J53" s="7">
        <f ca="1"/>
        <v>3.1513252833734384</v>
      </c>
      <c r="K53">
        <f ca="1"/>
        <v>0</v>
      </c>
      <c r="L53">
        <f ca="1"/>
        <v>0</v>
      </c>
    </row>
    <row r="54" spans="2:12" x14ac:dyDescent="0.5">
      <c r="B54">
        <v>4.3999999999999997E-2</v>
      </c>
      <c r="C54">
        <f ca="1"/>
        <v>0.11303769787690818</v>
      </c>
      <c r="D54">
        <f ca="1"/>
        <v>1</v>
      </c>
      <c r="E54" s="11">
        <f ca="1"/>
        <v>102.19653014343839</v>
      </c>
      <c r="F54" s="10">
        <f ca="1"/>
        <v>-4.1608358618776862</v>
      </c>
      <c r="G54" s="7">
        <f ca="1"/>
        <v>4.0714061974880422E-2</v>
      </c>
      <c r="H54" s="10">
        <f ca="1"/>
        <v>42.381132914569683</v>
      </c>
      <c r="I54" s="7">
        <f ca="1"/>
        <v>-0.38791988255724169</v>
      </c>
      <c r="J54" s="7">
        <f ca="1"/>
        <v>2.7370669435694523</v>
      </c>
      <c r="K54">
        <f ca="1"/>
        <v>0</v>
      </c>
      <c r="L54">
        <f ca="1"/>
        <v>0</v>
      </c>
    </row>
    <row r="55" spans="2:12" x14ac:dyDescent="0.5">
      <c r="B55">
        <v>4.4999999999999998E-2</v>
      </c>
      <c r="C55">
        <f ca="1"/>
        <v>0.12279394263877928</v>
      </c>
      <c r="D55">
        <f ca="1"/>
        <v>1</v>
      </c>
      <c r="E55" s="11">
        <f ca="1"/>
        <v>102.39408779031052</v>
      </c>
      <c r="F55" s="10">
        <f ca="1"/>
        <v>-0.8524149397469224</v>
      </c>
      <c r="G55" s="7">
        <f ca="1"/>
        <v>8.3248452927531802E-3</v>
      </c>
      <c r="H55" s="10">
        <f ca="1"/>
        <v>41.528717974822762</v>
      </c>
      <c r="I55" s="7">
        <f ca="1"/>
        <v>-0.37959503726448851</v>
      </c>
      <c r="J55" s="7">
        <f ca="1"/>
        <v>2.6604304043965286</v>
      </c>
      <c r="K55">
        <f ca="1"/>
        <v>0</v>
      </c>
      <c r="L55">
        <f ca="1"/>
        <v>0</v>
      </c>
    </row>
    <row r="56" spans="2:12" x14ac:dyDescent="0.5">
      <c r="B56">
        <v>4.5999999999999999E-2</v>
      </c>
      <c r="C56">
        <f ca="1"/>
        <v>0.14225333186003347</v>
      </c>
      <c r="D56">
        <f ca="1"/>
        <v>1</v>
      </c>
      <c r="E56" s="11">
        <f ca="1"/>
        <v>102.79131369905687</v>
      </c>
      <c r="F56" s="10">
        <f ca="1"/>
        <v>-1.685947892516471</v>
      </c>
      <c r="G56" s="7">
        <f ca="1"/>
        <v>1.6401657220302068E-2</v>
      </c>
      <c r="H56" s="10">
        <f ca="1"/>
        <v>39.842770082306288</v>
      </c>
      <c r="I56" s="7">
        <f ca="1"/>
        <v>-0.36319338004418644</v>
      </c>
      <c r="J56" s="7">
        <f ca="1"/>
        <v>2.5096454207635404</v>
      </c>
      <c r="K56">
        <f ca="1"/>
        <v>0</v>
      </c>
      <c r="L56">
        <f ca="1"/>
        <v>0</v>
      </c>
    </row>
    <row r="57" spans="2:12" x14ac:dyDescent="0.5">
      <c r="B57">
        <v>4.7E-2</v>
      </c>
      <c r="C57">
        <f ca="1"/>
        <v>0.14329186686153936</v>
      </c>
      <c r="D57">
        <f ca="1"/>
        <v>1</v>
      </c>
      <c r="E57" s="11">
        <f ca="1"/>
        <v>102.81061015919202</v>
      </c>
      <c r="F57" s="10">
        <f ca="1"/>
        <v>-0.10496215413497385</v>
      </c>
      <c r="G57" s="7">
        <f ca="1"/>
        <v>1.0209272561698679E-3</v>
      </c>
      <c r="H57" s="10">
        <f ca="1"/>
        <v>39.737807928171314</v>
      </c>
      <c r="I57" s="7">
        <f ca="1"/>
        <v>-0.36217245278801657</v>
      </c>
      <c r="J57" s="7">
        <f ca="1"/>
        <v>2.5026370741841646</v>
      </c>
      <c r="K57">
        <f ca="1"/>
        <v>0</v>
      </c>
      <c r="L57">
        <f ca="1"/>
        <v>0</v>
      </c>
    </row>
    <row r="58" spans="2:12" x14ac:dyDescent="0.5">
      <c r="B58">
        <v>4.8000000000000001E-2</v>
      </c>
      <c r="C58">
        <f ca="1"/>
        <v>0.22132071258878927</v>
      </c>
      <c r="D58">
        <f ca="1"/>
        <v>1</v>
      </c>
      <c r="E58" s="11">
        <f ca="1"/>
        <v>104.42554490387525</v>
      </c>
      <c r="F58" s="10">
        <f ca="1"/>
        <v>-6.5757109689889681</v>
      </c>
      <c r="G58" s="7">
        <f ca="1"/>
        <v>6.2970329482522458E-2</v>
      </c>
      <c r="H58" s="10">
        <f ca="1"/>
        <v>33.16209695918235</v>
      </c>
      <c r="I58" s="7">
        <f ca="1"/>
        <v>-0.29920212330549412</v>
      </c>
      <c r="J58" s="7">
        <f ca="1"/>
        <v>1.9177521966096549</v>
      </c>
      <c r="K58">
        <f ca="1"/>
        <v>0</v>
      </c>
      <c r="L58">
        <f ca="1"/>
        <v>0</v>
      </c>
    </row>
    <row r="59" spans="2:12" x14ac:dyDescent="0.5">
      <c r="B59">
        <v>4.9000000000000002E-2</v>
      </c>
      <c r="C59">
        <f ca="1"/>
        <v>0.25717169584921562</v>
      </c>
      <c r="D59">
        <f ca="1"/>
        <v>1</v>
      </c>
      <c r="E59" s="11">
        <f ca="1"/>
        <v>105.1748838533501</v>
      </c>
      <c r="F59" s="10">
        <f ca="1"/>
        <v>-2.887129274475805</v>
      </c>
      <c r="G59" s="7">
        <f ca="1"/>
        <v>2.7450748398272107E-2</v>
      </c>
      <c r="H59" s="10">
        <f ca="1"/>
        <v>30.274967684706546</v>
      </c>
      <c r="I59" s="7">
        <f ca="1"/>
        <v>-0.27175137490722201</v>
      </c>
      <c r="J59" s="7">
        <f ca="1"/>
        <v>1.693548391851273</v>
      </c>
      <c r="K59">
        <f ca="1"/>
        <v>0</v>
      </c>
      <c r="L59">
        <f ca="1"/>
        <v>0</v>
      </c>
    </row>
    <row r="60" spans="2:12" x14ac:dyDescent="0.5">
      <c r="B60">
        <v>0.05</v>
      </c>
      <c r="C60">
        <f ca="1"/>
        <v>0.27837824408398565</v>
      </c>
      <c r="D60">
        <f ca="1"/>
        <v>1</v>
      </c>
      <c r="E60" s="11">
        <f ca="1"/>
        <v>105.61979800469999</v>
      </c>
      <c r="F60" s="10">
        <f ca="1"/>
        <v>-1.6734104211977645</v>
      </c>
      <c r="G60" s="7">
        <f ca="1"/>
        <v>1.5843719196691697E-2</v>
      </c>
      <c r="H60" s="10">
        <f ca="1"/>
        <v>28.601557263508781</v>
      </c>
      <c r="I60" s="7">
        <f ca="1"/>
        <v>-0.25590765571053031</v>
      </c>
      <c r="J60" s="7">
        <f ca="1"/>
        <v>1.5726423595062613</v>
      </c>
      <c r="K60">
        <f ca="1"/>
        <v>0</v>
      </c>
      <c r="L60">
        <f ca="1"/>
        <v>0</v>
      </c>
    </row>
    <row r="61" spans="2:12" x14ac:dyDescent="0.5">
      <c r="B61">
        <v>5.1000000000000004E-2</v>
      </c>
      <c r="C61">
        <f ca="1"/>
        <v>0.25109824116262786</v>
      </c>
      <c r="D61">
        <f ca="1"/>
        <v>1</v>
      </c>
      <c r="E61" s="11">
        <f ca="1"/>
        <v>105.04300463087941</v>
      </c>
      <c r="F61" s="10">
        <f ca="1"/>
        <v>2.0651873762294897</v>
      </c>
      <c r="G61" s="7">
        <f ca="1"/>
        <v>-1.9660398933622925E-2</v>
      </c>
      <c r="H61" s="10">
        <f ca="1"/>
        <v>30.666744639738269</v>
      </c>
      <c r="I61" s="7">
        <f ca="1"/>
        <v>-0.27556805464415324</v>
      </c>
      <c r="J61" s="7">
        <f ca="1"/>
        <v>1.7202481996300492</v>
      </c>
      <c r="K61">
        <f ca="1"/>
        <v>0</v>
      </c>
      <c r="L61">
        <f ca="1"/>
        <v>0</v>
      </c>
    </row>
    <row r="62" spans="2:12" x14ac:dyDescent="0.5">
      <c r="B62">
        <v>5.2000000000000005E-2</v>
      </c>
      <c r="C62">
        <f ca="1"/>
        <v>0.21882212805684806</v>
      </c>
      <c r="D62">
        <f ca="1"/>
        <v>1</v>
      </c>
      <c r="E62" s="11">
        <f ca="1"/>
        <v>104.36502519388011</v>
      </c>
      <c r="F62" s="10">
        <f ca="1"/>
        <v>2.5434286449095183</v>
      </c>
      <c r="G62" s="7">
        <f ca="1"/>
        <v>-2.4370507650283812E-2</v>
      </c>
      <c r="H62" s="10">
        <f ca="1"/>
        <v>33.210173284647787</v>
      </c>
      <c r="I62" s="7">
        <f ca="1"/>
        <v>-0.29993856229443705</v>
      </c>
      <c r="J62" s="7">
        <f ca="1"/>
        <v>1.9070776741726831</v>
      </c>
      <c r="K62">
        <f ca="1"/>
        <v>0</v>
      </c>
      <c r="L62">
        <f ca="1"/>
        <v>0</v>
      </c>
    </row>
    <row r="63" spans="2:12" x14ac:dyDescent="0.5">
      <c r="B63">
        <v>5.2999999999999999E-2</v>
      </c>
      <c r="C63">
        <f ca="1"/>
        <v>0.21067596293921553</v>
      </c>
      <c r="D63">
        <f ca="1"/>
        <v>1</v>
      </c>
      <c r="E63" s="11">
        <f ca="1"/>
        <v>104.19304480467962</v>
      </c>
      <c r="F63" s="10">
        <f ca="1"/>
        <v>0.6358677406733293</v>
      </c>
      <c r="G63" s="7">
        <f ca="1"/>
        <v>-6.1027849014809732E-3</v>
      </c>
      <c r="H63" s="10">
        <f ca="1"/>
        <v>33.846041025321114</v>
      </c>
      <c r="I63" s="7">
        <f ca="1"/>
        <v>-0.30604134719591802</v>
      </c>
      <c r="J63" s="7">
        <f ca="1"/>
        <v>1.9586612248523174</v>
      </c>
      <c r="K63">
        <f ca="1"/>
        <v>0</v>
      </c>
      <c r="L63">
        <f ca="1"/>
        <v>0</v>
      </c>
    </row>
    <row r="64" spans="2:12" x14ac:dyDescent="0.5">
      <c r="B64">
        <v>5.3999999999999999E-2</v>
      </c>
      <c r="C64">
        <f ca="1"/>
        <v>0.18011047848543676</v>
      </c>
      <c r="D64">
        <f ca="1"/>
        <v>1</v>
      </c>
      <c r="E64" s="11">
        <f ca="1"/>
        <v>103.55597436984381</v>
      </c>
      <c r="F64" s="10">
        <f ca="1"/>
        <v>2.5189677461799365</v>
      </c>
      <c r="G64" s="7">
        <f ca="1"/>
        <v>-2.4324697454765842E-2</v>
      </c>
      <c r="H64" s="10">
        <f ca="1"/>
        <v>36.365008771501053</v>
      </c>
      <c r="I64" s="7">
        <f ca="1"/>
        <v>-0.33036604465068387</v>
      </c>
      <c r="J64" s="7">
        <f ca="1"/>
        <v>2.1536311189881587</v>
      </c>
      <c r="K64">
        <f ca="1"/>
        <v>0</v>
      </c>
      <c r="L64">
        <f ca="1"/>
        <v>0</v>
      </c>
    </row>
    <row r="65" spans="2:12" x14ac:dyDescent="0.5">
      <c r="B65">
        <v>5.5E-2</v>
      </c>
      <c r="C65">
        <f ca="1"/>
        <v>0.15966299242248938</v>
      </c>
      <c r="D65">
        <f ca="1"/>
        <v>1</v>
      </c>
      <c r="E65" s="11">
        <f ca="1"/>
        <v>103.13128461019443</v>
      </c>
      <c r="F65" s="10">
        <f ca="1"/>
        <v>1.7217019383168888</v>
      </c>
      <c r="G65" s="7">
        <f ca="1"/>
        <v>-1.6694274146049959E-2</v>
      </c>
      <c r="H65" s="10">
        <f ca="1"/>
        <v>38.086710709817943</v>
      </c>
      <c r="I65" s="7">
        <f ca="1"/>
        <v>-0.34706031879673382</v>
      </c>
      <c r="J65" s="7">
        <f ca="1"/>
        <v>2.293934195087175</v>
      </c>
      <c r="K65">
        <f ca="1"/>
        <v>0</v>
      </c>
      <c r="L65">
        <f ca="1"/>
        <v>0</v>
      </c>
    </row>
    <row r="66" spans="2:12" x14ac:dyDescent="0.5">
      <c r="B66">
        <v>5.6000000000000001E-2</v>
      </c>
      <c r="C66">
        <f ca="1"/>
        <v>0.15130776103969237</v>
      </c>
      <c r="D66">
        <f ca="1"/>
        <v>1</v>
      </c>
      <c r="E66" s="11">
        <f ca="1"/>
        <v>102.9570322113176</v>
      </c>
      <c r="F66" s="10">
        <f ca="1"/>
        <v>0.70245224284571006</v>
      </c>
      <c r="G66" s="7">
        <f ca="1"/>
        <v>-6.8227708953764177E-3</v>
      </c>
      <c r="H66" s="10">
        <f ca="1"/>
        <v>38.789162952663652</v>
      </c>
      <c r="I66" s="7">
        <f ca="1"/>
        <v>-0.35388308969211024</v>
      </c>
      <c r="J66" s="7">
        <f ca="1"/>
        <v>2.3544102881924616</v>
      </c>
      <c r="K66">
        <f ca="1"/>
        <v>0</v>
      </c>
      <c r="L66">
        <f ca="1"/>
        <v>0</v>
      </c>
    </row>
    <row r="67" spans="2:12" x14ac:dyDescent="0.5">
      <c r="B67">
        <v>5.7000000000000002E-2</v>
      </c>
      <c r="C67">
        <f ca="1"/>
        <v>0.1485248772406845</v>
      </c>
      <c r="D67">
        <f ca="1"/>
        <v>1</v>
      </c>
      <c r="E67" s="11">
        <f ca="1"/>
        <v>102.89768668955482</v>
      </c>
      <c r="F67" s="10">
        <f ca="1"/>
        <v>0.22294191033817304</v>
      </c>
      <c r="G67" s="7">
        <f ca="1"/>
        <v>-2.1666367584219359E-3</v>
      </c>
      <c r="H67" s="10">
        <f ca="1"/>
        <v>39.012104863001824</v>
      </c>
      <c r="I67" s="7">
        <f ca="1"/>
        <v>-0.35604972645053218</v>
      </c>
      <c r="J67" s="7">
        <f ca="1"/>
        <v>2.3754116647932619</v>
      </c>
      <c r="K67">
        <f ca="1"/>
        <v>0</v>
      </c>
      <c r="L67">
        <f ca="1"/>
        <v>0</v>
      </c>
    </row>
    <row r="68" spans="2:12" x14ac:dyDescent="0.5">
      <c r="B68">
        <v>5.8000000000000003E-2</v>
      </c>
      <c r="C68">
        <f ca="1"/>
        <v>8.862933596380676E-2</v>
      </c>
      <c r="D68">
        <f ca="1"/>
        <v>1</v>
      </c>
      <c r="E68" s="11">
        <f ca="1"/>
        <v>101.67038420085686</v>
      </c>
      <c r="F68" s="10">
        <f ca="1"/>
        <v>5.2756345775295026</v>
      </c>
      <c r="G68" s="7">
        <f ca="1"/>
        <v>-5.188959025774037E-2</v>
      </c>
      <c r="H68" s="10">
        <f ca="1"/>
        <v>44.287739440531325</v>
      </c>
      <c r="I68" s="7">
        <f ca="1"/>
        <v>-0.40793931670827255</v>
      </c>
      <c r="J68" s="7">
        <f ca="1"/>
        <v>2.8123923801662301</v>
      </c>
      <c r="K68">
        <f ca="1"/>
        <v>0</v>
      </c>
      <c r="L68">
        <f ca="1"/>
        <v>0</v>
      </c>
    </row>
    <row r="69" spans="2:12" x14ac:dyDescent="0.5">
      <c r="B69">
        <v>5.9000000000000004E-2</v>
      </c>
      <c r="C69">
        <f ca="1"/>
        <v>4.3108838752702536E-2</v>
      </c>
      <c r="D69">
        <f ca="1"/>
        <v>1</v>
      </c>
      <c r="E69" s="11">
        <f ca="1"/>
        <v>100.74695265195477</v>
      </c>
      <c r="F69" s="10">
        <f ca="1"/>
        <v>4.1106503374581749</v>
      </c>
      <c r="G69" s="7">
        <f ca="1"/>
        <v>-4.0801733742349744E-2</v>
      </c>
      <c r="H69" s="10">
        <f ca="1"/>
        <v>48.3983897779895</v>
      </c>
      <c r="I69" s="7">
        <f ca="1"/>
        <v>-0.44874105045062229</v>
      </c>
      <c r="J69" s="7">
        <f ca="1"/>
        <v>3.1890964152522088</v>
      </c>
      <c r="K69">
        <f ca="1"/>
        <v>0</v>
      </c>
      <c r="L69">
        <f ca="1"/>
        <v>0</v>
      </c>
    </row>
    <row r="70" spans="2:12" x14ac:dyDescent="0.5">
      <c r="B70">
        <v>0.06</v>
      </c>
      <c r="C70">
        <f ca="1"/>
        <v>2.8030922232031366E-2</v>
      </c>
      <c r="D70">
        <f ca="1"/>
        <v>1</v>
      </c>
      <c r="E70" s="11">
        <f ca="1"/>
        <v>100.44159059500961</v>
      </c>
      <c r="F70" s="10">
        <f ca="1"/>
        <v>1.3822110535601213</v>
      </c>
      <c r="G70" s="7">
        <f ca="1"/>
        <v>-1.3761341744709443E-2</v>
      </c>
      <c r="H70" s="10">
        <f ca="1"/>
        <v>49.78060083154962</v>
      </c>
      <c r="I70" s="7">
        <f ca="1"/>
        <v>-0.46250239219533174</v>
      </c>
      <c r="J70" s="7">
        <f ca="1"/>
        <v>3.3261249054535398</v>
      </c>
      <c r="K70">
        <f ca="1"/>
        <v>0</v>
      </c>
      <c r="L70">
        <f ca="1"/>
        <v>0</v>
      </c>
    </row>
    <row r="71" spans="2:12" x14ac:dyDescent="0.5">
      <c r="B71">
        <v>6.0999999999999999E-2</v>
      </c>
      <c r="C71">
        <f ca="1"/>
        <v>6.1451076423649706E-2</v>
      </c>
      <c r="D71">
        <f ca="1"/>
        <v>1</v>
      </c>
      <c r="E71" s="11">
        <f ca="1"/>
        <v>101.11317168536425</v>
      </c>
      <c r="F71" s="10">
        <f ca="1"/>
        <v>-3.0646797155655188</v>
      </c>
      <c r="G71" s="7">
        <f ca="1"/>
        <v>3.0309401480372311E-2</v>
      </c>
      <c r="H71" s="10">
        <f ca="1"/>
        <v>46.715921115984102</v>
      </c>
      <c r="I71" s="7">
        <f ca="1"/>
        <v>-0.43219299071495942</v>
      </c>
      <c r="J71" s="7">
        <f ca="1"/>
        <v>3.0155170446113715</v>
      </c>
      <c r="K71">
        <f ca="1"/>
        <v>0</v>
      </c>
      <c r="L71">
        <f ca="1"/>
        <v>0</v>
      </c>
    </row>
    <row r="72" spans="2:12" x14ac:dyDescent="0.5">
      <c r="B72">
        <v>6.2E-2</v>
      </c>
      <c r="C72">
        <f ca="1"/>
        <v>2.6592332660371726E-2</v>
      </c>
      <c r="D72">
        <f ca="1"/>
        <v>1</v>
      </c>
      <c r="E72" s="11">
        <f ca="1"/>
        <v>100.40867947950325</v>
      </c>
      <c r="F72" s="10">
        <f ca="1"/>
        <v>3.1925453532983941</v>
      </c>
      <c r="G72" s="7">
        <f ca="1"/>
        <v>-3.1795511800850829E-2</v>
      </c>
      <c r="H72" s="10">
        <f ca="1"/>
        <v>49.908466469282494</v>
      </c>
      <c r="I72" s="7">
        <f ca="1"/>
        <v>-0.46398850251581025</v>
      </c>
      <c r="J72" s="7">
        <f ca="1"/>
        <v>3.3199936379978183</v>
      </c>
      <c r="K72">
        <f ca="1"/>
        <v>0</v>
      </c>
      <c r="L72">
        <f ca="1"/>
        <v>0</v>
      </c>
    </row>
    <row r="73" spans="2:12" x14ac:dyDescent="0.5">
      <c r="B73">
        <v>6.3E-2</v>
      </c>
      <c r="C73">
        <f ca="1"/>
        <v>6.4883286310968277E-2</v>
      </c>
      <c r="D73">
        <f ca="1"/>
        <v>1</v>
      </c>
      <c r="E73" s="11">
        <f ca="1"/>
        <v>101.17855661552098</v>
      </c>
      <c r="F73" s="10">
        <f ca="1"/>
        <v>-3.5319781645066022</v>
      </c>
      <c r="G73" s="7">
        <f ca="1"/>
        <v>3.4908366779021538E-2</v>
      </c>
      <c r="H73" s="10">
        <f ca="1"/>
        <v>46.37648830477589</v>
      </c>
      <c r="I73" s="7">
        <f ca="1"/>
        <v>-0.42908013573678871</v>
      </c>
      <c r="J73" s="7">
        <f ca="1"/>
        <v>2.962779498535788</v>
      </c>
      <c r="K73">
        <f ca="1"/>
        <v>0</v>
      </c>
      <c r="L73">
        <f ca="1"/>
        <v>0</v>
      </c>
    </row>
    <row r="74" spans="2:12" x14ac:dyDescent="0.5">
      <c r="B74">
        <v>6.4000000000000001E-2</v>
      </c>
      <c r="C74">
        <f ca="1"/>
        <v>3.4338470564342541E-2</v>
      </c>
      <c r="D74">
        <f ca="1"/>
        <v>1</v>
      </c>
      <c r="E74" s="11">
        <f ca="1"/>
        <v>100.56033343930821</v>
      </c>
      <c r="F74" s="10">
        <f ca="1"/>
        <v>2.8110639211446737</v>
      </c>
      <c r="G74" s="7">
        <f ca="1"/>
        <v>-2.7954003581752762E-2</v>
      </c>
      <c r="H74" s="10">
        <f ca="1"/>
        <v>49.187552225920562</v>
      </c>
      <c r="I74" s="7">
        <f ca="1"/>
        <v>-0.45703413931854148</v>
      </c>
      <c r="J74" s="7">
        <f ca="1"/>
        <v>3.2280467829007904</v>
      </c>
      <c r="K74">
        <f ca="1"/>
        <v>0</v>
      </c>
      <c r="L74">
        <f ca="1"/>
        <v>0</v>
      </c>
    </row>
    <row r="75" spans="2:12" x14ac:dyDescent="0.5">
      <c r="B75">
        <v>6.5000000000000002E-2</v>
      </c>
      <c r="C75">
        <f ca="1"/>
        <v>3.0121105554795795E-2</v>
      </c>
      <c r="D75">
        <f ca="1"/>
        <v>1</v>
      </c>
      <c r="E75" s="11">
        <f ca="1"/>
        <v>100.47353978370224</v>
      </c>
      <c r="F75" s="10">
        <f ca="1"/>
        <v>0.39787179174625775</v>
      </c>
      <c r="G75" s="7">
        <f ca="1"/>
        <v>-3.959965903488516E-3</v>
      </c>
      <c r="H75" s="10">
        <f ca="1"/>
        <v>49.585424017666817</v>
      </c>
      <c r="I75" s="7">
        <f ca="1"/>
        <v>-0.46099410522202999</v>
      </c>
      <c r="J75" s="7">
        <f ca="1"/>
        <v>3.2677144465889683</v>
      </c>
      <c r="K75">
        <f ca="1"/>
        <v>0</v>
      </c>
      <c r="L75">
        <f ca="1"/>
        <v>0</v>
      </c>
    </row>
    <row r="76" spans="2:12" x14ac:dyDescent="0.5">
      <c r="B76">
        <v>6.6000000000000003E-2</v>
      </c>
      <c r="C76">
        <f ca="1"/>
        <v>8.7400863760489278E-2</v>
      </c>
      <c r="D76">
        <f ca="1"/>
        <v>1</v>
      </c>
      <c r="E76" s="11">
        <f ca="1"/>
        <v>101.62914545693664</v>
      </c>
      <c r="F76" s="10">
        <f ca="1"/>
        <v>-5.3293247239862245</v>
      </c>
      <c r="G76" s="7">
        <f ca="1"/>
        <v>5.2438940621068408E-2</v>
      </c>
      <c r="H76" s="10">
        <f ca="1"/>
        <v>44.256099293680592</v>
      </c>
      <c r="I76" s="7">
        <f ca="1"/>
        <v>-0.40855516460096158</v>
      </c>
      <c r="J76" s="7">
        <f ca="1"/>
        <v>2.7349870432667771</v>
      </c>
      <c r="K76">
        <f ca="1"/>
        <v>0</v>
      </c>
      <c r="L76">
        <f ca="1"/>
        <v>0</v>
      </c>
    </row>
    <row r="77" spans="2:12" x14ac:dyDescent="0.5">
      <c r="B77">
        <v>6.7000000000000004E-2</v>
      </c>
      <c r="C77">
        <f ca="1"/>
        <v>0.13546933560322127</v>
      </c>
      <c r="D77">
        <f ca="1"/>
        <v>1</v>
      </c>
      <c r="E77" s="11">
        <f ca="1"/>
        <v>102.6088363306626</v>
      </c>
      <c r="F77" s="10">
        <f ca="1"/>
        <v>-4.4177259630517378</v>
      </c>
      <c r="G77" s="7">
        <f ca="1"/>
        <v>4.3054049934017125E-2</v>
      </c>
      <c r="H77" s="10">
        <f ca="1"/>
        <v>39.838373330628855</v>
      </c>
      <c r="I77" s="7">
        <f ca="1"/>
        <v>-0.36550111466694446</v>
      </c>
      <c r="J77" s="7">
        <f ca="1"/>
        <v>2.3347292770936079</v>
      </c>
      <c r="K77">
        <f ca="1"/>
        <v>0</v>
      </c>
      <c r="L77">
        <f ca="1"/>
        <v>0</v>
      </c>
    </row>
    <row r="78" spans="2:12" x14ac:dyDescent="0.5">
      <c r="B78">
        <v>6.8000000000000005E-2</v>
      </c>
      <c r="C78">
        <f ca="1"/>
        <v>0.18328930110543595</v>
      </c>
      <c r="D78">
        <f ca="1"/>
        <v>1</v>
      </c>
      <c r="E78" s="11">
        <f ca="1"/>
        <v>103.59282246600688</v>
      </c>
      <c r="F78" s="10">
        <f ca="1"/>
        <v>-4.2923796670275181</v>
      </c>
      <c r="G78" s="7">
        <f ca="1"/>
        <v>4.1435106842812652E-2</v>
      </c>
      <c r="H78" s="10">
        <f ca="1"/>
        <v>35.545993663601337</v>
      </c>
      <c r="I78" s="7">
        <f ca="1"/>
        <v>-0.32406600782413181</v>
      </c>
      <c r="J78" s="7">
        <f ca="1"/>
        <v>1.9750812478084541</v>
      </c>
      <c r="K78">
        <f ca="1"/>
        <v>0</v>
      </c>
      <c r="L78">
        <f ca="1"/>
        <v>0</v>
      </c>
    </row>
    <row r="79" spans="2:12" x14ac:dyDescent="0.5">
      <c r="B79">
        <v>6.9000000000000006E-2</v>
      </c>
      <c r="C79">
        <f ca="1"/>
        <v>0.16677813765030156</v>
      </c>
      <c r="D79">
        <f ca="1"/>
        <v>1</v>
      </c>
      <c r="E79" s="11">
        <f ca="1"/>
        <v>103.24923406099222</v>
      </c>
      <c r="F79" s="10">
        <f ca="1"/>
        <v>1.4231851642373921</v>
      </c>
      <c r="G79" s="7">
        <f ca="1"/>
        <v>-1.3783977936307756E-2</v>
      </c>
      <c r="H79" s="10">
        <f ca="1"/>
        <v>36.969178827838732</v>
      </c>
      <c r="I79" s="7">
        <f ca="1"/>
        <v>-0.33784998576043956</v>
      </c>
      <c r="J79" s="7">
        <f ca="1"/>
        <v>2.0864265705562204</v>
      </c>
      <c r="K79">
        <f ca="1"/>
        <v>0</v>
      </c>
      <c r="L79">
        <f ca="1"/>
        <v>0</v>
      </c>
    </row>
    <row r="80" spans="2:12" x14ac:dyDescent="0.5">
      <c r="B80">
        <v>7.0000000000000007E-2</v>
      </c>
      <c r="C80">
        <f ca="1"/>
        <v>0.1713409393178138</v>
      </c>
      <c r="D80">
        <f ca="1"/>
        <v>1</v>
      </c>
      <c r="E80" s="11">
        <f ca="1"/>
        <v>103.34143137148983</v>
      </c>
      <c r="F80" s="10">
        <f ca="1"/>
        <v>-0.4312198627427879</v>
      </c>
      <c r="G80" s="7">
        <f ca="1"/>
        <v>4.1727684339173399E-3</v>
      </c>
      <c r="H80" s="10">
        <f ca="1"/>
        <v>36.537958965095946</v>
      </c>
      <c r="I80" s="7">
        <f ca="1"/>
        <v>-0.33367721732652222</v>
      </c>
      <c r="J80" s="7">
        <f ca="1"/>
        <v>2.0552777105174513</v>
      </c>
      <c r="K80">
        <f ca="1"/>
        <v>0</v>
      </c>
      <c r="L80">
        <f ca="1"/>
        <v>0</v>
      </c>
    </row>
    <row r="81" spans="2:12" x14ac:dyDescent="0.5">
      <c r="B81">
        <v>7.1000000000000008E-2</v>
      </c>
      <c r="C81">
        <f ca="1"/>
        <v>0.19244450639654956</v>
      </c>
      <c r="D81">
        <f ca="1"/>
        <v>1</v>
      </c>
      <c r="E81" s="11">
        <f ca="1"/>
        <v>103.77645216780451</v>
      </c>
      <c r="F81" s="10">
        <f ca="1"/>
        <v>-1.8888884968920607</v>
      </c>
      <c r="G81" s="7">
        <f ca="1"/>
        <v>1.820151351712973E-2</v>
      </c>
      <c r="H81" s="10">
        <f ca="1"/>
        <v>34.649070468203888</v>
      </c>
      <c r="I81" s="7">
        <f ca="1"/>
        <v>-0.31547570380939249</v>
      </c>
      <c r="J81" s="7">
        <f ca="1"/>
        <v>1.9101211817240085</v>
      </c>
      <c r="K81">
        <f ca="1"/>
        <v>0</v>
      </c>
      <c r="L81">
        <f ca="1"/>
        <v>0</v>
      </c>
    </row>
    <row r="82" spans="2:12" x14ac:dyDescent="0.5">
      <c r="B82">
        <v>7.2000000000000008E-2</v>
      </c>
      <c r="C82">
        <f ca="1"/>
        <v>0.14773258009660475</v>
      </c>
      <c r="D82">
        <f ca="1"/>
        <v>1</v>
      </c>
      <c r="E82" s="11">
        <f ca="1"/>
        <v>102.85052308701388</v>
      </c>
      <c r="F82" s="10">
        <f ca="1"/>
        <v>3.9339143931677083</v>
      </c>
      <c r="G82" s="7">
        <f ca="1"/>
        <v>-3.8248851586681065E-2</v>
      </c>
      <c r="H82" s="10">
        <f ca="1"/>
        <v>38.5829848613716</v>
      </c>
      <c r="I82" s="7">
        <f ca="1"/>
        <v>-0.35372455539607356</v>
      </c>
      <c r="J82" s="7">
        <f ca="1"/>
        <v>2.2022293101640145</v>
      </c>
      <c r="K82">
        <f ca="1"/>
        <v>0</v>
      </c>
      <c r="L82">
        <f ca="1"/>
        <v>0</v>
      </c>
    </row>
    <row r="83" spans="2:12" x14ac:dyDescent="0.5">
      <c r="B83">
        <v>7.2999999999999995E-2</v>
      </c>
      <c r="C83">
        <f ca="1"/>
        <v>0.16465094308531908</v>
      </c>
      <c r="D83">
        <f ca="1"/>
        <v>1</v>
      </c>
      <c r="E83" s="11">
        <f ca="1"/>
        <v>103.19706106660223</v>
      </c>
      <c r="F83" s="10">
        <f ca="1"/>
        <v>-1.5530298102501288</v>
      </c>
      <c r="G83" s="7">
        <f ca="1"/>
        <v>1.5049167042148814E-2</v>
      </c>
      <c r="H83" s="10">
        <f ca="1"/>
        <v>37.029955051121469</v>
      </c>
      <c r="I83" s="7">
        <f ca="1"/>
        <v>-0.33867538835392474</v>
      </c>
      <c r="J83" s="7">
        <f ca="1"/>
        <v>2.0796503174062693</v>
      </c>
      <c r="K83">
        <f ca="1"/>
        <v>0</v>
      </c>
      <c r="L83">
        <f ca="1"/>
        <v>0</v>
      </c>
    </row>
    <row r="84" spans="2:12" x14ac:dyDescent="0.5">
      <c r="B84">
        <v>7.3999999999999996E-2</v>
      </c>
      <c r="C84">
        <f ca="1"/>
        <v>0.1527666280861657</v>
      </c>
      <c r="D84">
        <f ca="1"/>
        <v>1</v>
      </c>
      <c r="E84" s="11">
        <f ca="1"/>
        <v>102.95000804364092</v>
      </c>
      <c r="F84" s="10">
        <f ca="1"/>
        <v>1.0463578273519147</v>
      </c>
      <c r="G84" s="7">
        <f ca="1"/>
        <v>-1.0163746921791006E-2</v>
      </c>
      <c r="H84" s="10">
        <f ca="1"/>
        <v>38.076312878473381</v>
      </c>
      <c r="I84" s="7">
        <f ca="1"/>
        <v>-0.34883913527571575</v>
      </c>
      <c r="J84" s="7">
        <f ca="1"/>
        <v>2.1633210959017006</v>
      </c>
      <c r="K84">
        <f ca="1"/>
        <v>0</v>
      </c>
      <c r="L84">
        <f ca="1"/>
        <v>0</v>
      </c>
    </row>
    <row r="85" spans="2:12" x14ac:dyDescent="0.5">
      <c r="B85">
        <v>7.4999999999999997E-2</v>
      </c>
      <c r="C85">
        <f ca="1"/>
        <v>0.18146692131252912</v>
      </c>
      <c r="D85">
        <f ca="1"/>
        <v>1</v>
      </c>
      <c r="E85" s="11">
        <f ca="1"/>
        <v>103.5405755573539</v>
      </c>
      <c r="F85" s="10">
        <f ca="1"/>
        <v>-2.6146894810229848</v>
      </c>
      <c r="G85" s="7">
        <f ca="1"/>
        <v>2.5252800334054915E-2</v>
      </c>
      <c r="H85" s="10">
        <f ca="1"/>
        <v>35.461623397450396</v>
      </c>
      <c r="I85" s="7">
        <f ca="1"/>
        <v>-0.32358633494166084</v>
      </c>
      <c r="J85" s="7">
        <f ca="1"/>
        <v>1.9573080350961334</v>
      </c>
      <c r="K85">
        <f ca="1"/>
        <v>0</v>
      </c>
      <c r="L85">
        <f ca="1"/>
        <v>0</v>
      </c>
    </row>
    <row r="86" spans="2:12" x14ac:dyDescent="0.5">
      <c r="B86">
        <v>7.5999999999999998E-2</v>
      </c>
      <c r="C86">
        <f ca="1"/>
        <v>0.17157908341308201</v>
      </c>
      <c r="D86">
        <f ca="1"/>
        <v>1</v>
      </c>
      <c r="E86" s="11">
        <f ca="1"/>
        <v>103.33395270068418</v>
      </c>
      <c r="F86" s="10">
        <f ca="1"/>
        <v>0.85344480871448669</v>
      </c>
      <c r="G86" s="7">
        <f ca="1"/>
        <v>-8.2590938061429253E-3</v>
      </c>
      <c r="H86" s="10">
        <f ca="1"/>
        <v>36.315068206164881</v>
      </c>
      <c r="I86" s="7">
        <f ca="1"/>
        <v>-0.33184542874780376</v>
      </c>
      <c r="J86" s="7">
        <f ca="1"/>
        <v>2.0241683680010638</v>
      </c>
      <c r="K86">
        <f ca="1"/>
        <v>0</v>
      </c>
      <c r="L86">
        <f ca="1"/>
        <v>0</v>
      </c>
    </row>
    <row r="87" spans="2:12" x14ac:dyDescent="0.5">
      <c r="B87">
        <v>7.6999999999999999E-2</v>
      </c>
      <c r="C87">
        <f ca="1"/>
        <v>0.16307186484647582</v>
      </c>
      <c r="D87">
        <f ca="1"/>
        <v>1</v>
      </c>
      <c r="E87" s="11">
        <f ca="1"/>
        <v>103.156222137905</v>
      </c>
      <c r="F87" s="10">
        <f ca="1"/>
        <v>0.73992924667631033</v>
      </c>
      <c r="G87" s="7">
        <f ca="1"/>
        <v>-7.1728998148762324E-3</v>
      </c>
      <c r="H87" s="10">
        <f ca="1"/>
        <v>37.054997452841192</v>
      </c>
      <c r="I87" s="7">
        <f ca="1"/>
        <v>-0.33901832856267999</v>
      </c>
      <c r="J87" s="7">
        <f ca="1"/>
        <v>2.0831474428081123</v>
      </c>
      <c r="K87">
        <f ca="1"/>
        <v>0</v>
      </c>
      <c r="L87">
        <f ca="1"/>
        <v>0</v>
      </c>
    </row>
    <row r="88" spans="2:12" x14ac:dyDescent="0.5">
      <c r="B88">
        <v>7.8E-2</v>
      </c>
      <c r="C88">
        <f ca="1"/>
        <v>0.22310718506106125</v>
      </c>
      <c r="D88">
        <f ca="1"/>
        <v>1</v>
      </c>
      <c r="E88" s="11">
        <f ca="1"/>
        <v>104.40020332460229</v>
      </c>
      <c r="F88" s="10">
        <f ca="1"/>
        <v>-5.375732624459606</v>
      </c>
      <c r="G88" s="7">
        <f ca="1"/>
        <v>5.1491591522531022E-2</v>
      </c>
      <c r="H88" s="10">
        <f ca="1"/>
        <v>31.679264828381587</v>
      </c>
      <c r="I88" s="7">
        <f ca="1"/>
        <v>-0.28752673704014897</v>
      </c>
      <c r="J88" s="7">
        <f ca="1"/>
        <v>1.6614150201305797</v>
      </c>
      <c r="K88">
        <f ca="1"/>
        <v>0</v>
      </c>
      <c r="L88">
        <f ca="1"/>
        <v>0</v>
      </c>
    </row>
    <row r="89" spans="2:12" x14ac:dyDescent="0.5">
      <c r="B89">
        <v>7.9000000000000001E-2</v>
      </c>
      <c r="C89">
        <f ca="1"/>
        <v>0.23137944636065094</v>
      </c>
      <c r="D89">
        <f ca="1"/>
        <v>1</v>
      </c>
      <c r="E89" s="11">
        <f ca="1"/>
        <v>104.57097999800375</v>
      </c>
      <c r="F89" s="10">
        <f ca="1"/>
        <v>-0.7497797657071652</v>
      </c>
      <c r="G89" s="7">
        <f ca="1"/>
        <v>7.1700558388329005E-3</v>
      </c>
      <c r="H89" s="10">
        <f ca="1"/>
        <v>30.929485062674424</v>
      </c>
      <c r="I89" s="7">
        <f ca="1"/>
        <v>-0.28035668120131607</v>
      </c>
      <c r="J89" s="7">
        <f ca="1"/>
        <v>1.6123121604648851</v>
      </c>
      <c r="K89">
        <f ca="1"/>
        <v>0</v>
      </c>
      <c r="L89">
        <f ca="1"/>
        <v>0</v>
      </c>
    </row>
    <row r="90" spans="2:12" x14ac:dyDescent="0.5">
      <c r="B90">
        <v>0.08</v>
      </c>
      <c r="C90">
        <f ca="1"/>
        <v>0.22721590010208023</v>
      </c>
      <c r="D90">
        <f ca="1"/>
        <v>1</v>
      </c>
      <c r="E90" s="11">
        <f ca="1"/>
        <v>104.48184936255804</v>
      </c>
      <c r="F90" s="10">
        <f ca="1"/>
        <v>0.31312278986733555</v>
      </c>
      <c r="G90" s="7">
        <f ca="1"/>
        <v>-2.9969108680377721E-3</v>
      </c>
      <c r="H90" s="10">
        <f ca="1"/>
        <v>31.242607852541759</v>
      </c>
      <c r="I90" s="7">
        <f ca="1"/>
        <v>-0.28335359206935384</v>
      </c>
      <c r="J90" s="7">
        <f ca="1"/>
        <v>1.6373005296118102</v>
      </c>
      <c r="K90">
        <f ca="1"/>
        <v>0</v>
      </c>
      <c r="L90">
        <f ca="1"/>
        <v>0</v>
      </c>
    </row>
    <row r="91" spans="2:12" x14ac:dyDescent="0.5">
      <c r="B91">
        <v>8.1000000000000003E-2</v>
      </c>
      <c r="C91">
        <f ca="1"/>
        <v>0.19432653211310247</v>
      </c>
      <c r="D91">
        <f ca="1"/>
        <v>1</v>
      </c>
      <c r="E91" s="11">
        <f ca="1"/>
        <v>103.79476048251442</v>
      </c>
      <c r="F91" s="10">
        <f ca="1"/>
        <v>2.8295274940435826</v>
      </c>
      <c r="G91" s="7">
        <f ca="1"/>
        <v>-2.7260793135316819E-2</v>
      </c>
      <c r="H91" s="10">
        <f ca="1"/>
        <v>34.072135346585341</v>
      </c>
      <c r="I91" s="7">
        <f ca="1"/>
        <v>-0.31061438520467066</v>
      </c>
      <c r="J91" s="7">
        <f ca="1"/>
        <v>1.8319896318430793</v>
      </c>
      <c r="K91">
        <f ca="1"/>
        <v>0</v>
      </c>
      <c r="L91">
        <f ca="1"/>
        <v>0</v>
      </c>
    </row>
    <row r="92" spans="2:12" x14ac:dyDescent="0.5">
      <c r="B92">
        <v>8.2000000000000003E-2</v>
      </c>
      <c r="C92">
        <f ca="1"/>
        <v>0.17767558573936437</v>
      </c>
      <c r="D92">
        <f ca="1"/>
        <v>1</v>
      </c>
      <c r="E92" s="11">
        <f ca="1"/>
        <v>103.44761022340272</v>
      </c>
      <c r="F92" s="10">
        <f ca="1"/>
        <v>1.4619611333573499</v>
      </c>
      <c r="G92" s="7">
        <f ca="1"/>
        <v>-1.413238189069943E-2</v>
      </c>
      <c r="H92" s="10">
        <f ca="1"/>
        <v>35.53409647994269</v>
      </c>
      <c r="I92" s="7">
        <f ca="1"/>
        <v>-0.32474676709537009</v>
      </c>
      <c r="J92" s="7">
        <f ca="1"/>
        <v>1.9398194961506974</v>
      </c>
      <c r="K92">
        <f ca="1"/>
        <v>0</v>
      </c>
      <c r="L92">
        <f ca="1"/>
        <v>0</v>
      </c>
    </row>
    <row r="93" spans="2:12" x14ac:dyDescent="0.5">
      <c r="B93">
        <v>8.3000000000000004E-2</v>
      </c>
      <c r="C93">
        <f ca="1"/>
        <v>0.1843339331799019</v>
      </c>
      <c r="D93">
        <f ca="1"/>
        <v>1</v>
      </c>
      <c r="E93" s="11">
        <f ca="1"/>
        <v>103.58338832588056</v>
      </c>
      <c r="F93" s="10">
        <f ca="1"/>
        <v>-0.63711460199683501</v>
      </c>
      <c r="G93" s="7">
        <f ca="1"/>
        <v>6.1507410820780262E-3</v>
      </c>
      <c r="H93" s="10">
        <f ca="1"/>
        <v>34.896981877945855</v>
      </c>
      <c r="I93" s="7">
        <f ca="1"/>
        <v>-0.31859602601329207</v>
      </c>
      <c r="J93" s="7">
        <f ca="1"/>
        <v>1.8957259963286788</v>
      </c>
      <c r="K93">
        <f ca="1"/>
        <v>0</v>
      </c>
      <c r="L93">
        <f ca="1"/>
        <v>0</v>
      </c>
    </row>
    <row r="94" spans="2:12" x14ac:dyDescent="0.5">
      <c r="B94">
        <v>8.4000000000000005E-2</v>
      </c>
      <c r="C94">
        <f ca="1"/>
        <v>0.20103743120058176</v>
      </c>
      <c r="D94">
        <f ca="1"/>
        <v>1</v>
      </c>
      <c r="E94" s="11">
        <f ca="1"/>
        <v>103.92792938456219</v>
      </c>
      <c r="F94" s="10">
        <f ca="1"/>
        <v>-1.5395654280420135</v>
      </c>
      <c r="G94" s="7">
        <f ca="1"/>
        <v>1.4813779483137723E-2</v>
      </c>
      <c r="H94" s="10">
        <f ca="1"/>
        <v>33.357416449903845</v>
      </c>
      <c r="I94" s="7">
        <f ca="1"/>
        <v>-0.30378224653015434</v>
      </c>
      <c r="J94" s="7">
        <f ca="1"/>
        <v>1.7859565842343024</v>
      </c>
      <c r="K94">
        <f ca="1"/>
        <v>0</v>
      </c>
      <c r="L94">
        <f ca="1"/>
        <v>0</v>
      </c>
    </row>
    <row r="95" spans="2:12" x14ac:dyDescent="0.5">
      <c r="B95">
        <v>8.5000000000000006E-2</v>
      </c>
      <c r="C95">
        <f ca="1"/>
        <v>0.22996178082768218</v>
      </c>
      <c r="D95">
        <f ca="1"/>
        <v>1</v>
      </c>
      <c r="E95" s="11">
        <f ca="1"/>
        <v>104.52879065855572</v>
      </c>
      <c r="F95" s="10">
        <f ca="1"/>
        <v>-2.5906915740830017</v>
      </c>
      <c r="G95" s="7">
        <f ca="1"/>
        <v>2.4784478589688463E-2</v>
      </c>
      <c r="H95" s="10">
        <f ca="1"/>
        <v>30.766724875820842</v>
      </c>
      <c r="I95" s="7">
        <f ca="1"/>
        <v>-0.27899776794046588</v>
      </c>
      <c r="J95" s="7">
        <f ca="1"/>
        <v>1.6034255965675754</v>
      </c>
      <c r="K95">
        <f ca="1"/>
        <v>0</v>
      </c>
      <c r="L95">
        <f ca="1"/>
        <v>0</v>
      </c>
    </row>
    <row r="96" spans="2:12" x14ac:dyDescent="0.5">
      <c r="B96">
        <v>8.6000000000000007E-2</v>
      </c>
      <c r="C96">
        <f ca="1"/>
        <v>0.2287833460710538</v>
      </c>
      <c r="D96">
        <f ca="1"/>
        <v>1</v>
      </c>
      <c r="E96" s="11">
        <f ca="1"/>
        <v>104.50206742728282</v>
      </c>
      <c r="F96" s="10">
        <f ca="1"/>
        <v>5.6932641154292793E-2</v>
      </c>
      <c r="G96" s="7">
        <f ca="1"/>
        <v>-5.4479918489563905E-4</v>
      </c>
      <c r="H96" s="10">
        <f ca="1"/>
        <v>30.823657516975135</v>
      </c>
      <c r="I96" s="7">
        <f ca="1"/>
        <v>-0.27954256712536152</v>
      </c>
      <c r="J96" s="7">
        <f ca="1"/>
        <v>1.6108813184448714</v>
      </c>
      <c r="K96">
        <f ca="1"/>
        <v>0</v>
      </c>
      <c r="L96">
        <f ca="1"/>
        <v>0</v>
      </c>
    </row>
    <row r="97" spans="2:12" x14ac:dyDescent="0.5">
      <c r="B97">
        <v>8.7000000000000008E-2</v>
      </c>
      <c r="C97">
        <f ca="1"/>
        <v>0.25537599425768071</v>
      </c>
      <c r="D97">
        <f ca="1"/>
        <v>1</v>
      </c>
      <c r="E97" s="11">
        <f ca="1"/>
        <v>105.05724424025198</v>
      </c>
      <c r="F97" s="10">
        <f ca="1"/>
        <v>-2.3255570585363534</v>
      </c>
      <c r="G97" s="7">
        <f ca="1"/>
        <v>2.2136094234664228E-2</v>
      </c>
      <c r="H97" s="10">
        <f ca="1"/>
        <v>28.498100458438781</v>
      </c>
      <c r="I97" s="7">
        <f ca="1"/>
        <v>-0.25740647289069729</v>
      </c>
      <c r="J97" s="7">
        <f ca="1"/>
        <v>1.4556857669389984</v>
      </c>
      <c r="K97">
        <f ca="1"/>
        <v>0</v>
      </c>
      <c r="L97">
        <f ca="1"/>
        <v>0</v>
      </c>
    </row>
    <row r="98" spans="2:12" x14ac:dyDescent="0.5">
      <c r="B98">
        <v>8.7999999999999995E-2</v>
      </c>
      <c r="C98">
        <f ca="1"/>
        <v>0.2395354059442053</v>
      </c>
      <c r="D98">
        <f ca="1"/>
        <v>1</v>
      </c>
      <c r="E98" s="11">
        <f ca="1"/>
        <v>104.72284272322764</v>
      </c>
      <c r="F98" s="10">
        <f ca="1"/>
        <v>1.2944944958672919</v>
      </c>
      <c r="G98" s="7">
        <f ca="1"/>
        <v>-1.2361147407815465E-2</v>
      </c>
      <c r="H98" s="10">
        <f ca="1"/>
        <v>29.792594954306072</v>
      </c>
      <c r="I98" s="7">
        <f ca="1"/>
        <v>-0.26976762029851276</v>
      </c>
      <c r="J98" s="7">
        <f ca="1"/>
        <v>1.5417628819655285</v>
      </c>
      <c r="K98">
        <f ca="1"/>
        <v>0</v>
      </c>
      <c r="L98">
        <f ca="1"/>
        <v>0</v>
      </c>
    </row>
    <row r="99" spans="2:12" x14ac:dyDescent="0.5">
      <c r="B99">
        <v>8.8999999999999996E-2</v>
      </c>
      <c r="C99">
        <f ca="1"/>
        <v>0.20913038403073644</v>
      </c>
      <c r="D99">
        <f ca="1"/>
        <v>1</v>
      </c>
      <c r="E99" s="11">
        <f ca="1"/>
        <v>104.08587325335419</v>
      </c>
      <c r="F99" s="10">
        <f ca="1"/>
        <v>2.6152836192389941</v>
      </c>
      <c r="G99" s="7">
        <f ca="1"/>
        <v>-2.5126211055300107E-2</v>
      </c>
      <c r="H99" s="10">
        <f ca="1"/>
        <v>32.407878573545062</v>
      </c>
      <c r="I99" s="7">
        <f ca="1"/>
        <v>-0.29489383135381286</v>
      </c>
      <c r="J99">
        <f ca="1"/>
        <v>1.7135966200560908</v>
      </c>
      <c r="K99">
        <f ca="1"/>
        <v>0</v>
      </c>
      <c r="L99">
        <f ca="1"/>
        <v>0</v>
      </c>
    </row>
    <row r="100" spans="2:12" x14ac:dyDescent="0.5">
      <c r="B100">
        <v>0.09</v>
      </c>
      <c r="C100">
        <f ca="1"/>
        <v>0.24420568020242614</v>
      </c>
      <c r="D100">
        <f ca="1"/>
        <v>1</v>
      </c>
      <c r="E100" s="11">
        <f ca="1"/>
        <v>104.81651255558691</v>
      </c>
      <c r="F100" s="10">
        <f ca="1"/>
        <v>-3.1336481925732569</v>
      </c>
      <c r="G100" s="7">
        <f ca="1"/>
        <v>2.9896512640710138E-2</v>
      </c>
      <c r="H100" s="10">
        <f ca="1"/>
        <v>29.274230380971805</v>
      </c>
      <c r="I100" s="7">
        <f ca="1"/>
        <v>-0.26499731871310273</v>
      </c>
      <c r="J100">
        <f ca="1"/>
        <v>1.4981355968830066</v>
      </c>
      <c r="K100">
        <f ca="1"/>
        <v>0</v>
      </c>
      <c r="L100">
        <f ca="1"/>
        <v>0</v>
      </c>
    </row>
    <row r="101" spans="2:12" x14ac:dyDescent="0.5">
      <c r="B101">
        <v>9.0999999999999998E-2</v>
      </c>
      <c r="C101">
        <f ca="1"/>
        <v>0.2147247819385682</v>
      </c>
      <c r="D101">
        <f ca="1"/>
        <v>1</v>
      </c>
      <c r="E101" s="11">
        <f ca="1"/>
        <v>104.19822997552501</v>
      </c>
      <c r="F101" s="10">
        <f ca="1"/>
        <v>2.5280238460795323</v>
      </c>
      <c r="G101" s="7">
        <f ca="1"/>
        <v>-2.4261677445704566E-2</v>
      </c>
      <c r="H101" s="10">
        <f ca="1"/>
        <v>31.802254227051336</v>
      </c>
      <c r="I101" s="7">
        <f ca="1"/>
        <v>-0.28925899615880729</v>
      </c>
      <c r="J101">
        <f ca="1"/>
        <v>1.6619788228064287</v>
      </c>
      <c r="K101">
        <f ca="1"/>
        <v>0</v>
      </c>
      <c r="L101">
        <f ca="1"/>
        <v>0</v>
      </c>
    </row>
    <row r="102" spans="2:12" x14ac:dyDescent="0.5">
      <c r="B102">
        <v>9.1999999999999998E-2</v>
      </c>
      <c r="C102">
        <f ca="1"/>
        <v>0.23841147992018957</v>
      </c>
      <c r="D102">
        <f ca="1"/>
        <v>1</v>
      </c>
      <c r="E102" s="11">
        <f ca="1"/>
        <v>104.69092961372954</v>
      </c>
      <c r="F102" s="10">
        <f ca="1"/>
        <v>-2.1400396339589771</v>
      </c>
      <c r="G102" s="7">
        <f ca="1"/>
        <v>2.0441499964275078E-2</v>
      </c>
      <c r="H102" s="10">
        <f ca="1"/>
        <v>29.662214593092358</v>
      </c>
      <c r="I102" s="7">
        <f ca="1"/>
        <v>-0.26881749619453221</v>
      </c>
      <c r="J102">
        <f ca="1"/>
        <v>1.5194610200515797</v>
      </c>
      <c r="K102">
        <f ca="1"/>
        <v>0</v>
      </c>
      <c r="L102">
        <f ca="1"/>
        <v>0</v>
      </c>
    </row>
    <row r="103" spans="2:12" x14ac:dyDescent="0.5">
      <c r="B103">
        <v>9.2999999999999999E-2</v>
      </c>
      <c r="C103">
        <f ca="1"/>
        <v>0.23227854737860276</v>
      </c>
      <c r="D103">
        <f ca="1"/>
        <v>1</v>
      </c>
      <c r="E103" s="11">
        <f ca="1"/>
        <v>104.56050462323641</v>
      </c>
      <c r="F103" s="10">
        <f ca="1"/>
        <v>0.48582336333290016</v>
      </c>
      <c r="G103" s="7">
        <f ca="1"/>
        <v>-4.646337210053364E-3</v>
      </c>
      <c r="H103" s="10">
        <f ca="1"/>
        <v>30.148037956425259</v>
      </c>
      <c r="I103" s="7">
        <f ca="1"/>
        <v>-0.27346383340458558</v>
      </c>
      <c r="J103">
        <f ca="1"/>
        <v>1.5545215394371361</v>
      </c>
      <c r="K103">
        <f ca="1"/>
        <v>0</v>
      </c>
      <c r="L103">
        <f ca="1"/>
        <v>0</v>
      </c>
    </row>
    <row r="104" spans="2:12" x14ac:dyDescent="0.5">
      <c r="B104">
        <v>9.4E-2</v>
      </c>
      <c r="C104">
        <f ca="1"/>
        <v>0.22840124498726816</v>
      </c>
      <c r="D104">
        <f ca="1"/>
        <v>1</v>
      </c>
      <c r="E104" s="11">
        <f ca="1"/>
        <v>104.47736394616634</v>
      </c>
      <c r="F104" s="10">
        <f ca="1"/>
        <v>0.29260490308048637</v>
      </c>
      <c r="G104" s="7">
        <f ca="1"/>
        <v>-2.8006535772787666E-3</v>
      </c>
      <c r="H104" s="10">
        <f ca="1"/>
        <v>30.440642859505747</v>
      </c>
      <c r="I104" s="7">
        <f ca="1"/>
        <v>-0.27626448698186434</v>
      </c>
      <c r="J104">
        <f ca="1"/>
        <v>1.5772575077005762</v>
      </c>
      <c r="K104">
        <f ca="1"/>
        <v>0</v>
      </c>
      <c r="L104">
        <f ca="1"/>
        <v>0</v>
      </c>
    </row>
    <row r="105" spans="2:12" x14ac:dyDescent="0.5">
      <c r="B105">
        <v>9.5000000000000001E-2</v>
      </c>
      <c r="C105">
        <f ca="1"/>
        <v>0.24474067185603035</v>
      </c>
      <c r="D105">
        <f ca="1"/>
        <v>1</v>
      </c>
      <c r="E105" s="11">
        <f ca="1"/>
        <v>104.81724609877357</v>
      </c>
      <c r="F105" s="10">
        <f ca="1"/>
        <v>-1.4845910573872714</v>
      </c>
      <c r="G105" s="7">
        <f ca="1"/>
        <v>1.4163614411203673E-2</v>
      </c>
      <c r="H105" s="10">
        <f ca="1"/>
        <v>28.956051802118477</v>
      </c>
      <c r="I105" s="7">
        <f ca="1"/>
        <v>-0.26210087257066067</v>
      </c>
      <c r="J105">
        <f ca="1"/>
        <v>1.4833601391762485</v>
      </c>
      <c r="K105">
        <f ca="1"/>
        <v>0</v>
      </c>
      <c r="L105">
        <f ca="1"/>
        <v>0</v>
      </c>
    </row>
    <row r="106" spans="2:12" x14ac:dyDescent="0.5">
      <c r="B106">
        <v>9.6000000000000002E-2</v>
      </c>
      <c r="C106">
        <f ca="1"/>
        <v>0.22859076434785289</v>
      </c>
      <c r="D106">
        <f ca="1"/>
        <v>1</v>
      </c>
      <c r="E106" s="11">
        <f ca="1"/>
        <v>104.47714494848015</v>
      </c>
      <c r="F106" s="10">
        <f ca="1"/>
        <v>1.3643004257313964</v>
      </c>
      <c r="G106" s="7">
        <f ca="1"/>
        <v>-1.3058362442849691E-2</v>
      </c>
      <c r="H106" s="10">
        <f ca="1"/>
        <v>30.320352227849874</v>
      </c>
      <c r="I106" s="7">
        <f ca="1"/>
        <v>-0.27515923501351036</v>
      </c>
      <c r="J106">
        <f ca="1"/>
        <v>1.5725009474304379</v>
      </c>
      <c r="K106">
        <f ca="1"/>
        <v>0</v>
      </c>
      <c r="L106">
        <f ca="1"/>
        <v>0</v>
      </c>
    </row>
    <row r="107" spans="2:12" x14ac:dyDescent="0.5">
      <c r="B107">
        <v>9.7000000000000003E-2</v>
      </c>
      <c r="C107">
        <f ca="1"/>
        <v>0.16183962705456861</v>
      </c>
      <c r="D107">
        <f ca="1"/>
        <v>1</v>
      </c>
      <c r="E107" s="11">
        <f ca="1"/>
        <v>103.08955859953446</v>
      </c>
      <c r="F107" s="10">
        <f ca="1"/>
        <v>6.0968870742577073</v>
      </c>
      <c r="G107" s="7">
        <f ca="1"/>
        <v>-5.9141654664968568E-2</v>
      </c>
      <c r="H107" s="10">
        <f ca="1"/>
        <v>36.417239302107582</v>
      </c>
      <c r="I107" s="7">
        <f ca="1"/>
        <v>-0.33430088967847893</v>
      </c>
      <c r="J107">
        <f ca="1"/>
        <v>1.9543081457215266</v>
      </c>
      <c r="K107">
        <f ca="1"/>
        <v>0</v>
      </c>
      <c r="L107">
        <f ca="1"/>
        <v>0</v>
      </c>
    </row>
    <row r="108" spans="2:12" x14ac:dyDescent="0.5">
      <c r="B108">
        <v>9.8000000000000004E-2</v>
      </c>
      <c r="C108">
        <f ca="1"/>
        <v>0.16521105770882019</v>
      </c>
      <c r="D108">
        <f ca="1"/>
        <v>1</v>
      </c>
      <c r="E108" s="11">
        <f ca="1"/>
        <v>103.15703073859699</v>
      </c>
      <c r="F108" s="10">
        <f ca="1"/>
        <v>-0.35751144323407957</v>
      </c>
      <c r="G108" s="7">
        <f ca="1"/>
        <v>3.4657011807563975E-3</v>
      </c>
      <c r="H108" s="10">
        <f ca="1"/>
        <v>36.059727858873501</v>
      </c>
      <c r="I108" s="7">
        <f ca="1"/>
        <v>-0.33083518849772253</v>
      </c>
      <c r="J108">
        <f ca="1"/>
        <v>1.9317521496044066</v>
      </c>
      <c r="K108">
        <f ca="1"/>
        <v>0</v>
      </c>
      <c r="L108">
        <f ca="1"/>
        <v>0</v>
      </c>
    </row>
    <row r="109" spans="2:12" x14ac:dyDescent="0.5">
      <c r="B109">
        <v>9.9000000000000005E-2</v>
      </c>
      <c r="C109">
        <f ca="1"/>
        <v>0.15735486017670736</v>
      </c>
      <c r="D109">
        <f ca="1"/>
        <v>1</v>
      </c>
      <c r="E109" s="11">
        <f ca="1"/>
        <v>102.993013725704</v>
      </c>
      <c r="F109" s="10">
        <f ca="1"/>
        <v>0.72305114707578855</v>
      </c>
      <c r="G109" s="7">
        <f ca="1"/>
        <v>-7.0203902276464447E-3</v>
      </c>
      <c r="H109" s="10">
        <f ca="1"/>
        <v>36.782779005949287</v>
      </c>
      <c r="I109" s="7">
        <f ca="1"/>
        <v>-0.33785557872536898</v>
      </c>
      <c r="J109">
        <f ca="1"/>
        <v>1.9860147489816882</v>
      </c>
      <c r="K109">
        <f ca="1"/>
        <v>0</v>
      </c>
      <c r="L109">
        <f ca="1"/>
        <v>0</v>
      </c>
    </row>
    <row r="110" spans="2:12" x14ac:dyDescent="0.5">
      <c r="B110">
        <v>0.1</v>
      </c>
      <c r="C110">
        <f ca="1"/>
        <v>0.13686124865431915</v>
      </c>
      <c r="D110">
        <f ca="1"/>
        <v>1</v>
      </c>
      <c r="E110" s="11">
        <f ca="1"/>
        <v>102.56968648497977</v>
      </c>
      <c r="F110" s="10">
        <f ca="1"/>
        <v>1.9714859886029619</v>
      </c>
      <c r="G110" s="7">
        <f ca="1"/>
        <v>-1.9220941938743907E-2</v>
      </c>
      <c r="H110" s="10">
        <f ca="1"/>
        <v>38.754264994552251</v>
      </c>
      <c r="I110" s="7">
        <f ca="1"/>
        <v>-0.35707652066411288</v>
      </c>
      <c r="J110">
        <f ca="1"/>
        <v>2.1290382188867909</v>
      </c>
      <c r="K110">
        <f ca="1"/>
        <v>0</v>
      </c>
      <c r="L110">
        <f ca="1"/>
        <v>0</v>
      </c>
    </row>
    <row r="111" spans="2:12" x14ac:dyDescent="0.5">
      <c r="B111">
        <v>0.10100000000000001</v>
      </c>
      <c r="C111">
        <f ca="1"/>
        <v>0.18315548569146783</v>
      </c>
      <c r="D111">
        <f ca="1"/>
        <v>1</v>
      </c>
      <c r="E111">
        <f ca="1"/>
        <v>103.52170316374571</v>
      </c>
      <c r="F111" s="10">
        <f ca="1"/>
        <v>-4.5467456469501375</v>
      </c>
      <c r="G111" s="7">
        <f ca="1"/>
        <v>4.3920699795272022E-2</v>
      </c>
      <c r="H111" s="10">
        <f ca="1"/>
        <v>34.207519347602116</v>
      </c>
      <c r="I111" s="7">
        <f ca="1"/>
        <v>-0.31315582086884086</v>
      </c>
      <c r="J111">
        <f ca="1"/>
        <v>1.7890954156188457</v>
      </c>
      <c r="K111">
        <f ca="1"/>
        <v>0</v>
      </c>
      <c r="L111">
        <f ca="1"/>
        <v>0</v>
      </c>
    </row>
    <row r="112" spans="2:12" x14ac:dyDescent="0.5">
      <c r="B112">
        <v>0.10200000000000001</v>
      </c>
      <c r="C112">
        <f ca="1"/>
        <v>0.16951875039985967</v>
      </c>
      <c r="D112">
        <f ca="1"/>
        <v>1</v>
      </c>
      <c r="E112">
        <f ca="1"/>
        <v>103.23768344610062</v>
      </c>
      <c r="F112" s="10">
        <f ca="1"/>
        <v>1.2659549933466454</v>
      </c>
      <c r="G112" s="7">
        <f ca="1"/>
        <v>-1.2262528091378455E-2</v>
      </c>
      <c r="H112" s="10">
        <f ca="1"/>
        <v>35.473474340948762</v>
      </c>
      <c r="I112" s="7">
        <f ca="1"/>
        <v>-0.32541834896021932</v>
      </c>
      <c r="J112">
        <f ca="1"/>
        <v>1.8780378434409357</v>
      </c>
      <c r="K112">
        <f ca="1"/>
        <v>0</v>
      </c>
      <c r="L112">
        <f ca="1"/>
        <v>0</v>
      </c>
    </row>
    <row r="113" spans="2:12" x14ac:dyDescent="0.5">
      <c r="B113">
        <v>0.10300000000000001</v>
      </c>
      <c r="C113">
        <f ca="1"/>
        <v>0.13738596330365019</v>
      </c>
      <c r="D113">
        <f ca="1"/>
        <v>1</v>
      </c>
      <c r="E113">
        <f ca="1"/>
        <v>102.57429637079598</v>
      </c>
      <c r="F113" s="10">
        <f ca="1"/>
        <v>3.1126146918072757</v>
      </c>
      <c r="G113" s="7">
        <f ca="1"/>
        <v>-3.0344977269505025E-2</v>
      </c>
      <c r="H113" s="10">
        <f ca="1"/>
        <v>38.586089032756036</v>
      </c>
      <c r="I113" s="7">
        <f ca="1"/>
        <v>-0.35576332622972434</v>
      </c>
      <c r="J113">
        <f ca="1"/>
        <v>2.0939161702081179</v>
      </c>
      <c r="K113">
        <f ca="1"/>
        <v>0</v>
      </c>
      <c r="L113">
        <f ca="1"/>
        <v>0</v>
      </c>
    </row>
    <row r="114" spans="2:12" x14ac:dyDescent="0.5">
      <c r="B114">
        <v>0.10400000000000001</v>
      </c>
      <c r="C114">
        <f ca="1"/>
        <v>0.17203254226292841</v>
      </c>
      <c r="D114">
        <f ca="1"/>
        <v>1</v>
      </c>
      <c r="E114">
        <f ca="1"/>
        <v>103.2854686041228</v>
      </c>
      <c r="F114" s="10">
        <f ca="1"/>
        <v>-3.4542305068558083</v>
      </c>
      <c r="G114" s="7">
        <f ca="1"/>
        <v>3.3443528441501669E-2</v>
      </c>
      <c r="H114" s="10">
        <f ca="1"/>
        <v>35.131858525900228</v>
      </c>
      <c r="I114" s="7">
        <f ca="1"/>
        <v>-0.32231979778822267</v>
      </c>
      <c r="J114">
        <f ca="1"/>
        <v>1.8409071709575429</v>
      </c>
      <c r="K114">
        <f ca="1"/>
        <v>0</v>
      </c>
      <c r="L114">
        <f ca="1"/>
        <v>0</v>
      </c>
    </row>
    <row r="115" spans="2:12" x14ac:dyDescent="0.5">
      <c r="B115">
        <v>0.105</v>
      </c>
      <c r="C115">
        <f ca="1"/>
        <v>0.13721808331077115</v>
      </c>
      <c r="D115">
        <f ca="1"/>
        <v>1</v>
      </c>
      <c r="E115">
        <f ca="1"/>
        <v>102.56674964214474</v>
      </c>
      <c r="F115" s="10">
        <f ca="1"/>
        <v>3.3900647198574512</v>
      </c>
      <c r="G115" s="7">
        <f ca="1"/>
        <v>-3.3052277972007327E-2</v>
      </c>
      <c r="H115" s="10">
        <f ca="1"/>
        <v>38.521923245757677</v>
      </c>
      <c r="I115" s="7">
        <f ca="1"/>
        <v>-0.35537207576023</v>
      </c>
      <c r="J115">
        <f ca="1"/>
        <v>2.072564521448875</v>
      </c>
      <c r="K115">
        <f ca="1"/>
        <v>0</v>
      </c>
      <c r="L115">
        <f ca="1"/>
        <v>0</v>
      </c>
    </row>
    <row r="116" spans="2:12" x14ac:dyDescent="0.5">
      <c r="B116">
        <v>0.106</v>
      </c>
      <c r="C116">
        <f ca="1"/>
        <v>6.8051003336636454E-2</v>
      </c>
      <c r="D116">
        <f ca="1"/>
        <v>1</v>
      </c>
      <c r="E116">
        <f ca="1"/>
        <v>101.15564665826969</v>
      </c>
      <c r="F116" s="10">
        <f ca="1"/>
        <v>7.0343153977012554</v>
      </c>
      <c r="G116" s="7">
        <f ca="1"/>
        <v>-6.9539522805533716E-2</v>
      </c>
      <c r="H116" s="10">
        <f ca="1"/>
        <v>45.556238643458933</v>
      </c>
      <c r="I116" s="7">
        <f ca="1"/>
        <v>-0.42491159856576372</v>
      </c>
      <c r="J116">
        <f ca="1"/>
        <v>2.5740311179400024</v>
      </c>
      <c r="K116">
        <f ca="1"/>
        <v>0</v>
      </c>
      <c r="L116">
        <f ca="1"/>
        <v>0</v>
      </c>
    </row>
    <row r="117" spans="2:12" x14ac:dyDescent="0.5">
      <c r="B117">
        <v>0.107</v>
      </c>
      <c r="C117">
        <f ca="1"/>
        <v>4.9189438773340241E-2</v>
      </c>
      <c r="D117">
        <f ca="1"/>
        <v>1</v>
      </c>
      <c r="E117">
        <f ca="1"/>
        <v>100.77275926653786</v>
      </c>
      <c r="F117" s="10">
        <f ca="1"/>
        <v>1.9728518384168461</v>
      </c>
      <c r="G117" s="7">
        <f ca="1"/>
        <v>-1.9577233498179525E-2</v>
      </c>
      <c r="H117" s="10">
        <f ca="1"/>
        <v>47.529090481875777</v>
      </c>
      <c r="I117" s="7">
        <f ca="1"/>
        <v>-0.44448883206394324</v>
      </c>
      <c r="J117">
        <f ca="1"/>
        <v>2.7367244116314495</v>
      </c>
      <c r="K117">
        <f ca="1"/>
        <v>0</v>
      </c>
      <c r="L117">
        <f ca="1"/>
        <v>0</v>
      </c>
    </row>
    <row r="118" spans="2:12" x14ac:dyDescent="0.5">
      <c r="B118">
        <v>0.108</v>
      </c>
      <c r="C118">
        <f ca="1"/>
        <v>2.0383540281511781E-2</v>
      </c>
      <c r="D118">
        <f ca="1"/>
        <v>1</v>
      </c>
      <c r="E118">
        <f ca="1"/>
        <v>100.19185461153421</v>
      </c>
      <c r="F118" s="10">
        <f ca="1"/>
        <v>3.040687301063838</v>
      </c>
      <c r="G118" s="7">
        <f ca="1"/>
        <v>-3.0348647730429279E-2</v>
      </c>
      <c r="H118" s="10">
        <f ca="1"/>
        <v>50.569777782939617</v>
      </c>
      <c r="I118" s="7">
        <f ca="1"/>
        <v>-0.47483747979437252</v>
      </c>
      <c r="J118">
        <f ca="1"/>
        <v>2.9949300432745289</v>
      </c>
      <c r="K118">
        <f ca="1"/>
        <v>0</v>
      </c>
      <c r="L118">
        <f ca="1"/>
        <v>0</v>
      </c>
    </row>
    <row r="119" spans="2:12" x14ac:dyDescent="0.5">
      <c r="B119">
        <v>0.109</v>
      </c>
      <c r="C119">
        <f ca="1"/>
        <v>1.0192506618799826E-2</v>
      </c>
      <c r="D119">
        <f ca="1"/>
        <v>1</v>
      </c>
      <c r="E119">
        <f ca="1"/>
        <v>99.985851133422557</v>
      </c>
      <c r="F119" s="10">
        <f ca="1"/>
        <v>1.0935381927736436</v>
      </c>
      <c r="G119" s="7">
        <f ca="1"/>
        <v>-1.0936929379281979E-2</v>
      </c>
      <c r="H119" s="10">
        <f ca="1"/>
        <v>51.66331597571326</v>
      </c>
      <c r="I119" s="7">
        <f ca="1"/>
        <v>-0.4857744091736545</v>
      </c>
      <c r="J119">
        <f ca="1"/>
        <v>3.092748215649948</v>
      </c>
      <c r="K119">
        <f ca="1"/>
        <v>0</v>
      </c>
      <c r="L119">
        <f ca="1"/>
        <v>1.4148866577443187E-2</v>
      </c>
    </row>
    <row r="120" spans="2:12" x14ac:dyDescent="0.5">
      <c r="B120">
        <v>0.11</v>
      </c>
      <c r="C120">
        <f ca="1"/>
        <v>3.1104004773254042E-2</v>
      </c>
      <c r="D120">
        <f ca="1"/>
        <v>1</v>
      </c>
      <c r="E120">
        <f ca="1"/>
        <v>100.40288952196494</v>
      </c>
      <c r="F120" s="10">
        <f ca="1"/>
        <v>-2.2175414626668095</v>
      </c>
      <c r="G120" s="7">
        <f ca="1"/>
        <v>2.2086430711555194E-2</v>
      </c>
      <c r="H120" s="10">
        <f ca="1"/>
        <v>49.445774513046452</v>
      </c>
      <c r="I120" s="7">
        <f ca="1"/>
        <v>-0.4636879784620993</v>
      </c>
      <c r="J120">
        <f ca="1"/>
        <v>2.8901616388530371</v>
      </c>
      <c r="K120">
        <f ca="1"/>
        <v>0</v>
      </c>
      <c r="L120">
        <f ca="1"/>
        <v>0</v>
      </c>
    </row>
    <row r="121" spans="2:12" x14ac:dyDescent="0.5">
      <c r="B121">
        <v>0.111</v>
      </c>
      <c r="C121">
        <f ca="1"/>
        <v>1.191886605478229E-2</v>
      </c>
      <c r="D121">
        <f ca="1"/>
        <v>1</v>
      </c>
      <c r="E121">
        <f ca="1"/>
        <v>100.01637866225208</v>
      </c>
      <c r="F121" s="10">
        <f ca="1"/>
        <v>2.0569608695761645</v>
      </c>
      <c r="G121" s="7">
        <f ca="1"/>
        <v>-2.0566240220737941E-2</v>
      </c>
      <c r="H121" s="10">
        <f ca="1"/>
        <v>51.502735382622618</v>
      </c>
      <c r="I121" s="7">
        <f ca="1"/>
        <v>-0.48425421868283725</v>
      </c>
      <c r="J121">
        <f ca="1"/>
        <v>3.0693820780469423</v>
      </c>
      <c r="K121">
        <f ca="1"/>
        <v>0</v>
      </c>
      <c r="L121">
        <f ca="1"/>
        <v>0</v>
      </c>
    </row>
    <row r="122" spans="2:12" x14ac:dyDescent="0.5">
      <c r="B122">
        <v>0.112</v>
      </c>
      <c r="C122">
        <f ca="1"/>
        <v>-3.8518231700599259E-2</v>
      </c>
      <c r="D122">
        <f ca="1"/>
        <v>1</v>
      </c>
      <c r="E122">
        <f ca="1"/>
        <v>99.010562825286115</v>
      </c>
      <c r="F122" s="10">
        <f ca="1"/>
        <v>5.372208820153225</v>
      </c>
      <c r="G122" s="7">
        <f ca="1"/>
        <v>-5.4258946387700235E-2</v>
      </c>
      <c r="H122" s="10">
        <f ca="1"/>
        <v>56.874944202775843</v>
      </c>
      <c r="I122" s="7">
        <f ca="1"/>
        <v>-0.53851316507053748</v>
      </c>
      <c r="J122">
        <f ca="1"/>
        <v>3.5564526403157188</v>
      </c>
      <c r="K122">
        <f ca="1"/>
        <v>0</v>
      </c>
      <c r="L122">
        <f ca="1"/>
        <v>0.98943717471388481</v>
      </c>
    </row>
    <row r="123" spans="2:12" x14ac:dyDescent="0.5">
      <c r="B123">
        <v>0.113</v>
      </c>
      <c r="C123">
        <f ca="1"/>
        <v>-8.4327059638180851E-2</v>
      </c>
      <c r="D123">
        <f ca="1"/>
        <v>1</v>
      </c>
      <c r="E123">
        <f ca="1"/>
        <v>98.105631836337665</v>
      </c>
      <c r="F123" s="10">
        <f ca="1"/>
        <v>4.8144755998001285</v>
      </c>
      <c r="G123" s="7">
        <f ca="1"/>
        <v>-4.9074405920261133E-2</v>
      </c>
      <c r="H123" s="10">
        <f ca="1"/>
        <v>61.689419802575969</v>
      </c>
      <c r="I123" s="7">
        <f ca="1"/>
        <v>-0.58758757099079861</v>
      </c>
      <c r="J123">
        <f ca="1"/>
        <v>4.0437698913447591</v>
      </c>
      <c r="K123">
        <f ca="1"/>
        <v>0</v>
      </c>
      <c r="L123">
        <f ca="1"/>
        <v>1.8943681636623353</v>
      </c>
    </row>
    <row r="124" spans="2:12" x14ac:dyDescent="0.5">
      <c r="B124">
        <v>0.114</v>
      </c>
      <c r="C124">
        <f ca="1"/>
        <v>-4.9315872081829852E-2</v>
      </c>
      <c r="D124">
        <f ca="1"/>
        <v>1</v>
      </c>
      <c r="E124">
        <f ca="1"/>
        <v>98.793025639782883</v>
      </c>
      <c r="F124" s="10">
        <f ca="1"/>
        <v>-3.6313045288029397</v>
      </c>
      <c r="G124" s="7">
        <f ca="1"/>
        <v>3.6756689101144935E-2</v>
      </c>
      <c r="H124" s="10">
        <f ca="1"/>
        <v>58.058115273773026</v>
      </c>
      <c r="I124" s="7">
        <f ca="1"/>
        <v>-0.55083088188965368</v>
      </c>
      <c r="J124">
        <f ca="1"/>
        <v>3.6398658360642528</v>
      </c>
      <c r="K124">
        <f ca="1"/>
        <v>0</v>
      </c>
      <c r="L124">
        <f ca="1"/>
        <v>1.2069743602171172</v>
      </c>
    </row>
    <row r="125" spans="2:12" x14ac:dyDescent="0.5">
      <c r="B125">
        <v>0.115</v>
      </c>
      <c r="C125">
        <f ca="1"/>
        <v>-6.053525161992309E-2</v>
      </c>
      <c r="D125">
        <f ca="1"/>
        <v>1</v>
      </c>
      <c r="E125">
        <f ca="1"/>
        <v>98.56962346201405</v>
      </c>
      <c r="F125" s="10">
        <f ca="1"/>
        <v>1.2279695624506333</v>
      </c>
      <c r="G125" s="7">
        <f ca="1"/>
        <v>-1.2457890365421331E-2</v>
      </c>
      <c r="H125" s="10">
        <f ca="1"/>
        <v>59.286084836223658</v>
      </c>
      <c r="I125" s="7">
        <f ca="1"/>
        <v>-0.56328877225507501</v>
      </c>
      <c r="J125">
        <f ca="1"/>
        <v>3.7629226546607271</v>
      </c>
      <c r="K125">
        <f ca="1"/>
        <v>0</v>
      </c>
      <c r="L125">
        <f ca="1"/>
        <v>1.4303765379859499</v>
      </c>
    </row>
    <row r="126" spans="2:12" x14ac:dyDescent="0.5">
      <c r="B126">
        <v>0.11600000000000001</v>
      </c>
      <c r="C126">
        <f ca="1"/>
        <v>-5.9554994238970288E-2</v>
      </c>
      <c r="D126">
        <f ca="1"/>
        <v>1</v>
      </c>
      <c r="E126">
        <f ca="1"/>
        <v>98.586978317361201</v>
      </c>
      <c r="F126" s="10">
        <f ca="1"/>
        <v>-5.9740856911114429E-2</v>
      </c>
      <c r="G126" s="7">
        <f ca="1"/>
        <v>6.0597107174542586E-4</v>
      </c>
      <c r="H126" s="10">
        <f ca="1"/>
        <v>59.226343979312546</v>
      </c>
      <c r="I126" s="7">
        <f ca="1"/>
        <v>-0.56268280118332958</v>
      </c>
      <c r="J126">
        <f ca="1"/>
        <v>3.7531468594995658</v>
      </c>
      <c r="K126">
        <f ca="1"/>
        <v>0</v>
      </c>
      <c r="L126">
        <f ca="1"/>
        <v>1.4130216826387993</v>
      </c>
    </row>
    <row r="127" spans="2:12" x14ac:dyDescent="0.5">
      <c r="B127">
        <v>0.11700000000000001</v>
      </c>
      <c r="C127">
        <f ca="1"/>
        <v>-5.482637707466663E-2</v>
      </c>
      <c r="D127">
        <f ca="1"/>
        <v>1</v>
      </c>
      <c r="E127">
        <f ca="1"/>
        <v>98.678284849142003</v>
      </c>
      <c r="F127" s="10">
        <f ca="1"/>
        <v>-0.46019909327912639</v>
      </c>
      <c r="G127" s="7">
        <f ca="1"/>
        <v>4.6636308482932431E-3</v>
      </c>
      <c r="H127" s="10">
        <f ca="1"/>
        <v>58.766144886033416</v>
      </c>
      <c r="I127" s="7">
        <f ca="1"/>
        <v>-0.55801917033503634</v>
      </c>
      <c r="J127">
        <f ca="1"/>
        <v>3.7017702444308114</v>
      </c>
      <c r="K127">
        <f ca="1"/>
        <v>0</v>
      </c>
      <c r="L127">
        <f ca="1"/>
        <v>1.3217151508579974</v>
      </c>
    </row>
    <row r="128" spans="2:12" x14ac:dyDescent="0.5">
      <c r="B128">
        <v>0.11800000000000001</v>
      </c>
      <c r="C128">
        <f ca="1"/>
        <v>-5.4766569424630748E-2</v>
      </c>
      <c r="D128">
        <f ca="1"/>
        <v>1</v>
      </c>
      <c r="E128">
        <f ca="1"/>
        <v>98.677491629898441</v>
      </c>
      <c r="F128" s="10">
        <f ca="1"/>
        <v>3.6518979716896792E-2</v>
      </c>
      <c r="G128" s="7">
        <f ca="1"/>
        <v>-3.7008419157902317E-4</v>
      </c>
      <c r="H128" s="10">
        <f ca="1"/>
        <v>58.802663865750311</v>
      </c>
      <c r="I128" s="7">
        <f ca="1"/>
        <v>-0.55838925452661536</v>
      </c>
      <c r="J128">
        <f ca="1"/>
        <v>3.7022128759749933</v>
      </c>
      <c r="K128">
        <f ca="1"/>
        <v>0</v>
      </c>
      <c r="L128">
        <f ca="1"/>
        <v>1.3225083701015592</v>
      </c>
    </row>
    <row r="129" spans="2:12" x14ac:dyDescent="0.5">
      <c r="B129">
        <v>0.11900000000000001</v>
      </c>
      <c r="C129">
        <f ca="1"/>
        <v>-2.6099806338635682E-2</v>
      </c>
      <c r="D129">
        <f ca="1"/>
        <v>1</v>
      </c>
      <c r="E129">
        <f ca="1"/>
        <v>99.242884541515537</v>
      </c>
      <c r="F129" s="10">
        <f ca="1"/>
        <v>-3.0730992174540366</v>
      </c>
      <c r="G129" s="7">
        <f ca="1"/>
        <v>3.096543627939885E-2</v>
      </c>
      <c r="H129" s="10">
        <f ca="1"/>
        <v>55.729564648296275</v>
      </c>
      <c r="I129" s="7">
        <f ca="1"/>
        <v>-0.52742381824721651</v>
      </c>
      <c r="J129">
        <f ca="1"/>
        <v>3.3865035495424891</v>
      </c>
      <c r="K129">
        <f ca="1"/>
        <v>0</v>
      </c>
      <c r="L129">
        <f ca="1"/>
        <v>0.75711545848446349</v>
      </c>
    </row>
    <row r="130" spans="2:12" x14ac:dyDescent="0.5">
      <c r="B130">
        <v>0.12</v>
      </c>
      <c r="C130">
        <f ca="1"/>
        <v>-6.4271333327864444E-2</v>
      </c>
      <c r="D130">
        <f ca="1"/>
        <v>1</v>
      </c>
      <c r="E130">
        <f ca="1"/>
        <v>98.486149031676547</v>
      </c>
      <c r="F130" s="10">
        <f ca="1"/>
        <v>4.1586918130642756</v>
      </c>
      <c r="G130" s="7">
        <f ca="1"/>
        <v>-4.22261592513552E-2</v>
      </c>
      <c r="H130" s="10">
        <f ca="1"/>
        <v>59.888256461360548</v>
      </c>
      <c r="I130" s="7">
        <f ca="1"/>
        <v>-0.56964997749857171</v>
      </c>
      <c r="J130">
        <f ca="1"/>
        <v>3.7856238815450212</v>
      </c>
      <c r="K130">
        <f ca="1"/>
        <v>0</v>
      </c>
      <c r="L130">
        <f ca="1"/>
        <v>1.5138509683234531</v>
      </c>
    </row>
    <row r="131" spans="2:12" x14ac:dyDescent="0.5">
      <c r="B131">
        <v>0.121</v>
      </c>
      <c r="C131">
        <f ca="1"/>
        <v>-0.10430515586571656</v>
      </c>
      <c r="D131">
        <f ca="1"/>
        <v>1</v>
      </c>
      <c r="E131">
        <f ca="1"/>
        <v>97.698788113875096</v>
      </c>
      <c r="F131" s="10">
        <f ca="1"/>
        <v>4.2739682821835565</v>
      </c>
      <c r="G131" s="7">
        <f ca="1"/>
        <v>-4.3746379711506078E-2</v>
      </c>
      <c r="H131" s="10">
        <f ca="1"/>
        <v>64.162224743544101</v>
      </c>
      <c r="I131" s="7">
        <f ca="1"/>
        <v>-0.61339635721007779</v>
      </c>
      <c r="J131">
        <f ca="1"/>
        <v>4.2341440106538712</v>
      </c>
      <c r="K131">
        <f ca="1"/>
        <v>0</v>
      </c>
      <c r="L131">
        <f ca="1"/>
        <v>2.3012118861249036</v>
      </c>
    </row>
    <row r="132" spans="2:12" x14ac:dyDescent="0.5">
      <c r="B132">
        <v>0.122</v>
      </c>
      <c r="C132">
        <f ca="1"/>
        <v>-5.3932556618221196E-2</v>
      </c>
      <c r="D132">
        <f ca="1"/>
        <v>1</v>
      </c>
      <c r="E132">
        <f ca="1"/>
        <v>98.686057460675443</v>
      </c>
      <c r="F132" s="10">
        <f ca="1"/>
        <v>-5.3434493296497925</v>
      </c>
      <c r="G132" s="7">
        <f ca="1"/>
        <v>5.4145939833284529E-2</v>
      </c>
      <c r="H132" s="10">
        <f ca="1"/>
        <v>58.818775413894308</v>
      </c>
      <c r="I132" s="7">
        <f ca="1"/>
        <v>-0.55925041737679326</v>
      </c>
      <c r="J132">
        <f ca="1"/>
        <v>3.6285565897413647</v>
      </c>
      <c r="K132">
        <f ca="1"/>
        <v>0</v>
      </c>
      <c r="L132">
        <f ca="1"/>
        <v>1.3139425393245574</v>
      </c>
    </row>
    <row r="133" spans="2:12" x14ac:dyDescent="0.5">
      <c r="B133">
        <v>0.123</v>
      </c>
      <c r="C133">
        <f ca="1"/>
        <v>-5.5634978720572152E-2</v>
      </c>
      <c r="D133">
        <f ca="1"/>
        <v>1</v>
      </c>
      <c r="E133">
        <f ca="1"/>
        <v>98.65048908575092</v>
      </c>
      <c r="F133" s="10">
        <f ca="1"/>
        <v>0.23046720772915705</v>
      </c>
      <c r="G133" s="7">
        <f ca="1"/>
        <v>-2.3361993423958172E-3</v>
      </c>
      <c r="H133" s="10">
        <f ca="1"/>
        <v>59.049242621623463</v>
      </c>
      <c r="I133" s="7">
        <f ca="1"/>
        <v>-0.56158661671918908</v>
      </c>
      <c r="J133">
        <f ca="1"/>
        <v>3.6484482182633187</v>
      </c>
      <c r="K133">
        <f ca="1"/>
        <v>0</v>
      </c>
      <c r="L133">
        <f ca="1"/>
        <v>1.3495109142490804</v>
      </c>
    </row>
    <row r="134" spans="2:12" x14ac:dyDescent="0.5">
      <c r="B134">
        <v>0.124</v>
      </c>
      <c r="C134">
        <f ca="1"/>
        <v>-7.1503875538606931E-2</v>
      </c>
      <c r="D134">
        <f ca="1"/>
        <v>1</v>
      </c>
      <c r="E134">
        <f ca="1"/>
        <v>98.335923782971776</v>
      </c>
      <c r="F134" s="10">
        <f ca="1"/>
        <v>1.7715788898161002</v>
      </c>
      <c r="G134" s="7">
        <f ca="1"/>
        <v>-1.8015581912119827E-2</v>
      </c>
      <c r="H134" s="10">
        <f ca="1"/>
        <v>60.820821511439561</v>
      </c>
      <c r="I134" s="7">
        <f ca="1"/>
        <v>-0.57960219863130891</v>
      </c>
      <c r="J134">
        <f ca="1"/>
        <v>3.8251038823882979</v>
      </c>
      <c r="K134">
        <f ca="1"/>
        <v>0</v>
      </c>
      <c r="L134">
        <f ca="1"/>
        <v>1.6640762170282244</v>
      </c>
    </row>
    <row r="135" spans="2:12" x14ac:dyDescent="0.5">
      <c r="B135">
        <v>0.125</v>
      </c>
      <c r="C135">
        <f ca="1"/>
        <v>-0.10131970994898074</v>
      </c>
      <c r="D135">
        <f ca="1"/>
        <v>1</v>
      </c>
      <c r="E135">
        <f ca="1"/>
        <v>97.749320164097256</v>
      </c>
      <c r="F135" s="10">
        <f ca="1"/>
        <v>3.2432326229416022</v>
      </c>
      <c r="G135" s="7">
        <f ca="1"/>
        <v>-3.3179081117873821E-2</v>
      </c>
      <c r="H135" s="10">
        <f ca="1"/>
        <v>64.064054134381166</v>
      </c>
      <c r="I135" s="7">
        <f ca="1"/>
        <v>-0.61278127974918273</v>
      </c>
      <c r="J135">
        <f ca="1"/>
        <v>4.1651006296130575</v>
      </c>
      <c r="K135">
        <f ca="1"/>
        <v>0</v>
      </c>
      <c r="L135">
        <f ca="1"/>
        <v>2.2506798359027442</v>
      </c>
    </row>
    <row r="136" spans="2:12" x14ac:dyDescent="0.5">
      <c r="B136">
        <v>0.126</v>
      </c>
      <c r="C136">
        <f ca="1"/>
        <v>-0.10149262291898982</v>
      </c>
      <c r="D136">
        <f ca="1"/>
        <v>1</v>
      </c>
      <c r="E136">
        <f ca="1"/>
        <v>97.743984898248428</v>
      </c>
      <c r="F136" s="10">
        <f ca="1"/>
        <v>8.2767250318260835E-2</v>
      </c>
      <c r="G136" s="7">
        <f ca="1"/>
        <v>-8.467758952576121E-4</v>
      </c>
      <c r="H136" s="10">
        <f ca="1"/>
        <v>64.146821384699422</v>
      </c>
      <c r="I136" s="7">
        <f ca="1"/>
        <v>-0.61362805564444034</v>
      </c>
      <c r="J136">
        <f ca="1"/>
        <v>4.1683699806476966</v>
      </c>
      <c r="K136">
        <f ca="1"/>
        <v>0</v>
      </c>
      <c r="L136">
        <f ca="1"/>
        <v>2.2560151017515722</v>
      </c>
    </row>
    <row r="137" spans="2:12" x14ac:dyDescent="0.5">
      <c r="B137">
        <v>0.127</v>
      </c>
      <c r="C137">
        <f ca="1"/>
        <v>-0.10306568036325144</v>
      </c>
      <c r="D137">
        <f ca="1"/>
        <v>1</v>
      </c>
      <c r="E137">
        <f ca="1"/>
        <v>97.711284109270224</v>
      </c>
      <c r="F137" s="10">
        <f ca="1"/>
        <v>0.23261604051781368</v>
      </c>
      <c r="G137" s="7">
        <f ca="1"/>
        <v>-2.3806466432032547E-3</v>
      </c>
      <c r="H137" s="10">
        <f ca="1"/>
        <v>64.379437425217233</v>
      </c>
      <c r="I137" s="7">
        <f ca="1"/>
        <v>-0.61600870228764359</v>
      </c>
      <c r="J137">
        <f ca="1"/>
        <v>4.1884361022064311</v>
      </c>
      <c r="K137">
        <f ca="1"/>
        <v>0</v>
      </c>
      <c r="L137">
        <f ca="1"/>
        <v>2.288715890729776</v>
      </c>
    </row>
    <row r="138" spans="2:12" x14ac:dyDescent="0.5">
      <c r="B138">
        <v>0.128</v>
      </c>
      <c r="C138">
        <f ca="1"/>
        <v>-7.7594784907573752E-2</v>
      </c>
      <c r="D138">
        <f ca="1"/>
        <v>1</v>
      </c>
      <c r="E138">
        <f ca="1"/>
        <v>98.208348694924027</v>
      </c>
      <c r="F138" s="10">
        <f ca="1"/>
        <v>-2.6945951168911386</v>
      </c>
      <c r="G138" s="7">
        <f ca="1"/>
        <v>2.7437536143303576E-2</v>
      </c>
      <c r="H138" s="10">
        <f ca="1"/>
        <v>61.684842308326097</v>
      </c>
      <c r="I138" s="7">
        <f ca="1"/>
        <v>-0.58857116614434002</v>
      </c>
      <c r="J138">
        <f ca="1"/>
        <v>3.8822399918446919</v>
      </c>
      <c r="K138">
        <f ca="1"/>
        <v>0</v>
      </c>
      <c r="L138">
        <f ca="1"/>
        <v>1.7916513050759733</v>
      </c>
    </row>
    <row r="139" spans="2:12" x14ac:dyDescent="0.5">
      <c r="B139">
        <v>0.129</v>
      </c>
      <c r="C139">
        <f ca="1"/>
        <v>-7.2844810410948771E-2</v>
      </c>
      <c r="D139">
        <f ca="1"/>
        <v>1</v>
      </c>
      <c r="E139">
        <f ca="1"/>
        <v>98.29972444118458</v>
      </c>
      <c r="F139" s="10">
        <f ca="1"/>
        <v>-0.46557408460050637</v>
      </c>
      <c r="G139" s="7">
        <f ca="1"/>
        <v>4.7362704956418478E-3</v>
      </c>
      <c r="H139" s="10">
        <f ca="1"/>
        <v>61.219268223725592</v>
      </c>
      <c r="I139" s="7">
        <f ca="1"/>
        <v>-0.58383489564869817</v>
      </c>
      <c r="J139">
        <f ca="1"/>
        <v>3.8284588623108107</v>
      </c>
      <c r="K139">
        <f ca="1"/>
        <v>0</v>
      </c>
      <c r="L139">
        <f ca="1"/>
        <v>1.7002755588154201</v>
      </c>
    </row>
    <row r="140" spans="2:12" x14ac:dyDescent="0.5">
      <c r="B140">
        <v>0.13</v>
      </c>
      <c r="C140">
        <f ca="1"/>
        <v>-5.8171365870610336E-2</v>
      </c>
      <c r="D140">
        <f ca="1"/>
        <v>1</v>
      </c>
      <c r="E140">
        <f ca="1"/>
        <v>98.58665551195098</v>
      </c>
      <c r="F140" s="10">
        <f ca="1"/>
        <v>-1.5793869248735677</v>
      </c>
      <c r="G140" s="7">
        <f ca="1"/>
        <v>1.6020291150683263E-2</v>
      </c>
      <c r="H140" s="10">
        <f ca="1"/>
        <v>59.639881298852025</v>
      </c>
      <c r="I140" s="7">
        <f ca="1"/>
        <v>-0.56781460449801491</v>
      </c>
      <c r="J140">
        <f ca="1"/>
        <v>3.660938490551537</v>
      </c>
      <c r="K140">
        <f ca="1"/>
        <v>0</v>
      </c>
      <c r="L140">
        <f ca="1"/>
        <v>1.4133444880490202</v>
      </c>
    </row>
    <row r="141" spans="2:12" x14ac:dyDescent="0.5">
      <c r="B141">
        <v>0.13100000000000001</v>
      </c>
      <c r="C141">
        <f ca="1"/>
        <v>-4.98068114537773E-2</v>
      </c>
      <c r="D141">
        <f ca="1"/>
        <v>1</v>
      </c>
      <c r="E141">
        <f ca="1"/>
        <v>98.749745217044023</v>
      </c>
      <c r="F141" s="10">
        <f ca="1"/>
        <v>-0.89276645507110297</v>
      </c>
      <c r="G141" s="7">
        <f ca="1"/>
        <v>9.0406962884701514E-3</v>
      </c>
      <c r="H141" s="10">
        <f ca="1"/>
        <v>58.747114843780921</v>
      </c>
      <c r="I141" s="7">
        <f ca="1"/>
        <v>-0.55877390820954476</v>
      </c>
      <c r="J141">
        <f ca="1"/>
        <v>3.5683337741564358</v>
      </c>
      <c r="K141">
        <f ca="1"/>
        <v>0</v>
      </c>
      <c r="L141">
        <f ca="1"/>
        <v>1.2502547829559774</v>
      </c>
    </row>
    <row r="142" spans="2:12" x14ac:dyDescent="0.5">
      <c r="B142">
        <v>0.13200000000000001</v>
      </c>
      <c r="C142">
        <f ca="1"/>
        <v>-6.6073768681681966E-2</v>
      </c>
      <c r="D142">
        <f ca="1"/>
        <v>1</v>
      </c>
      <c r="E142">
        <f ca="1"/>
        <v>98.427027125280475</v>
      </c>
      <c r="F142" s="10">
        <f ca="1"/>
        <v>1.8786600868547054</v>
      </c>
      <c r="G142" s="7">
        <f ca="1"/>
        <v>-1.9086831551495487E-2</v>
      </c>
      <c r="H142" s="10">
        <f ca="1"/>
        <v>60.625774930635629</v>
      </c>
      <c r="I142" s="7">
        <f ca="1"/>
        <v>-0.57786073976104024</v>
      </c>
      <c r="J142">
        <f ca="1"/>
        <v>3.74866022354108</v>
      </c>
      <c r="K142">
        <f ca="1"/>
        <v>0</v>
      </c>
      <c r="L142">
        <f ca="1"/>
        <v>1.5729728747195253</v>
      </c>
    </row>
    <row r="143" spans="2:12" x14ac:dyDescent="0.5">
      <c r="B143">
        <v>0.13300000000000001</v>
      </c>
      <c r="C143">
        <f ca="1"/>
        <v>-3.8636809479243792E-2</v>
      </c>
      <c r="D143">
        <f ca="1"/>
        <v>1</v>
      </c>
      <c r="E143">
        <f ca="1"/>
        <v>98.966640043710413</v>
      </c>
      <c r="F143" s="10">
        <f ca="1"/>
        <v>-3.0719061120387483</v>
      </c>
      <c r="G143" s="7">
        <f ca="1"/>
        <v>3.1039814130114807E-2</v>
      </c>
      <c r="H143">
        <f ca="1"/>
        <v>57.553868818596882</v>
      </c>
      <c r="I143" s="7">
        <f ca="1"/>
        <v>-0.54682092563092544</v>
      </c>
      <c r="J143">
        <f ca="1"/>
        <v>3.4368391033125434</v>
      </c>
      <c r="K143">
        <f ca="1"/>
        <v>0</v>
      </c>
      <c r="L143">
        <f ca="1"/>
        <v>1.033359956289587</v>
      </c>
    </row>
    <row r="144" spans="2:12" x14ac:dyDescent="0.5">
      <c r="B144">
        <v>0.13400000000000001</v>
      </c>
      <c r="C144">
        <f ca="1"/>
        <v>-2.5333908547099365E-2</v>
      </c>
      <c r="D144">
        <f ca="1"/>
        <v>1</v>
      </c>
      <c r="E144">
        <f ca="1"/>
        <v>99.228314726971774</v>
      </c>
      <c r="F144" s="10">
        <f ca="1"/>
        <v>-1.4955315861829259</v>
      </c>
      <c r="G144" s="7">
        <f ca="1"/>
        <v>1.5071621344148634E-2</v>
      </c>
      <c r="H144">
        <f ca="1"/>
        <v>56.058337232413955</v>
      </c>
      <c r="I144" s="7">
        <f ca="1"/>
        <v>-0.5317493042867768</v>
      </c>
      <c r="J144">
        <f ca="1"/>
        <v>3.2937499107973878</v>
      </c>
      <c r="K144">
        <f ca="1"/>
        <v>0</v>
      </c>
      <c r="L144">
        <f ca="1"/>
        <v>0.77168527302822554</v>
      </c>
    </row>
    <row r="145" spans="2:12" x14ac:dyDescent="0.5">
      <c r="B145">
        <v>0.13500000000000001</v>
      </c>
      <c r="C145">
        <f ca="1"/>
        <v>-4.514074917623144E-2</v>
      </c>
      <c r="D145">
        <f ca="1"/>
        <v>1</v>
      </c>
      <c r="E145">
        <f ca="1"/>
        <v>98.834035683366011</v>
      </c>
      <c r="F145" s="10">
        <f ca="1"/>
        <v>2.3255415411741511</v>
      </c>
      <c r="G145" s="7">
        <f ca="1"/>
        <v>-2.3529764064522007E-2</v>
      </c>
      <c r="H145">
        <f ca="1"/>
        <v>58.383878773588108</v>
      </c>
      <c r="I145" s="7">
        <f ca="1"/>
        <v>-0.55527906835129881</v>
      </c>
      <c r="J145">
        <f ca="1"/>
        <v>3.5034075179296096</v>
      </c>
      <c r="K145">
        <f ca="1"/>
        <v>0</v>
      </c>
      <c r="L145">
        <f ca="1"/>
        <v>1.165964316633989</v>
      </c>
    </row>
    <row r="146" spans="2:12" x14ac:dyDescent="0.5">
      <c r="B146">
        <v>0.13600000000000001</v>
      </c>
      <c r="C146">
        <f ca="1"/>
        <v>-3.5448702718930858E-2</v>
      </c>
      <c r="D146">
        <f ca="1"/>
        <v>1</v>
      </c>
      <c r="E146">
        <f ca="1"/>
        <v>99.023821801253717</v>
      </c>
      <c r="F146" s="10">
        <f ca="1"/>
        <v>-1.078041466040883</v>
      </c>
      <c r="G146" s="7">
        <f ca="1"/>
        <v>1.088668813656346E-2</v>
      </c>
      <c r="H146">
        <f ca="1"/>
        <v>57.305837307547222</v>
      </c>
      <c r="I146" s="7">
        <f ca="1"/>
        <v>-0.54439238021473535</v>
      </c>
      <c r="J146">
        <f ca="1"/>
        <v>3.3980232592029083</v>
      </c>
      <c r="K146">
        <f ca="1"/>
        <v>0</v>
      </c>
      <c r="L146">
        <f ca="1"/>
        <v>0.97617819874628253</v>
      </c>
    </row>
    <row r="147" spans="2:12" x14ac:dyDescent="0.5">
      <c r="B147">
        <v>0.13700000000000001</v>
      </c>
      <c r="C147">
        <f ca="1"/>
        <v>2.9244415667772902E-2</v>
      </c>
      <c r="D147">
        <f ca="1"/>
        <v>1</v>
      </c>
      <c r="E147">
        <f ca="1"/>
        <v>100.31137207225909</v>
      </c>
      <c r="F147" s="10">
        <f ca="1"/>
        <v>-7.6454331313151158</v>
      </c>
      <c r="G147" s="7">
        <f ca="1"/>
        <v>7.6217012820916696E-2</v>
      </c>
      <c r="H147">
        <f ca="1"/>
        <v>49.660404176232106</v>
      </c>
      <c r="I147" s="7">
        <f ca="1"/>
        <v>-0.46817536739381865</v>
      </c>
      <c r="J147">
        <f ca="1"/>
        <v>2.6970907025241644</v>
      </c>
      <c r="K147">
        <f ca="1"/>
        <v>0</v>
      </c>
      <c r="L147">
        <f ca="1"/>
        <v>0</v>
      </c>
    </row>
    <row r="148" spans="2:12" x14ac:dyDescent="0.5">
      <c r="B148">
        <v>0.13800000000000001</v>
      </c>
      <c r="C148">
        <f ca="1"/>
        <v>2.3735507889728127E-3</v>
      </c>
      <c r="D148">
        <f ca="1"/>
        <v>1</v>
      </c>
      <c r="E148">
        <f ca="1"/>
        <v>99.771731944458864</v>
      </c>
      <c r="F148" s="10">
        <f ca="1"/>
        <v>3.202131379563002</v>
      </c>
      <c r="G148" s="7">
        <f ca="1"/>
        <v>-3.2094575458964381E-2</v>
      </c>
      <c r="H148">
        <f ca="1"/>
        <v>52.862535555795105</v>
      </c>
      <c r="I148" s="7">
        <f ca="1"/>
        <v>-0.50026994285278303</v>
      </c>
      <c r="J148">
        <f ca="1"/>
        <v>2.9497369176174786</v>
      </c>
      <c r="K148">
        <f ca="1"/>
        <v>0</v>
      </c>
      <c r="L148">
        <f ca="1"/>
        <v>0.22826805554113605</v>
      </c>
    </row>
    <row r="149" spans="2:12" x14ac:dyDescent="0.5">
      <c r="B149">
        <v>0.13900000000000001</v>
      </c>
      <c r="C149">
        <f ca="1"/>
        <v>2.566061039404044E-3</v>
      </c>
      <c r="D149">
        <f ca="1"/>
        <v>1</v>
      </c>
      <c r="E149">
        <f ca="1"/>
        <v>99.773577943117814</v>
      </c>
      <c r="F149" s="10">
        <f ca="1"/>
        <v>1.015859524028404E-3</v>
      </c>
      <c r="G149" s="7">
        <f ca="1"/>
        <v>-1.0181648738782911E-5</v>
      </c>
      <c r="H149">
        <f ca="1"/>
        <v>52.863551415319137</v>
      </c>
      <c r="I149" s="7">
        <f ca="1"/>
        <v>-0.50028012450152182</v>
      </c>
      <c r="J149">
        <f ca="1"/>
        <v>2.9488134199738667</v>
      </c>
      <c r="K149">
        <f ca="1"/>
        <v>0</v>
      </c>
      <c r="L149">
        <f ca="1"/>
        <v>0.22642205688218553</v>
      </c>
    </row>
    <row r="150" spans="2:12" x14ac:dyDescent="0.5">
      <c r="B150">
        <v>0.14000000000000001</v>
      </c>
      <c r="C150">
        <f ca="1"/>
        <v>-1.6212154484561998E-2</v>
      </c>
      <c r="D150">
        <f ca="1"/>
        <v>1</v>
      </c>
      <c r="E150">
        <f ca="1"/>
        <v>99.397578787496627</v>
      </c>
      <c r="F150" s="10">
        <f ca="1"/>
        <v>2.2678966814295842</v>
      </c>
      <c r="G150" s="7">
        <f ca="1"/>
        <v>-2.2816417754784046E-2</v>
      </c>
      <c r="H150">
        <f ca="1"/>
        <v>55.13144809674872</v>
      </c>
      <c r="I150" s="7">
        <f ca="1"/>
        <v>-0.52309654225630586</v>
      </c>
      <c r="J150">
        <f ca="1"/>
        <v>3.1369183243605008</v>
      </c>
      <c r="K150">
        <f ca="1"/>
        <v>0</v>
      </c>
      <c r="L150">
        <f ca="1"/>
        <v>0.60242121250337277</v>
      </c>
    </row>
    <row r="151" spans="2:12" x14ac:dyDescent="0.5">
      <c r="B151">
        <v>0.14100000000000001</v>
      </c>
      <c r="C151">
        <f ca="1"/>
        <v>-1.2682991029662164E-2</v>
      </c>
      <c r="D151">
        <f ca="1"/>
        <v>1</v>
      </c>
      <c r="E151">
        <f ca="1"/>
        <v>99.465772278423046</v>
      </c>
      <c r="F151" s="10">
        <f ca="1"/>
        <v>-0.38906541471704592</v>
      </c>
      <c r="G151" s="7">
        <f ca="1"/>
        <v>3.9115507355432788E-3</v>
      </c>
      <c r="H151">
        <f ca="1"/>
        <v>54.742382682031675</v>
      </c>
      <c r="I151" s="7">
        <f ca="1"/>
        <v>-0.51918499152076258</v>
      </c>
      <c r="J151">
        <f ca="1"/>
        <v>3.1012465450525042</v>
      </c>
      <c r="K151">
        <f ca="1"/>
        <v>0</v>
      </c>
      <c r="L151">
        <f ca="1"/>
        <v>0.5342277215769542</v>
      </c>
    </row>
    <row r="152" spans="2:12" x14ac:dyDescent="0.5">
      <c r="B152">
        <v>0.14200000000000002</v>
      </c>
      <c r="C152">
        <f ca="1"/>
        <v>-1.5688374696316381E-2</v>
      </c>
      <c r="D152">
        <f ca="1"/>
        <v>1</v>
      </c>
      <c r="E152">
        <f ca="1"/>
        <v>99.404015581307149</v>
      </c>
      <c r="F152" s="10">
        <f ca="1"/>
        <v>0.39504931463921106</v>
      </c>
      <c r="G152" s="7">
        <f ca="1"/>
        <v>-3.9741786318087113E-3</v>
      </c>
      <c r="H152">
        <f ca="1"/>
        <v>55.137431996670884</v>
      </c>
      <c r="I152" s="7">
        <f ca="1"/>
        <v>-0.5231591701525713</v>
      </c>
      <c r="J152">
        <f ca="1"/>
        <v>3.1333096953209676</v>
      </c>
      <c r="K152">
        <f ca="1"/>
        <v>0</v>
      </c>
      <c r="L152">
        <f ca="1"/>
        <v>0.59598441869285068</v>
      </c>
    </row>
    <row r="153" spans="2:12" x14ac:dyDescent="0.5">
      <c r="B153">
        <v>0.14300000000000002</v>
      </c>
      <c r="C153">
        <f ca="1"/>
        <v>2.7026426515075409E-2</v>
      </c>
      <c r="D153">
        <f ca="1"/>
        <v>1</v>
      </c>
      <c r="E153">
        <f ca="1"/>
        <v>100.25485272916639</v>
      </c>
      <c r="F153" s="10">
        <f ca="1"/>
        <v>-5.1837459014192371</v>
      </c>
      <c r="G153" s="7">
        <f ca="1"/>
        <v>5.1705685663145651E-2</v>
      </c>
      <c r="H153">
        <f ca="1"/>
        <v>49.953686095251648</v>
      </c>
      <c r="I153" s="7">
        <f ca="1"/>
        <v>-0.47145348448942564</v>
      </c>
      <c r="J153">
        <f ca="1"/>
        <v>2.6881864391119521</v>
      </c>
      <c r="K153">
        <f ca="1"/>
        <v>0</v>
      </c>
      <c r="L153">
        <f ca="1"/>
        <v>0</v>
      </c>
    </row>
    <row r="154" spans="2:12" x14ac:dyDescent="0.5">
      <c r="B154">
        <v>0.14400000000000002</v>
      </c>
      <c r="C154">
        <f ca="1"/>
        <v>3.1046906773318547E-2</v>
      </c>
      <c r="D154">
        <f ca="1"/>
        <v>1</v>
      </c>
      <c r="E154">
        <f ca="1"/>
        <v>100.33349299007992</v>
      </c>
      <c r="F154" s="10">
        <f ca="1"/>
        <v>-0.48173304534761086</v>
      </c>
      <c r="G154" s="7">
        <f ca="1"/>
        <v>4.8013183932033576E-3</v>
      </c>
      <c r="H154">
        <f ca="1"/>
        <v>49.471953049904037</v>
      </c>
      <c r="I154" s="7">
        <f ca="1"/>
        <v>-0.46665216609622229</v>
      </c>
      <c r="J154">
        <f ca="1"/>
        <v>2.6511112140831088</v>
      </c>
      <c r="K154">
        <f ca="1"/>
        <v>0</v>
      </c>
      <c r="L154">
        <f ca="1"/>
        <v>0</v>
      </c>
    </row>
    <row r="155" spans="2:12" x14ac:dyDescent="0.5">
      <c r="B155">
        <v>0.14499999999999999</v>
      </c>
      <c r="C155">
        <f ca="1"/>
        <v>3.0191081532810058E-2</v>
      </c>
      <c r="D155">
        <f ca="1"/>
        <v>1</v>
      </c>
      <c r="E155">
        <f ca="1"/>
        <v>100.31431456624682</v>
      </c>
      <c r="F155" s="10">
        <f ca="1"/>
        <v>0.11410047835531414</v>
      </c>
      <c r="G155" s="7">
        <f ca="1"/>
        <v>-1.1374296763994041E-3</v>
      </c>
      <c r="H155">
        <f ca="1"/>
        <v>49.586053528259349</v>
      </c>
      <c r="I155" s="7">
        <f ca="1"/>
        <v>-0.46778959577262169</v>
      </c>
      <c r="J155">
        <f ca="1"/>
        <v>2.6600608671071342</v>
      </c>
      <c r="K155">
        <f ca="1"/>
        <v>0</v>
      </c>
      <c r="L155">
        <f ca="1"/>
        <v>0</v>
      </c>
    </row>
    <row r="156" spans="2:12" x14ac:dyDescent="0.5">
      <c r="B156">
        <v>0.14599999999999999</v>
      </c>
      <c r="C156">
        <f ca="1"/>
        <v>-1.3644241495581327E-4</v>
      </c>
      <c r="D156">
        <f ca="1"/>
        <v>1</v>
      </c>
      <c r="E156">
        <f ca="1"/>
        <v>99.705705050791039</v>
      </c>
      <c r="F156" s="10">
        <f ca="1"/>
        <v>3.7464134044753505</v>
      </c>
      <c r="G156" s="7">
        <f ca="1"/>
        <v>-3.757471453180028E-2</v>
      </c>
      <c r="H156">
        <f ca="1"/>
        <v>53.332466932734697</v>
      </c>
      <c r="I156" s="7">
        <f ca="1"/>
        <v>-0.50536431030442197</v>
      </c>
      <c r="J156">
        <f ca="1"/>
        <v>2.9447620663255591</v>
      </c>
      <c r="K156">
        <f ca="1"/>
        <v>0</v>
      </c>
      <c r="L156">
        <f ca="1"/>
        <v>0.29429494920896104</v>
      </c>
    </row>
    <row r="157" spans="2:12" x14ac:dyDescent="0.5">
      <c r="B157">
        <v>0.14699999999999999</v>
      </c>
      <c r="C157">
        <f ca="1"/>
        <v>3.6416509148402255E-2</v>
      </c>
      <c r="D157">
        <f ca="1"/>
        <v>1</v>
      </c>
      <c r="E157">
        <f ca="1"/>
        <v>100.43527476354497</v>
      </c>
      <c r="F157" s="10">
        <f ca="1"/>
        <v>-4.5293074703549694</v>
      </c>
      <c r="G157" s="7">
        <f ca="1"/>
        <v>4.5096779801900577E-2</v>
      </c>
      <c r="H157">
        <f ca="1"/>
        <v>48.803159462379725</v>
      </c>
      <c r="I157" s="7">
        <f ca="1"/>
        <v>-0.46026753050252139</v>
      </c>
      <c r="J157">
        <f ca="1"/>
        <v>2.5760635716206721</v>
      </c>
      <c r="K157">
        <f ca="1"/>
        <v>0</v>
      </c>
      <c r="L157">
        <f ca="1"/>
        <v>0</v>
      </c>
    </row>
    <row r="158" spans="2:12" x14ac:dyDescent="0.5">
      <c r="B158">
        <v>0.14799999999999999</v>
      </c>
      <c r="C158">
        <f ca="1"/>
        <v>3.8123692550110361E-2</v>
      </c>
      <c r="D158">
        <f ca="1"/>
        <v>1</v>
      </c>
      <c r="E158">
        <f ca="1"/>
        <v>100.46756353397375</v>
      </c>
      <c r="F158" s="10">
        <f ca="1"/>
        <v>-0.20760973017040671</v>
      </c>
      <c r="G158" s="7">
        <f ca="1"/>
        <v>2.0664354033050891E-3</v>
      </c>
      <c r="H158">
        <f ca="1"/>
        <v>48.595549732209321</v>
      </c>
      <c r="I158" s="7">
        <f ca="1"/>
        <v>-0.4582010950992163</v>
      </c>
      <c r="J158">
        <f ca="1"/>
        <v>2.5612020989924602</v>
      </c>
      <c r="K158">
        <f ca="1"/>
        <v>0</v>
      </c>
      <c r="L158">
        <f ca="1"/>
        <v>0</v>
      </c>
    </row>
    <row r="159" spans="2:12" x14ac:dyDescent="0.5">
      <c r="B159">
        <v>0.14899999999999999</v>
      </c>
      <c r="C159">
        <f ca="1"/>
        <v>1.7236394016371014E-2</v>
      </c>
      <c r="D159">
        <f ca="1"/>
        <v>1</v>
      </c>
      <c r="E159">
        <f ca="1"/>
        <v>100.04673879950212</v>
      </c>
      <c r="F159" s="10">
        <f ca="1"/>
        <v>2.6203658000217636</v>
      </c>
      <c r="G159" s="7">
        <f ca="1"/>
        <v>-2.6191416446597893E-2</v>
      </c>
      <c r="H159">
        <f ca="1"/>
        <v>51.215915532231087</v>
      </c>
      <c r="I159" s="7">
        <f ca="1"/>
        <v>-0.4843925115458142</v>
      </c>
      <c r="J159">
        <f ca="1"/>
        <v>2.7540244531721996</v>
      </c>
      <c r="K159">
        <f ca="1"/>
        <v>0</v>
      </c>
      <c r="L159">
        <f ca="1"/>
        <v>0</v>
      </c>
    </row>
    <row r="160" spans="2:12" x14ac:dyDescent="0.5">
      <c r="B160">
        <v>0.15</v>
      </c>
      <c r="C160">
        <f ca="1"/>
        <v>-4.5145555788315937E-3</v>
      </c>
      <c r="D160">
        <f ca="1"/>
        <v>1</v>
      </c>
      <c r="E160">
        <f ca="1"/>
        <v>99.610469534282757</v>
      </c>
      <c r="F160" s="10">
        <f ca="1"/>
        <v>2.7501374827701253</v>
      </c>
      <c r="G160" s="7">
        <f ca="1"/>
        <v>-2.7608919982287761E-2</v>
      </c>
      <c r="H160">
        <f ca="1"/>
        <v>53.966053015001215</v>
      </c>
      <c r="I160" s="7">
        <f ca="1"/>
        <v>-0.51200143152810196</v>
      </c>
      <c r="J160">
        <f ca="1"/>
        <v>2.9653500182620576</v>
      </c>
      <c r="K160">
        <f ca="1"/>
        <v>0</v>
      </c>
      <c r="L160">
        <f ca="1"/>
        <v>0.38953046571724315</v>
      </c>
    </row>
    <row r="161" spans="2:12" x14ac:dyDescent="0.5">
      <c r="B161">
        <v>0.151</v>
      </c>
      <c r="C161">
        <f ca="1"/>
        <v>-4.1705935669809291E-2</v>
      </c>
      <c r="D161">
        <f ca="1"/>
        <v>1</v>
      </c>
      <c r="E161">
        <f ca="1"/>
        <v>98.870310743469176</v>
      </c>
      <c r="F161" s="10">
        <f ca="1"/>
        <v>4.6718270340330905</v>
      </c>
      <c r="G161" s="7">
        <f ca="1"/>
        <v>-4.7252071920302785E-2</v>
      </c>
      <c r="H161">
        <f ca="1"/>
        <v>58.637880049034308</v>
      </c>
      <c r="I161" s="7">
        <f ca="1"/>
        <v>-0.55925350344840474</v>
      </c>
      <c r="J161">
        <f ca="1"/>
        <v>3.3443123787167224</v>
      </c>
      <c r="K161">
        <f ca="1"/>
        <v>0</v>
      </c>
      <c r="L161">
        <f ca="1"/>
        <v>1.1296892565308241</v>
      </c>
    </row>
    <row r="162" spans="2:12" x14ac:dyDescent="0.5">
      <c r="B162">
        <v>0.152</v>
      </c>
      <c r="C162">
        <f ca="1"/>
        <v>-6.1449365952647564E-2</v>
      </c>
      <c r="D162">
        <f ca="1"/>
        <v>1</v>
      </c>
      <c r="E162">
        <f ca="1"/>
        <v>98.478703117675295</v>
      </c>
      <c r="F162" s="10">
        <f ca="1"/>
        <v>2.4909756451250225</v>
      </c>
      <c r="G162" s="7">
        <f ca="1"/>
        <v>-2.5294561831795015E-2</v>
      </c>
      <c r="H162">
        <f ca="1"/>
        <v>61.128855694159327</v>
      </c>
      <c r="I162" s="7">
        <f ca="1"/>
        <v>-0.58454806528019976</v>
      </c>
      <c r="J162">
        <f ca="1"/>
        <v>3.5633203154190554</v>
      </c>
      <c r="K162">
        <f ca="1"/>
        <v>0</v>
      </c>
      <c r="L162">
        <f ca="1"/>
        <v>1.5212968823247053</v>
      </c>
    </row>
    <row r="163" spans="2:12" x14ac:dyDescent="0.5">
      <c r="B163">
        <v>0.153</v>
      </c>
      <c r="C163">
        <f ca="1"/>
        <v>-4.7950198736874373E-2</v>
      </c>
      <c r="D163">
        <f ca="1"/>
        <v>1</v>
      </c>
      <c r="E163">
        <f ca="1"/>
        <v>98.742963568576542</v>
      </c>
      <c r="F163" s="10">
        <f ca="1"/>
        <v>-1.608590016147694</v>
      </c>
      <c r="G163" s="7">
        <f ca="1"/>
        <v>1.6290679943290698E-2</v>
      </c>
      <c r="H163">
        <f ca="1"/>
        <v>59.520265678011633</v>
      </c>
      <c r="I163" s="7">
        <f ca="1"/>
        <v>-0.56825738533690906</v>
      </c>
      <c r="J163">
        <f ca="1"/>
        <v>3.4088473801146577</v>
      </c>
      <c r="K163">
        <f ca="1"/>
        <v>0</v>
      </c>
      <c r="L163">
        <f ca="1"/>
        <v>1.2570364314234581</v>
      </c>
    </row>
    <row r="164" spans="2:12" x14ac:dyDescent="0.5">
      <c r="B164">
        <v>0.154</v>
      </c>
      <c r="C164">
        <f ca="1"/>
        <v>2.3956589658341985E-2</v>
      </c>
      <c r="D164">
        <f ca="1"/>
        <v>1</v>
      </c>
      <c r="E164">
        <f ca="1"/>
        <v>100.17127830718545</v>
      </c>
      <c r="F164" s="10">
        <f ca="1"/>
        <v>-9.1779014963869141</v>
      </c>
      <c r="G164" s="7">
        <f ca="1"/>
        <v>9.1622086205608189E-2</v>
      </c>
      <c r="H164">
        <f ca="1"/>
        <v>50.342364181624717</v>
      </c>
      <c r="I164" s="7">
        <f ca="1"/>
        <v>-0.47663529913130087</v>
      </c>
      <c r="J164">
        <f ca="1"/>
        <v>2.597196981314589</v>
      </c>
      <c r="K164">
        <f ca="1"/>
        <v>0</v>
      </c>
      <c r="L164">
        <f ca="1"/>
        <v>0</v>
      </c>
    </row>
    <row r="165" spans="2:12" x14ac:dyDescent="0.5">
      <c r="B165">
        <v>0.155</v>
      </c>
      <c r="C165">
        <f ca="1"/>
        <v>3.4273929380942335E-2</v>
      </c>
      <c r="D165">
        <f ca="1"/>
        <v>1</v>
      </c>
      <c r="E165">
        <f ca="1"/>
        <v>100.37618439157208</v>
      </c>
      <c r="F165" s="10">
        <f ca="1"/>
        <v>-1.3229688531104005</v>
      </c>
      <c r="G165" s="7">
        <f ca="1"/>
        <v>1.3180107025680898E-2</v>
      </c>
      <c r="H165">
        <f ca="1"/>
        <v>49.019395328514314</v>
      </c>
      <c r="I165">
        <f ca="1"/>
        <v>-0.46345519210561997</v>
      </c>
      <c r="J165">
        <f ca="1"/>
        <v>2.4995315084891416</v>
      </c>
      <c r="K165">
        <f ca="1"/>
        <v>0</v>
      </c>
      <c r="L165">
        <f ca="1"/>
        <v>0</v>
      </c>
    </row>
    <row r="166" spans="2:12" x14ac:dyDescent="0.5">
      <c r="B166">
        <v>0.156</v>
      </c>
      <c r="C166">
        <f ca="1"/>
        <v>6.0861919258558356E-2</v>
      </c>
      <c r="D166">
        <f ca="1"/>
        <v>1</v>
      </c>
      <c r="E166">
        <f ca="1"/>
        <v>100.90934805926321</v>
      </c>
      <c r="F166" s="10">
        <f ca="1"/>
        <v>-3.4517660393454377</v>
      </c>
      <c r="G166" s="7">
        <f ca="1"/>
        <v>3.4206603310113992E-2</v>
      </c>
      <c r="H166">
        <f ca="1"/>
        <v>45.567629289168877</v>
      </c>
      <c r="I166">
        <f ca="1"/>
        <v>-0.42924858879550598</v>
      </c>
      <c r="J166">
        <f ca="1"/>
        <v>2.2524340384556112</v>
      </c>
      <c r="K166">
        <f ca="1"/>
        <v>0</v>
      </c>
      <c r="L166">
        <f ca="1"/>
        <v>0</v>
      </c>
    </row>
    <row r="167" spans="2:12" x14ac:dyDescent="0.5">
      <c r="B167">
        <v>0.157</v>
      </c>
      <c r="C167">
        <f ca="1"/>
        <v>2.7503561089809392E-2</v>
      </c>
      <c r="D167">
        <f ca="1"/>
        <v>1</v>
      </c>
      <c r="E167">
        <f ca="1"/>
        <v>100.23635008930378</v>
      </c>
      <c r="F167" s="10">
        <f ca="1"/>
        <v>4.3268127326752612</v>
      </c>
      <c r="G167" s="7">
        <f ca="1"/>
        <v>-4.316610420092476E-2</v>
      </c>
      <c r="H167">
        <f ca="1"/>
        <v>49.894442021844142</v>
      </c>
      <c r="I167">
        <f ca="1"/>
        <v>-0.47241469299643074</v>
      </c>
      <c r="J167">
        <f ca="1"/>
        <v>2.5413174673229406</v>
      </c>
      <c r="K167">
        <f ca="1"/>
        <v>0</v>
      </c>
      <c r="L167">
        <f ca="1"/>
        <v>0</v>
      </c>
    </row>
    <row r="168" spans="2:12" x14ac:dyDescent="0.5">
      <c r="B168">
        <v>0.158</v>
      </c>
      <c r="C168">
        <f ca="1"/>
        <v>7.0197544960621125E-2</v>
      </c>
      <c r="D168">
        <f ca="1"/>
        <v>1</v>
      </c>
      <c r="E168">
        <f ca="1"/>
        <v>101.09389060582856</v>
      </c>
      <c r="F168" s="10">
        <f ca="1"/>
        <v>-5.6060589068025219</v>
      </c>
      <c r="G168" s="7">
        <f ca="1"/>
        <v>5.5453983155726971E-2</v>
      </c>
      <c r="H168">
        <f ca="1"/>
        <v>44.288383115041619</v>
      </c>
      <c r="I168">
        <f ca="1"/>
        <v>-0.41696070984070377</v>
      </c>
      <c r="J168">
        <f ca="1"/>
        <v>2.1362027274768849</v>
      </c>
      <c r="K168">
        <f ca="1"/>
        <v>0</v>
      </c>
      <c r="L168">
        <f ca="1"/>
        <v>0</v>
      </c>
    </row>
    <row r="169" spans="2:12" x14ac:dyDescent="0.5">
      <c r="B169">
        <v>0.159</v>
      </c>
      <c r="C169">
        <f ca="1"/>
        <v>9.0773487818365459E-2</v>
      </c>
      <c r="D169">
        <f ca="1"/>
        <v>1</v>
      </c>
      <c r="E169">
        <f ca="1"/>
        <v>101.50873801069787</v>
      </c>
      <c r="F169" s="10">
        <f ca="1"/>
        <v>-2.6997575611056517</v>
      </c>
      <c r="G169" s="7">
        <f ca="1"/>
        <v>2.6596307017639487E-2</v>
      </c>
      <c r="H169">
        <f ca="1"/>
        <v>41.588625553935969</v>
      </c>
      <c r="I169">
        <f ca="1"/>
        <v>-0.39036440282306428</v>
      </c>
      <c r="J169">
        <f ca="1"/>
        <v>1.9632276590670088</v>
      </c>
      <c r="K169">
        <f ca="1"/>
        <v>0</v>
      </c>
      <c r="L169">
        <f ca="1"/>
        <v>0</v>
      </c>
    </row>
    <row r="170" spans="2:12" x14ac:dyDescent="0.5">
      <c r="B170">
        <v>0.16</v>
      </c>
      <c r="C170">
        <f ca="1"/>
        <v>0.1352353185846171</v>
      </c>
      <c r="D170">
        <f ca="1"/>
        <v>1</v>
      </c>
      <c r="E170">
        <f ca="1"/>
        <v>102.41336787148241</v>
      </c>
      <c r="F170" s="10">
        <f ca="1"/>
        <v>-5.7186591830874143</v>
      </c>
      <c r="G170" s="7">
        <f ca="1"/>
        <v>5.5838991549069128E-2</v>
      </c>
      <c r="H170">
        <f ca="1"/>
        <v>35.869966370848559</v>
      </c>
      <c r="I170">
        <f ca="1"/>
        <v>-0.33452541127399515</v>
      </c>
      <c r="J170">
        <f ca="1"/>
        <v>1.6100923636859434</v>
      </c>
      <c r="K170">
        <f ca="1"/>
        <v>0</v>
      </c>
      <c r="L170">
        <f ca="1"/>
        <v>0</v>
      </c>
    </row>
    <row r="171" spans="2:12" x14ac:dyDescent="0.5">
      <c r="B171">
        <v>0.161</v>
      </c>
      <c r="C171">
        <f ca="1"/>
        <v>0.18486125848567203</v>
      </c>
      <c r="D171">
        <f ca="1"/>
        <v>1</v>
      </c>
      <c r="E171">
        <f ca="1"/>
        <v>103.4328321896007</v>
      </c>
      <c r="F171" s="10">
        <f ca="1"/>
        <v>-6.0795828813674939</v>
      </c>
      <c r="G171" s="7">
        <f ca="1"/>
        <v>5.8778076096989484E-2</v>
      </c>
      <c r="H171">
        <f ca="1"/>
        <v>29.790383489481066</v>
      </c>
      <c r="I171">
        <f ca="1"/>
        <v>-0.27574733517700567</v>
      </c>
      <c r="J171">
        <f ca="1"/>
        <v>1.2690556433882598</v>
      </c>
      <c r="K171">
        <f ca="1"/>
        <v>0</v>
      </c>
      <c r="L171">
        <f ca="1"/>
        <v>0</v>
      </c>
    </row>
    <row r="172" spans="2:12" x14ac:dyDescent="0.5">
      <c r="B172">
        <v>0.16200000000000001</v>
      </c>
      <c r="C172">
        <f ca="1"/>
        <v>0.19133851204482311</v>
      </c>
      <c r="D172">
        <f ca="1"/>
        <v>1</v>
      </c>
      <c r="E172">
        <f ca="1"/>
        <v>103.56483983577114</v>
      </c>
      <c r="F172" s="10">
        <f ca="1"/>
        <v>-0.84271460057089365</v>
      </c>
      <c r="G172" s="7">
        <f ca="1"/>
        <v>8.1370724070759515E-3</v>
      </c>
      <c r="H172">
        <f ca="1"/>
        <v>28.947668888910172</v>
      </c>
      <c r="I172">
        <f ca="1"/>
        <v>-0.26761026276992972</v>
      </c>
      <c r="J172">
        <f ca="1"/>
        <v>1.2326548867337728</v>
      </c>
      <c r="K172">
        <f ca="1"/>
        <v>0</v>
      </c>
      <c r="L172">
        <f ca="1"/>
        <v>0</v>
      </c>
    </row>
    <row r="173" spans="2:12" x14ac:dyDescent="0.5">
      <c r="B173">
        <v>0.16300000000000001</v>
      </c>
      <c r="C173">
        <f ca="1"/>
        <v>0.22504455588996408</v>
      </c>
      <c r="D173">
        <f ca="1"/>
        <v>1</v>
      </c>
      <c r="E173">
        <f ca="1"/>
        <v>104.26326524768169</v>
      </c>
      <c r="F173" s="10">
        <f ca="1"/>
        <v>-3.869391880326873</v>
      </c>
      <c r="G173" s="7">
        <f ca="1"/>
        <v>3.7111746607349894E-2</v>
      </c>
      <c r="H173">
        <f ca="1"/>
        <v>25.078277008583299</v>
      </c>
      <c r="I173">
        <f ca="1"/>
        <v>-0.23049851616257983</v>
      </c>
      <c r="J173">
        <f ca="1"/>
        <v>1.0457490787271944</v>
      </c>
      <c r="K173">
        <f ca="1"/>
        <v>0</v>
      </c>
      <c r="L173">
        <f ca="1"/>
        <v>0</v>
      </c>
    </row>
    <row r="174" spans="2:12" x14ac:dyDescent="0.5">
      <c r="B174">
        <v>0.16400000000000001</v>
      </c>
      <c r="C174">
        <f ca="1"/>
        <v>0.22888999646273159</v>
      </c>
      <c r="D174">
        <f ca="1"/>
        <v>1</v>
      </c>
      <c r="E174">
        <f ca="1"/>
        <v>104.34139688054852</v>
      </c>
      <c r="F174" s="10">
        <f ca="1"/>
        <v>-0.52661861749376027</v>
      </c>
      <c r="G174" s="7">
        <f ca="1"/>
        <v>5.0470727174243279E-3</v>
      </c>
      <c r="H174">
        <f ca="1"/>
        <v>24.551658391089539</v>
      </c>
      <c r="I174">
        <f ca="1"/>
        <v>-0.2254514434451555</v>
      </c>
      <c r="J174">
        <f ca="1"/>
        <v>1.0277398532860325</v>
      </c>
      <c r="K174">
        <f ca="1"/>
        <v>0</v>
      </c>
      <c r="L174">
        <f ca="1"/>
        <v>0</v>
      </c>
    </row>
    <row r="175" spans="2:12" x14ac:dyDescent="0.5">
      <c r="B175">
        <v>0.16500000000000001</v>
      </c>
      <c r="C175">
        <f ca="1"/>
        <v>0.22475349178732018</v>
      </c>
      <c r="D175">
        <f ca="1"/>
        <v>1</v>
      </c>
      <c r="E175">
        <f ca="1"/>
        <v>104.25302576115682</v>
      </c>
      <c r="F175" s="10">
        <f ca="1"/>
        <v>0.32846718636075956</v>
      </c>
      <c r="G175" s="7">
        <f ca="1"/>
        <v>-3.15067293215332E-3</v>
      </c>
      <c r="H175">
        <f ca="1"/>
        <v>24.880125577450301</v>
      </c>
      <c r="I175">
        <f ca="1"/>
        <v>-0.22860211637730882</v>
      </c>
      <c r="J175">
        <f ca="1"/>
        <v>1.0476632497117535</v>
      </c>
      <c r="K175">
        <f ca="1"/>
        <v>0</v>
      </c>
      <c r="L175">
        <f ca="1"/>
        <v>0</v>
      </c>
    </row>
    <row r="176" spans="2:12" x14ac:dyDescent="0.5">
      <c r="B176">
        <v>0.16600000000000001</v>
      </c>
      <c r="C176">
        <f ca="1"/>
        <v>0.26700953298197461</v>
      </c>
      <c r="D176">
        <f ca="1"/>
        <v>1</v>
      </c>
      <c r="E176">
        <f ca="1"/>
        <v>105.1357205939839</v>
      </c>
      <c r="F176" s="10">
        <f ca="1"/>
        <v>-4.4858852775957265</v>
      </c>
      <c r="G176" s="7">
        <f ca="1"/>
        <v>4.2667565811618346E-2</v>
      </c>
      <c r="H176">
        <f ca="1"/>
        <v>20.394240299854573</v>
      </c>
      <c r="I176">
        <f ca="1"/>
        <v>-0.18593455056569047</v>
      </c>
      <c r="J176">
        <f ca="1"/>
        <v>0.84587734281216953</v>
      </c>
      <c r="K176">
        <f ca="1"/>
        <v>0</v>
      </c>
      <c r="L176">
        <f ca="1"/>
        <v>0</v>
      </c>
    </row>
    <row r="177" spans="2:12" x14ac:dyDescent="0.5">
      <c r="B177">
        <v>0.16700000000000001</v>
      </c>
      <c r="C177">
        <f ca="1"/>
        <v>0.25206238470756109</v>
      </c>
      <c r="D177">
        <f ca="1"/>
        <v>1</v>
      </c>
      <c r="E177">
        <f ca="1"/>
        <v>104.81979765101157</v>
      </c>
      <c r="F177" s="10">
        <f ca="1"/>
        <v>1.3529636732917167</v>
      </c>
      <c r="G177" s="7">
        <f ca="1"/>
        <v>-1.2907520369351333E-2</v>
      </c>
      <c r="H177">
        <f ca="1"/>
        <v>21.747203973146291</v>
      </c>
      <c r="I177">
        <f ca="1"/>
        <v>-0.1988420709350418</v>
      </c>
      <c r="J177">
        <f ca="1"/>
        <v>0.90461833322711982</v>
      </c>
      <c r="K177">
        <f ca="1"/>
        <v>0</v>
      </c>
      <c r="L177">
        <f ca="1"/>
        <v>0</v>
      </c>
    </row>
    <row r="178" spans="2:12" x14ac:dyDescent="0.5">
      <c r="B178">
        <v>0.16800000000000001</v>
      </c>
      <c r="C178">
        <f ca="1"/>
        <v>0.277343908301317</v>
      </c>
      <c r="D178">
        <f ca="1"/>
        <v>1</v>
      </c>
      <c r="E178">
        <f ca="1"/>
        <v>105.34903367082768</v>
      </c>
      <c r="F178" s="10">
        <f ca="1"/>
        <v>-2.6175951810305516</v>
      </c>
      <c r="G178" s="7">
        <f ca="1"/>
        <v>2.4846883638339368E-2</v>
      </c>
      <c r="H178">
        <f ca="1"/>
        <v>19.129608792115739</v>
      </c>
      <c r="I178">
        <f ca="1"/>
        <v>-0.17399518729670244</v>
      </c>
      <c r="J178">
        <f ca="1"/>
        <v>0.7993839470334656</v>
      </c>
      <c r="K178">
        <f ca="1"/>
        <v>0</v>
      </c>
      <c r="L178">
        <f ca="1"/>
        <v>0</v>
      </c>
    </row>
    <row r="179" spans="2:12" x14ac:dyDescent="0.5">
      <c r="B179">
        <v>0.16900000000000001</v>
      </c>
      <c r="C179">
        <f ca="1"/>
        <v>0.27951058222351732</v>
      </c>
      <c r="D179">
        <f ca="1"/>
        <v>1</v>
      </c>
      <c r="E179">
        <f ca="1"/>
        <v>105.39258709140277</v>
      </c>
      <c r="F179" s="10">
        <f ca="1"/>
        <v>-0.34133393038191889</v>
      </c>
      <c r="G179" s="7">
        <f ca="1"/>
        <v>3.2386901185554318E-3</v>
      </c>
      <c r="H179">
        <f ca="1"/>
        <v>18.788274861733822</v>
      </c>
      <c r="I179">
        <f ca="1"/>
        <v>-0.170756497178147</v>
      </c>
      <c r="J179">
        <f ca="1"/>
        <v>0.79180586146309295</v>
      </c>
      <c r="K179">
        <f ca="1"/>
        <v>0</v>
      </c>
      <c r="L179">
        <f ca="1"/>
        <v>0</v>
      </c>
    </row>
    <row r="180" spans="2:12" x14ac:dyDescent="0.5">
      <c r="B180">
        <v>0.17</v>
      </c>
      <c r="C180">
        <f ca="1"/>
        <v>0.2632591736869988</v>
      </c>
      <c r="D180">
        <f ca="1"/>
        <v>1</v>
      </c>
      <c r="E180">
        <f ca="1"/>
        <v>105.04848660119377</v>
      </c>
      <c r="F180" s="10">
        <f ca="1"/>
        <v>1.4271151178383139</v>
      </c>
      <c r="G180" s="7">
        <f ca="1"/>
        <v>-1.3585299170051024E-2</v>
      </c>
      <c r="H180">
        <f ca="1"/>
        <v>20.215389979572137</v>
      </c>
      <c r="I180">
        <f ca="1"/>
        <v>-0.18434179634819803</v>
      </c>
      <c r="J180">
        <f ca="1"/>
        <v>0.85056325584846704</v>
      </c>
      <c r="K180">
        <f ca="1"/>
        <v>0</v>
      </c>
      <c r="L180">
        <f ca="1"/>
        <v>0</v>
      </c>
    </row>
    <row r="181" spans="2:12" x14ac:dyDescent="0.5">
      <c r="B181">
        <v>0.17100000000000001</v>
      </c>
      <c r="C181">
        <f ca="1"/>
        <v>0.22802984426782985</v>
      </c>
      <c r="D181">
        <f ca="1"/>
        <v>1</v>
      </c>
      <c r="E181">
        <f ca="1"/>
        <v>104.30884426764322</v>
      </c>
      <c r="F181" s="10">
        <f ca="1"/>
        <v>3.5232600000343273</v>
      </c>
      <c r="G181" s="7">
        <f ca="1"/>
        <v>-3.3777193341286482E-2</v>
      </c>
      <c r="H181">
        <f ca="1"/>
        <v>23.738649979606464</v>
      </c>
      <c r="I181">
        <f ca="1"/>
        <v>-0.21811898968948451</v>
      </c>
      <c r="J181">
        <f ca="1"/>
        <v>0.98691025227034501</v>
      </c>
      <c r="K181">
        <f ca="1"/>
        <v>0</v>
      </c>
      <c r="L181">
        <f ca="1"/>
        <v>0</v>
      </c>
    </row>
    <row r="182" spans="2:12" x14ac:dyDescent="0.5">
      <c r="B182">
        <v>0.17200000000000001</v>
      </c>
      <c r="C182">
        <f ca="1"/>
        <v>0.24606715076967811</v>
      </c>
      <c r="D182">
        <f ca="1"/>
        <v>1</v>
      </c>
      <c r="E182">
        <f ca="1"/>
        <v>104.68372023420032</v>
      </c>
      <c r="F182" s="10">
        <f ca="1"/>
        <v>-2.0658384771585592</v>
      </c>
      <c r="G182" s="7">
        <f ca="1"/>
        <v>1.9734094972330252E-2</v>
      </c>
      <c r="H182">
        <f ca="1"/>
        <v>21.672811502447907</v>
      </c>
      <c r="I182">
        <f ca="1"/>
        <v>-0.19838489471715426</v>
      </c>
      <c r="J182">
        <f ca="1"/>
        <v>0.90514268518604624</v>
      </c>
      <c r="K182">
        <f ca="1"/>
        <v>0</v>
      </c>
      <c r="L182">
        <f ca="1"/>
        <v>0</v>
      </c>
    </row>
    <row r="183" spans="2:12" x14ac:dyDescent="0.5">
      <c r="B183">
        <v>0.17300000000000001</v>
      </c>
      <c r="C183">
        <f ca="1"/>
        <v>0.22132135740888936</v>
      </c>
      <c r="D183">
        <f ca="1"/>
        <v>1</v>
      </c>
      <c r="E183">
        <f ca="1"/>
        <v>104.16482053318488</v>
      </c>
      <c r="F183" s="10">
        <f ca="1"/>
        <v>2.5363658331036478</v>
      </c>
      <c r="G183" s="7">
        <f ca="1"/>
        <v>-2.4349543541867968E-2</v>
      </c>
      <c r="H183">
        <f ca="1"/>
        <v>24.209177335551555</v>
      </c>
      <c r="I183">
        <f ca="1"/>
        <v>-0.22273443825902223</v>
      </c>
      <c r="J183">
        <f ca="1"/>
        <v>1.0080845477407578</v>
      </c>
      <c r="K183">
        <f ca="1"/>
        <v>0</v>
      </c>
      <c r="L183">
        <f ca="1"/>
        <v>0</v>
      </c>
    </row>
    <row r="184" spans="2:12" x14ac:dyDescent="0.5">
      <c r="B184">
        <v>0.17400000000000002</v>
      </c>
      <c r="C184">
        <f ca="1"/>
        <v>0.22398265516345642</v>
      </c>
      <c r="D184">
        <f ca="1"/>
        <v>1</v>
      </c>
      <c r="E184">
        <f ca="1"/>
        <v>104.21819362664348</v>
      </c>
      <c r="F184" s="10">
        <f ca="1"/>
        <v>-0.43063858594879345</v>
      </c>
      <c r="G184" s="7">
        <f ca="1"/>
        <v>4.1320864521173228E-3</v>
      </c>
      <c r="H184">
        <f ca="1"/>
        <v>23.778538749602763</v>
      </c>
      <c r="I184">
        <f ca="1"/>
        <v>-0.2186023518069049</v>
      </c>
      <c r="J184">
        <f ca="1"/>
        <v>0.99619652175110929</v>
      </c>
      <c r="K184">
        <f ca="1"/>
        <v>0</v>
      </c>
      <c r="L184">
        <f ca="1"/>
        <v>0</v>
      </c>
    </row>
    <row r="185" spans="2:12" x14ac:dyDescent="0.5">
      <c r="B185">
        <v>0.17500000000000002</v>
      </c>
      <c r="C185">
        <f ca="1"/>
        <v>0.3058706963500431</v>
      </c>
      <c r="D185">
        <f ca="1"/>
        <v>1</v>
      </c>
      <c r="E185">
        <f ca="1"/>
        <v>105.93697324651244</v>
      </c>
      <c r="F185" s="10">
        <f ca="1"/>
        <v>-8.3280196790414038</v>
      </c>
      <c r="G185" s="7">
        <f ca="1"/>
        <v>7.8612966028983378E-2</v>
      </c>
      <c r="H185">
        <f ca="1"/>
        <v>15.450519070561359</v>
      </c>
      <c r="I185">
        <f ca="1"/>
        <v>-0.13998938577792153</v>
      </c>
      <c r="J185">
        <f ca="1"/>
        <v>0.6204672546099772</v>
      </c>
      <c r="K185">
        <f ca="1"/>
        <v>0</v>
      </c>
      <c r="L185">
        <f ca="1"/>
        <v>0</v>
      </c>
    </row>
    <row r="186" spans="2:12" x14ac:dyDescent="0.5">
      <c r="B186">
        <v>0.17599999999999999</v>
      </c>
      <c r="C186">
        <f ca="1"/>
        <v>0.27923793747901676</v>
      </c>
      <c r="D186">
        <f ca="1"/>
        <v>1</v>
      </c>
      <c r="E186">
        <f ca="1"/>
        <v>105.37208717619215</v>
      </c>
      <c r="F186" s="10">
        <f ca="1"/>
        <v>2.2487899613379088</v>
      </c>
      <c r="G186" s="7">
        <f ca="1"/>
        <v>-2.1341419930097028E-2</v>
      </c>
      <c r="H186">
        <f ca="1"/>
        <v>17.699309031899269</v>
      </c>
      <c r="I186">
        <f ca="1"/>
        <v>-0.16133080570801855</v>
      </c>
      <c r="J186">
        <f ca="1"/>
        <v>0.6995453086286183</v>
      </c>
      <c r="K186">
        <f ca="1"/>
        <v>0</v>
      </c>
      <c r="L186">
        <f ca="1"/>
        <v>0</v>
      </c>
    </row>
    <row r="187" spans="2:12" x14ac:dyDescent="0.5">
      <c r="B187">
        <v>0.17699999999999999</v>
      </c>
      <c r="C187">
        <f ca="1"/>
        <v>0.30359647493661079</v>
      </c>
      <c r="D187">
        <f ca="1"/>
        <v>1</v>
      </c>
      <c r="E187">
        <f ca="1"/>
        <v>105.88456390927618</v>
      </c>
      <c r="F187">
        <f ca="1"/>
        <v>-2.3725940068663967</v>
      </c>
      <c r="G187" s="7">
        <f ca="1"/>
        <v>2.240736439070834E-2</v>
      </c>
      <c r="H187">
        <f ca="1"/>
        <v>15.326715025032872</v>
      </c>
      <c r="I187">
        <f ca="1"/>
        <v>-0.13892344131731021</v>
      </c>
      <c r="J187">
        <f ca="1"/>
        <v>0.61686702437356011</v>
      </c>
      <c r="K187">
        <f ca="1"/>
        <v>0</v>
      </c>
      <c r="L187">
        <f ca="1"/>
        <v>0</v>
      </c>
    </row>
    <row r="188" spans="2:12" x14ac:dyDescent="0.5">
      <c r="B188">
        <v>0.17799999999999999</v>
      </c>
      <c r="C188">
        <f ca="1"/>
        <v>0.25992590575483188</v>
      </c>
      <c r="D188">
        <f ca="1"/>
        <v>1</v>
      </c>
      <c r="E188">
        <f ca="1"/>
        <v>104.96168377587203</v>
      </c>
      <c r="F188">
        <f ca="1"/>
        <v>3.9333069703282724</v>
      </c>
      <c r="G188" s="7">
        <f ca="1"/>
        <v>-3.7473741167559638E-2</v>
      </c>
      <c r="H188">
        <f ca="1"/>
        <v>19.260021995361143</v>
      </c>
      <c r="I188">
        <f ca="1"/>
        <v>-0.17639718248486985</v>
      </c>
      <c r="J188">
        <f ca="1"/>
        <v>0.74507670842944052</v>
      </c>
      <c r="K188">
        <f ca="1"/>
        <v>0</v>
      </c>
      <c r="L188">
        <f ca="1"/>
        <v>0</v>
      </c>
    </row>
    <row r="189" spans="2:12" x14ac:dyDescent="0.5">
      <c r="B189">
        <v>0.17899999999999999</v>
      </c>
      <c r="C189">
        <f ca="1"/>
        <v>0.26000153750819738</v>
      </c>
      <c r="D189">
        <f ca="1"/>
        <v>1</v>
      </c>
      <c r="E189">
        <f ca="1"/>
        <v>104.9611722306791</v>
      </c>
      <c r="F189">
        <f ca="1"/>
        <v>-0.16416129786777708</v>
      </c>
      <c r="G189" s="7">
        <f ca="1"/>
        <v>1.5640192880753134E-3</v>
      </c>
      <c r="H189">
        <f ca="1"/>
        <v>19.095860697493364</v>
      </c>
      <c r="I189">
        <f ca="1"/>
        <v>-0.17483316319679454</v>
      </c>
      <c r="J189">
        <f ca="1"/>
        <v>0.74516694356018576</v>
      </c>
      <c r="K189">
        <f ca="1"/>
        <v>0</v>
      </c>
      <c r="L189">
        <f ca="1"/>
        <v>0</v>
      </c>
    </row>
    <row r="190" spans="2:12" x14ac:dyDescent="0.5">
      <c r="B190">
        <v>0.18</v>
      </c>
      <c r="C190">
        <f ca="1"/>
        <v>0.25723096327357403</v>
      </c>
      <c r="D190">
        <f ca="1"/>
        <v>1</v>
      </c>
      <c r="E190">
        <f ca="1"/>
        <v>104.90092975805452</v>
      </c>
      <c r="F190">
        <f ca="1"/>
        <v>0.123796853154001</v>
      </c>
      <c r="G190" s="7">
        <f ca="1"/>
        <v>-1.1801311336279707E-3</v>
      </c>
      <c r="H190">
        <f ca="1"/>
        <v>19.219657550647366</v>
      </c>
      <c r="I190">
        <f ca="1"/>
        <v>-0.17601329433042251</v>
      </c>
      <c r="J190">
        <f ca="1"/>
        <v>0.75569932560793873</v>
      </c>
      <c r="K190">
        <f ca="1"/>
        <v>0</v>
      </c>
      <c r="L190">
        <f ca="1"/>
        <v>0</v>
      </c>
    </row>
    <row r="191" spans="2:12" x14ac:dyDescent="0.5">
      <c r="B191">
        <v>0.18099999999999999</v>
      </c>
      <c r="C191">
        <f ca="1"/>
        <v>0.27269760255766917</v>
      </c>
      <c r="D191">
        <f ca="1"/>
        <v>1</v>
      </c>
      <c r="E191">
        <f ca="1"/>
        <v>105.22382062828801</v>
      </c>
      <c r="F191">
        <f ca="1"/>
        <v>-1.7117581529506165</v>
      </c>
      <c r="G191" s="7">
        <f ca="1"/>
        <v>1.6267781788665003E-2</v>
      </c>
      <c r="H191">
        <f ca="1"/>
        <v>17.50789939769675</v>
      </c>
      <c r="I191">
        <f ca="1"/>
        <v>-0.15974551254175751</v>
      </c>
      <c r="J191">
        <f ca="1"/>
        <v>0.69886623982892715</v>
      </c>
      <c r="K191">
        <f ca="1"/>
        <v>0</v>
      </c>
      <c r="L191">
        <f ca="1"/>
        <v>0</v>
      </c>
    </row>
    <row r="192" spans="2:12" x14ac:dyDescent="0.5">
      <c r="B192">
        <v>0.182</v>
      </c>
      <c r="C192">
        <f ca="1"/>
        <v>0.26281827172071431</v>
      </c>
      <c r="D192">
        <f ca="1"/>
        <v>1</v>
      </c>
      <c r="E192">
        <f ca="1"/>
        <v>105.01401740391667</v>
      </c>
      <c r="F192">
        <f ca="1"/>
        <v>0.81292292287208723</v>
      </c>
      <c r="G192" s="7">
        <f ca="1"/>
        <v>-7.7410896465881507E-3</v>
      </c>
      <c r="H192">
        <f ca="1"/>
        <v>18.320822320568837</v>
      </c>
      <c r="I192">
        <f ca="1"/>
        <v>-0.16748660218834566</v>
      </c>
      <c r="J192">
        <f ca="1"/>
        <v>0.73238136343903903</v>
      </c>
      <c r="K192">
        <f ca="1"/>
        <v>0</v>
      </c>
      <c r="L192">
        <f ca="1"/>
        <v>0</v>
      </c>
    </row>
    <row r="193" spans="2:12" x14ac:dyDescent="0.5">
      <c r="B193">
        <v>0.183</v>
      </c>
      <c r="C193">
        <f ca="1"/>
        <v>0.30884623803147493</v>
      </c>
      <c r="D193">
        <f ca="1"/>
        <v>1</v>
      </c>
      <c r="E193">
        <f ca="1"/>
        <v>105.98307733610241</v>
      </c>
      <c r="F193">
        <f ca="1"/>
        <v>-4.4594614332857123</v>
      </c>
      <c r="G193" s="7">
        <f ca="1"/>
        <v>4.2077108396687657E-2</v>
      </c>
      <c r="H193">
        <f ca="1"/>
        <v>13.861360887283125</v>
      </c>
      <c r="I193">
        <f ca="1"/>
        <v>-0.125409493791658</v>
      </c>
      <c r="J193">
        <f ca="1"/>
        <v>0.57007680808037975</v>
      </c>
      <c r="K193">
        <f ca="1"/>
        <v>0</v>
      </c>
      <c r="L193">
        <f ca="1"/>
        <v>0</v>
      </c>
    </row>
    <row r="194" spans="2:12" x14ac:dyDescent="0.5">
      <c r="B194">
        <v>0.184</v>
      </c>
      <c r="C194">
        <f ca="1"/>
        <v>0.3274082177040285</v>
      </c>
      <c r="D194">
        <f ca="1"/>
        <v>1</v>
      </c>
      <c r="E194">
        <f ca="1"/>
        <v>106.37513218541844</v>
      </c>
      <c r="F194">
        <f ca="1"/>
        <v>-1.6786476781899511</v>
      </c>
      <c r="G194" s="7">
        <f ca="1"/>
        <v>1.5780452101003872E-2</v>
      </c>
      <c r="H194">
        <f ca="1"/>
        <v>12.182713209093173</v>
      </c>
      <c r="I194">
        <f ca="1"/>
        <v>-0.10962904169065413</v>
      </c>
      <c r="J194">
        <f ca="1"/>
        <v>0.52090940788909101</v>
      </c>
      <c r="K194">
        <f ca="1"/>
        <v>0</v>
      </c>
      <c r="L194">
        <f ca="1"/>
        <v>0</v>
      </c>
    </row>
    <row r="195" spans="2:12" x14ac:dyDescent="0.5">
      <c r="B195">
        <v>0.185</v>
      </c>
      <c r="C195">
        <f ca="1"/>
        <v>0.35884817324069718</v>
      </c>
      <c r="D195">
        <f ca="1"/>
        <v>1</v>
      </c>
      <c r="E195">
        <f ca="1"/>
        <v>107.04398455855635</v>
      </c>
      <c r="F195">
        <f ca="1"/>
        <v>-2.4390327840110251</v>
      </c>
      <c r="G195" s="7">
        <f ca="1"/>
        <v>2.278533253474696E-2</v>
      </c>
      <c r="H195">
        <f ca="1"/>
        <v>9.7436804250821467</v>
      </c>
      <c r="I195">
        <f ca="1"/>
        <v>-8.6843709155907167E-2</v>
      </c>
      <c r="J195">
        <f ca="1"/>
        <v>0.44758376318946169</v>
      </c>
      <c r="K195">
        <f ca="1"/>
        <v>0</v>
      </c>
      <c r="L195">
        <f ca="1"/>
        <v>0</v>
      </c>
    </row>
    <row r="196" spans="2:12" x14ac:dyDescent="0.5">
      <c r="B196">
        <v>0.186</v>
      </c>
      <c r="C196">
        <f ca="1"/>
        <v>0.36678664230316244</v>
      </c>
      <c r="D196">
        <f ca="1"/>
        <v>1</v>
      </c>
      <c r="E196">
        <f ca="1"/>
        <v>107.21192835864572</v>
      </c>
      <c r="F196">
        <f ca="1"/>
        <v>-0.67868850522075574</v>
      </c>
      <c r="G196" s="7">
        <f ca="1"/>
        <v>6.3303450988252408E-3</v>
      </c>
      <c r="H196">
        <f ca="1"/>
        <v>9.0649919198613915</v>
      </c>
      <c r="I196">
        <f ca="1"/>
        <v>-8.0513364057081926E-2</v>
      </c>
      <c r="J196">
        <f ca="1"/>
        <v>0.43299890065996216</v>
      </c>
      <c r="K196">
        <f ca="1"/>
        <v>0</v>
      </c>
      <c r="L196">
        <f ca="1"/>
        <v>0</v>
      </c>
    </row>
    <row r="197" spans="2:12" x14ac:dyDescent="0.5">
      <c r="B197">
        <v>0.187</v>
      </c>
      <c r="C197">
        <f ca="1"/>
        <v>0.37497754246852938</v>
      </c>
      <c r="D197">
        <f ca="1"/>
        <v>1</v>
      </c>
      <c r="E197">
        <f ca="1"/>
        <v>107.385557003739</v>
      </c>
      <c r="F197">
        <f ca="1"/>
        <v>-0.66796915281342428</v>
      </c>
      <c r="G197" s="7">
        <f ca="1"/>
        <v>6.2202885699998434E-3</v>
      </c>
      <c r="H197">
        <f ca="1"/>
        <v>8.397022767047968</v>
      </c>
      <c r="I197">
        <f ca="1"/>
        <v>-7.4293075487082083E-2</v>
      </c>
      <c r="J197">
        <f ca="1"/>
        <v>0.41901947434683073</v>
      </c>
      <c r="K197">
        <f ca="1"/>
        <v>0</v>
      </c>
      <c r="L197">
        <f ca="1"/>
        <v>0</v>
      </c>
    </row>
    <row r="198" spans="2:12" x14ac:dyDescent="0.5">
      <c r="B198">
        <v>0.188</v>
      </c>
      <c r="C198">
        <f ca="1"/>
        <v>0.36641038146928201</v>
      </c>
      <c r="D198">
        <f ca="1"/>
        <v>1</v>
      </c>
      <c r="E198">
        <f ca="1"/>
        <v>107.19957266362215</v>
      </c>
      <c r="F198">
        <f ca="1"/>
        <v>0.36174579855930694</v>
      </c>
      <c r="G198" s="7">
        <f ca="1"/>
        <v>-3.3745078415043372E-3</v>
      </c>
      <c r="H198">
        <f ca="1"/>
        <v>8.7587685656072747</v>
      </c>
      <c r="I198">
        <f ca="1"/>
        <v>-7.766758332858642E-2</v>
      </c>
      <c r="J198">
        <f ca="1"/>
        <v>0.43283682296654646</v>
      </c>
      <c r="K198">
        <f ca="1"/>
        <v>0</v>
      </c>
      <c r="L198">
        <f ca="1"/>
        <v>0</v>
      </c>
    </row>
    <row r="199" spans="2:12" x14ac:dyDescent="0.5">
      <c r="B199">
        <v>0.189</v>
      </c>
      <c r="C199">
        <f ca="1"/>
        <v>0.3916723100125068</v>
      </c>
      <c r="D199">
        <f ca="1"/>
        <v>1</v>
      </c>
      <c r="E199">
        <f ca="1"/>
        <v>107.740401950484</v>
      </c>
      <c r="F199">
        <f ca="1"/>
        <v>-1.6326853063365052</v>
      </c>
      <c r="G199" s="7">
        <f ca="1"/>
        <v>1.5153881708060313E-2</v>
      </c>
      <c r="H199">
        <f ca="1"/>
        <v>7.1260832592707697</v>
      </c>
      <c r="I199">
        <f ca="1"/>
        <v>-6.2513701620526108E-2</v>
      </c>
      <c r="J199">
        <f ca="1"/>
        <v>0.3908319192626637</v>
      </c>
      <c r="K199">
        <f ca="1"/>
        <v>0</v>
      </c>
      <c r="L199">
        <f ca="1"/>
        <v>0</v>
      </c>
    </row>
    <row r="200" spans="2:12" x14ac:dyDescent="0.5">
      <c r="B200">
        <v>0.19</v>
      </c>
      <c r="C200">
        <f ca="1"/>
        <v>0.37999099143780452</v>
      </c>
      <c r="D200">
        <f ca="1"/>
        <v>1</v>
      </c>
      <c r="E200">
        <f ca="1"/>
        <v>107.48683600217271</v>
      </c>
      <c r="F200">
        <f ca="1"/>
        <v>0.48610626556673731</v>
      </c>
      <c r="G200" s="7">
        <f ca="1"/>
        <v>-4.5224725524241061E-3</v>
      </c>
      <c r="H200">
        <f ca="1"/>
        <v>7.6121895248375067</v>
      </c>
      <c r="I200">
        <f ca="1"/>
        <v>-6.7036174172950214E-2</v>
      </c>
      <c r="J200">
        <f ca="1"/>
        <v>0.40668326529652177</v>
      </c>
      <c r="K200">
        <f ca="1"/>
        <v>0</v>
      </c>
      <c r="L200">
        <f ca="1"/>
        <v>0</v>
      </c>
    </row>
    <row r="201" spans="2:12" x14ac:dyDescent="0.5">
      <c r="B201">
        <v>0.191</v>
      </c>
      <c r="C201">
        <f ca="1"/>
        <v>0.38425870419711228</v>
      </c>
      <c r="D201">
        <f ca="1"/>
        <v>1</v>
      </c>
      <c r="E201">
        <f ca="1"/>
        <v>107.57646820468322</v>
      </c>
      <c r="F201">
        <f ca="1"/>
        <v>-0.40161284019409815</v>
      </c>
      <c r="G201" s="7">
        <f ca="1"/>
        <v>3.7332777966828101E-3</v>
      </c>
      <c r="H201">
        <f ca="1"/>
        <v>7.2105766846434083</v>
      </c>
      <c r="I201">
        <f ca="1"/>
        <v>-6.3302896376267404E-2</v>
      </c>
      <c r="J201">
        <f ca="1"/>
        <v>0.4006746653575215</v>
      </c>
      <c r="K201">
        <f ca="1"/>
        <v>0</v>
      </c>
      <c r="L201">
        <f ca="1"/>
        <v>0</v>
      </c>
    </row>
    <row r="202" spans="2:12" x14ac:dyDescent="0.5">
      <c r="B202">
        <v>0.192</v>
      </c>
      <c r="C202">
        <f ca="1"/>
        <v>0.38631600837601671</v>
      </c>
      <c r="D202">
        <f ca="1"/>
        <v>1</v>
      </c>
      <c r="E202">
        <f ca="1"/>
        <v>107.61858842250693</v>
      </c>
      <c r="F202">
        <f ca="1"/>
        <v>-0.27397904723882904</v>
      </c>
      <c r="G202" s="7">
        <f ca="1"/>
        <v>2.5458338680600101E-3</v>
      </c>
      <c r="H202">
        <f ca="1"/>
        <v>6.9365976374045797</v>
      </c>
      <c r="I202">
        <f ca="1"/>
        <v>-6.0757062508207393E-2</v>
      </c>
      <c r="J202">
        <f ca="1"/>
        <v>0.3980083335732818</v>
      </c>
      <c r="K202">
        <f ca="1"/>
        <v>0</v>
      </c>
      <c r="L202">
        <f ca="1"/>
        <v>0</v>
      </c>
    </row>
    <row r="203" spans="2:12" x14ac:dyDescent="0.5">
      <c r="B203">
        <v>0.193</v>
      </c>
      <c r="C203">
        <f ca="1"/>
        <v>0.38105885042596427</v>
      </c>
      <c r="D203">
        <f ca="1"/>
        <v>1</v>
      </c>
      <c r="E203">
        <f ca="1"/>
        <v>107.50334421636494</v>
      </c>
      <c r="F203">
        <f ca="1"/>
        <v>0.12158166342637772</v>
      </c>
      <c r="G203" s="7">
        <f ca="1"/>
        <v>-1.1309570349893328E-3</v>
      </c>
      <c r="H203">
        <f ca="1"/>
        <v>7.0581793008309575</v>
      </c>
      <c r="I203">
        <f ca="1"/>
        <v>-6.1888019543196726E-2</v>
      </c>
      <c r="J203">
        <f ca="1"/>
        <v>0.40501023300955907</v>
      </c>
      <c r="K203">
        <f ca="1"/>
        <v>0</v>
      </c>
      <c r="L203">
        <f ca="1"/>
        <v>0</v>
      </c>
    </row>
    <row r="204" spans="2:12" x14ac:dyDescent="0.5">
      <c r="B204">
        <v>0.19400000000000001</v>
      </c>
      <c r="C204">
        <f ca="1"/>
        <v>0.36307927218463865</v>
      </c>
      <c r="D204">
        <f ca="1"/>
        <v>1</v>
      </c>
      <c r="E204">
        <f ca="1"/>
        <v>107.11532314028879</v>
      </c>
      <c r="F204">
        <f ca="1"/>
        <v>0.86628170746853994</v>
      </c>
      <c r="G204" s="7">
        <f ca="1"/>
        <v>-8.087374262354341E-3</v>
      </c>
      <c r="H204">
        <f ca="1"/>
        <v>7.9244610082994971</v>
      </c>
      <c r="I204">
        <f ca="1"/>
        <v>-6.9975393805551067E-2</v>
      </c>
      <c r="J204">
        <f ca="1"/>
        <v>0.42902408894893185</v>
      </c>
      <c r="K204">
        <f ca="1"/>
        <v>0</v>
      </c>
      <c r="L204">
        <f ca="1"/>
        <v>0</v>
      </c>
    </row>
    <row r="205" spans="2:12" x14ac:dyDescent="0.5">
      <c r="B205">
        <v>0.19500000000000001</v>
      </c>
      <c r="C205">
        <f ca="1"/>
        <v>0.41785038988180889</v>
      </c>
      <c r="D205">
        <f ca="1"/>
        <v>1</v>
      </c>
      <c r="E205">
        <f ca="1"/>
        <v>108.29297263640356</v>
      </c>
      <c r="F205">
        <f ca="1"/>
        <v>-2.9718618026568207</v>
      </c>
      <c r="G205" s="7">
        <f ca="1"/>
        <v>2.7442794581278351E-2</v>
      </c>
      <c r="H205">
        <f ca="1"/>
        <v>4.9525992056426764</v>
      </c>
      <c r="I205">
        <f ca="1"/>
        <v>-4.2532599224272716E-2</v>
      </c>
      <c r="J205">
        <f ca="1"/>
        <v>0.34661760169339217</v>
      </c>
      <c r="K205">
        <f ca="1"/>
        <v>0</v>
      </c>
      <c r="L205">
        <f ca="1"/>
        <v>0</v>
      </c>
    </row>
    <row r="206" spans="2:12" x14ac:dyDescent="0.5">
      <c r="B206">
        <v>0.19600000000000001</v>
      </c>
      <c r="C206">
        <f ca="1"/>
        <v>0.39495123892054484</v>
      </c>
      <c r="D206">
        <f ca="1"/>
        <v>1</v>
      </c>
      <c r="E206">
        <f ca="1"/>
        <v>107.79598725173646</v>
      </c>
      <c r="F206">
        <f ca="1"/>
        <v>0.87604767953185203</v>
      </c>
      <c r="G206" s="7">
        <f ca="1"/>
        <v>-8.1269043669131569E-3</v>
      </c>
      <c r="H206">
        <f ca="1"/>
        <v>5.8286468851745283</v>
      </c>
      <c r="I206">
        <f ca="1"/>
        <v>-5.0659503591185873E-2</v>
      </c>
      <c r="J206">
        <f ca="1"/>
        <v>0.36775568187975871</v>
      </c>
      <c r="K206">
        <f ca="1"/>
        <v>0</v>
      </c>
      <c r="L206">
        <f ca="1"/>
        <v>0</v>
      </c>
    </row>
    <row r="207" spans="2:12" x14ac:dyDescent="0.5">
      <c r="B207">
        <v>0.19700000000000001</v>
      </c>
      <c r="C207">
        <f ca="1"/>
        <v>0.39254478067594134</v>
      </c>
      <c r="D207">
        <f ca="1"/>
        <v>1</v>
      </c>
      <c r="E207">
        <f ca="1"/>
        <v>107.74196356548271</v>
      </c>
      <c r="F207">
        <f ca="1"/>
        <v>-4.5476220924956297E-2</v>
      </c>
      <c r="G207" s="7">
        <f ca="1"/>
        <v>4.220845752204716E-4</v>
      </c>
      <c r="H207">
        <f ca="1"/>
        <v>5.7831706642495719</v>
      </c>
      <c r="I207">
        <f ca="1"/>
        <v>-5.0237419015965401E-2</v>
      </c>
      <c r="J207">
        <f ca="1"/>
        <v>0.37049249500753945</v>
      </c>
      <c r="K207">
        <f ca="1"/>
        <v>0</v>
      </c>
      <c r="L207">
        <f ca="1"/>
        <v>0</v>
      </c>
    </row>
    <row r="208" spans="2:12" x14ac:dyDescent="0.5">
      <c r="B208">
        <v>0.19800000000000001</v>
      </c>
      <c r="C208">
        <f ca="1"/>
        <v>0.35266676308009531</v>
      </c>
      <c r="D208">
        <f ca="1"/>
        <v>1</v>
      </c>
      <c r="E208">
        <f ca="1"/>
        <v>106.88393633631487</v>
      </c>
      <c r="F208">
        <f ca="1"/>
        <v>2.0162012738308857</v>
      </c>
      <c r="G208" s="7">
        <f ca="1"/>
        <v>-1.8863463893085131E-2</v>
      </c>
      <c r="H208">
        <f ca="1"/>
        <v>7.7993719380804576</v>
      </c>
      <c r="I208">
        <f ca="1"/>
        <v>-6.9100882909050532E-2</v>
      </c>
      <c r="J208">
        <f ca="1"/>
        <v>0.41359756844635154</v>
      </c>
      <c r="K208">
        <f ca="1"/>
        <v>0</v>
      </c>
      <c r="L208">
        <f ca="1"/>
        <v>0</v>
      </c>
    </row>
    <row r="209" spans="2:12" x14ac:dyDescent="0.5">
      <c r="B209">
        <v>0.19900000000000001</v>
      </c>
      <c r="C209">
        <f ca="1"/>
        <v>0.38151049182840924</v>
      </c>
      <c r="D209">
        <f ca="1"/>
        <v>1</v>
      </c>
      <c r="E209">
        <f ca="1"/>
        <v>107.50015445461194</v>
      </c>
      <c r="F209">
        <f ca="1"/>
        <v>-1.8160981487446604</v>
      </c>
      <c r="G209">
        <f ca="1"/>
        <v>1.6893911994437572E-2</v>
      </c>
      <c r="H209">
        <f ca="1"/>
        <v>5.9832737893357972</v>
      </c>
      <c r="I209">
        <f ca="1"/>
        <v>-5.220697091461296E-2</v>
      </c>
      <c r="J209">
        <f ca="1"/>
        <v>0.37101635240747033</v>
      </c>
      <c r="K209">
        <f ca="1"/>
        <v>0</v>
      </c>
      <c r="L209">
        <f ca="1"/>
        <v>0</v>
      </c>
    </row>
    <row r="210" spans="2:12" x14ac:dyDescent="0.5">
      <c r="B210">
        <v>0.2</v>
      </c>
      <c r="C210">
        <f ca="1"/>
        <v>0.37220165568446245</v>
      </c>
      <c r="D210">
        <f ca="1"/>
        <v>1</v>
      </c>
      <c r="E210">
        <f ca="1"/>
        <v>107.29805439913729</v>
      </c>
      <c r="F210">
        <f ca="1"/>
        <v>0.30850980062630956</v>
      </c>
      <c r="G210">
        <f ca="1"/>
        <v>-2.8752599695674452E-3</v>
      </c>
      <c r="H210">
        <f ca="1"/>
        <v>6.2917835899621064</v>
      </c>
      <c r="I210">
        <f ca="1"/>
        <v>-5.5082230884180405E-2</v>
      </c>
      <c r="J210">
        <f ca="1"/>
        <v>0.38156738412547764</v>
      </c>
      <c r="K210">
        <f ca="1"/>
        <v>0</v>
      </c>
      <c r="L210">
        <f ca="1"/>
        <v>0</v>
      </c>
    </row>
    <row r="211" spans="2:12" x14ac:dyDescent="0.5">
      <c r="B211">
        <v>0.20100000000000001</v>
      </c>
      <c r="C211">
        <f ca="1"/>
        <v>0.34324439796841255</v>
      </c>
      <c r="D211">
        <f ca="1"/>
        <v>1</v>
      </c>
      <c r="E211">
        <f ca="1"/>
        <v>106.67630533744637</v>
      </c>
      <c r="F211">
        <f ca="1"/>
        <v>1.5035064259280821</v>
      </c>
      <c r="G211">
        <f ca="1"/>
        <v>-1.4094099164496554E-2</v>
      </c>
      <c r="H211">
        <f ca="1"/>
        <v>7.7952900158901883</v>
      </c>
      <c r="I211">
        <f ca="1"/>
        <v>-6.9176330048676959E-2</v>
      </c>
      <c r="J211">
        <f ca="1"/>
        <v>0.41581470949355914</v>
      </c>
      <c r="K211">
        <f ca="1"/>
        <v>0</v>
      </c>
      <c r="L211">
        <f ca="1"/>
        <v>0</v>
      </c>
    </row>
    <row r="212" spans="2:12" x14ac:dyDescent="0.5">
      <c r="B212">
        <v>0.20200000000000001</v>
      </c>
      <c r="C212">
        <f ca="1"/>
        <v>0.38070619585489224</v>
      </c>
      <c r="D212">
        <f ca="1"/>
        <v>1</v>
      </c>
      <c r="E212">
        <f ca="1"/>
        <v>107.476414678739</v>
      </c>
      <c r="F212">
        <f ca="1"/>
        <v>-2.3061853430848678</v>
      </c>
      <c r="G212">
        <f ca="1"/>
        <v>2.1457594673011338E-2</v>
      </c>
      <c r="H212">
        <f ca="1"/>
        <v>5.4891046728053201</v>
      </c>
      <c r="I212">
        <f ca="1"/>
        <v>-4.7718735375665622E-2</v>
      </c>
      <c r="J212">
        <f ca="1"/>
        <v>0.36046608162526894</v>
      </c>
      <c r="K212">
        <f ca="1"/>
        <v>0</v>
      </c>
      <c r="L212">
        <f ca="1"/>
        <v>0</v>
      </c>
    </row>
    <row r="213" spans="2:12" x14ac:dyDescent="0.5">
      <c r="B213">
        <v>0.20300000000000001</v>
      </c>
      <c r="C213">
        <f ca="1"/>
        <v>0.37423358160464748</v>
      </c>
      <c r="D213">
        <f ca="1"/>
        <v>1</v>
      </c>
      <c r="E213">
        <f ca="1"/>
        <v>107.33522729315534</v>
      </c>
      <c r="F213">
        <f ca="1"/>
        <v>0.14160602832283012</v>
      </c>
      <c r="G213">
        <f ca="1"/>
        <v>-1.3192875432785356E-3</v>
      </c>
      <c r="H213">
        <f ca="1"/>
        <v>5.6307107011281499</v>
      </c>
      <c r="I213">
        <f ca="1"/>
        <v>-4.9038022918944157E-2</v>
      </c>
      <c r="J213">
        <f ca="1"/>
        <v>0.36720336511631757</v>
      </c>
      <c r="K213">
        <f ca="1"/>
        <v>0</v>
      </c>
      <c r="L213">
        <f ca="1"/>
        <v>0</v>
      </c>
    </row>
    <row r="214" spans="2:12" x14ac:dyDescent="0.5">
      <c r="B214">
        <v>0.20400000000000001</v>
      </c>
      <c r="C214">
        <f ca="1"/>
        <v>0.41740326175177606</v>
      </c>
      <c r="D214">
        <f ca="1"/>
        <v>1</v>
      </c>
      <c r="E214">
        <f ca="1"/>
        <v>108.26379966460846</v>
      </c>
      <c r="F214">
        <f ca="1"/>
        <v>-1.9994424681305742</v>
      </c>
      <c r="G214">
        <f ca="1"/>
        <v>1.8468245843252018E-2</v>
      </c>
      <c r="H214">
        <f ca="1"/>
        <v>3.6312682329975754</v>
      </c>
      <c r="I214">
        <f ca="1"/>
        <v>-3.0569777075692139E-2</v>
      </c>
      <c r="J214">
        <f ca="1"/>
        <v>0.32166801188310146</v>
      </c>
      <c r="K214">
        <f ca="1"/>
        <v>0</v>
      </c>
      <c r="L214">
        <f ca="1"/>
        <v>0</v>
      </c>
    </row>
    <row r="215" spans="2:12" x14ac:dyDescent="0.5">
      <c r="B215">
        <v>0.20500000000000002</v>
      </c>
      <c r="C215">
        <f ca="1"/>
        <v>0.41061398650357472</v>
      </c>
      <c r="D215">
        <f ca="1"/>
        <v>1</v>
      </c>
      <c r="E215">
        <f ca="1"/>
        <v>108.11473056293836</v>
      </c>
      <c r="F215">
        <f ca="1"/>
        <v>9.263792839935904E-2</v>
      </c>
      <c r="G215">
        <f ca="1"/>
        <v>-8.5684834912880259E-4</v>
      </c>
      <c r="H215">
        <f ca="1"/>
        <v>3.7239061613969344</v>
      </c>
      <c r="I215">
        <f ca="1"/>
        <v>-3.1426625424820942E-2</v>
      </c>
      <c r="J215">
        <f ca="1"/>
        <v>0.32622502109002971</v>
      </c>
      <c r="K215">
        <f ca="1"/>
        <v>0</v>
      </c>
      <c r="L215">
        <f ca="1"/>
        <v>0</v>
      </c>
    </row>
    <row r="216" spans="2:12" x14ac:dyDescent="0.5">
      <c r="B216">
        <v>0.20600000000000002</v>
      </c>
      <c r="C216">
        <f ca="1"/>
        <v>0.41774468936482717</v>
      </c>
      <c r="D216">
        <f ca="1"/>
        <v>1</v>
      </c>
      <c r="E216">
        <f ca="1"/>
        <v>108.26686200607149</v>
      </c>
      <c r="F216">
        <f ca="1"/>
        <v>-0.39355203119889581</v>
      </c>
      <c r="G216">
        <f ca="1"/>
        <v>3.6350183602515962E-3</v>
      </c>
      <c r="H216">
        <f ca="1"/>
        <v>3.3303541301980388</v>
      </c>
      <c r="I216">
        <f ca="1"/>
        <v>-2.7791607064569346E-2</v>
      </c>
      <c r="J216">
        <f ca="1"/>
        <v>0.3214440432113479</v>
      </c>
      <c r="K216">
        <f ca="1"/>
        <v>0</v>
      </c>
      <c r="L216">
        <f ca="1"/>
        <v>0</v>
      </c>
    </row>
    <row r="217" spans="2:12" x14ac:dyDescent="0.5">
      <c r="B217">
        <v>0.20700000000000002</v>
      </c>
      <c r="C217">
        <f ca="1"/>
        <v>0.45225583485266779</v>
      </c>
      <c r="D217">
        <f ca="1"/>
        <v>1</v>
      </c>
      <c r="E217">
        <f ca="1"/>
        <v>109.01454928044339</v>
      </c>
      <c r="F217">
        <f ca="1"/>
        <v>-1.0912209210002888</v>
      </c>
      <c r="G217">
        <f ca="1"/>
        <v>1.0009864996947226E-2</v>
      </c>
      <c r="H217">
        <f ca="1"/>
        <v>2.2391332091977501</v>
      </c>
      <c r="I217">
        <f ca="1"/>
        <v>-1.7781742067622119E-2</v>
      </c>
      <c r="J217">
        <f ca="1"/>
        <v>0.3006646122748251</v>
      </c>
      <c r="K217">
        <f ca="1"/>
        <v>0</v>
      </c>
      <c r="L217">
        <f ca="1"/>
        <v>0</v>
      </c>
    </row>
    <row r="218" spans="2:12" x14ac:dyDescent="0.5">
      <c r="B218">
        <v>0.20800000000000002</v>
      </c>
      <c r="C218">
        <f ca="1"/>
        <v>0.49859566791481558</v>
      </c>
      <c r="D218">
        <f ca="1"/>
        <v>1</v>
      </c>
      <c r="E218">
        <f ca="1"/>
        <v>110.02738832472221</v>
      </c>
      <c r="F218">
        <f ca="1"/>
        <v>-0.92893868825738557</v>
      </c>
      <c r="G218">
        <f ca="1"/>
        <v>8.4427950385936867E-3</v>
      </c>
      <c r="H218">
        <f ca="1"/>
        <v>1.3101945209403645</v>
      </c>
      <c r="I218">
        <f ca="1"/>
        <v>-9.3389470290284327E-3</v>
      </c>
      <c r="J218">
        <f ca="1"/>
        <v>0.28265456963344238</v>
      </c>
      <c r="K218">
        <f ca="1"/>
        <v>0</v>
      </c>
      <c r="L218">
        <f ca="1"/>
        <v>0</v>
      </c>
    </row>
    <row r="219" spans="2:12" x14ac:dyDescent="0.5">
      <c r="B219">
        <v>0.20899999999999999</v>
      </c>
      <c r="C219">
        <f ca="1"/>
        <v>0.49632545219249657</v>
      </c>
      <c r="D219">
        <f ca="1"/>
        <v>1</v>
      </c>
      <c r="E219">
        <f ca="1"/>
        <v>109.97524295613736</v>
      </c>
      <c r="F219">
        <f ca="1"/>
        <v>-4.4176048488831651E-2</v>
      </c>
      <c r="G219">
        <f ca="1"/>
        <v>4.0169084697044832E-4</v>
      </c>
      <c r="H219">
        <f ca="1"/>
        <v>1.2660184724515329</v>
      </c>
      <c r="I219">
        <f ca="1"/>
        <v>-8.9372561820579843E-3</v>
      </c>
      <c r="J219">
        <f ca="1"/>
        <v>0.2831415524684654</v>
      </c>
      <c r="K219">
        <f ca="1"/>
        <v>0</v>
      </c>
      <c r="L219">
        <f ca="1"/>
        <v>0</v>
      </c>
    </row>
    <row r="220" spans="2:12" x14ac:dyDescent="0.5">
      <c r="B220">
        <v>0.21</v>
      </c>
      <c r="C220">
        <f ca="1"/>
        <v>0.45957036856584005</v>
      </c>
      <c r="D220">
        <f ca="1"/>
        <v>1</v>
      </c>
      <c r="E220">
        <f ca="1"/>
        <v>109.16759385520591</v>
      </c>
      <c r="F220">
        <f ca="1"/>
        <v>0.49307450663046887</v>
      </c>
      <c r="G220">
        <f ca="1"/>
        <v>-4.5166746762272392E-3</v>
      </c>
      <c r="H220">
        <f ca="1"/>
        <v>1.7590929790820018</v>
      </c>
      <c r="I220">
        <f ca="1"/>
        <v>-1.3453930858285224E-2</v>
      </c>
      <c r="J220">
        <f ca="1"/>
        <v>0.29035971938869864</v>
      </c>
      <c r="K220">
        <f ca="1"/>
        <v>0</v>
      </c>
      <c r="L220">
        <f ca="1"/>
        <v>0</v>
      </c>
    </row>
    <row r="221" spans="2:12" x14ac:dyDescent="0.5">
      <c r="B221">
        <v>0.21099999999999999</v>
      </c>
      <c r="C221">
        <f ca="1"/>
        <v>0.48069795997541476</v>
      </c>
      <c r="D221">
        <f ca="1"/>
        <v>1</v>
      </c>
      <c r="E221">
        <f ca="1"/>
        <v>109.62766691169617</v>
      </c>
      <c r="F221">
        <f ca="1"/>
        <v>-0.43759390698588196</v>
      </c>
      <c r="G221">
        <f ca="1"/>
        <v>3.9916375064185106E-3</v>
      </c>
      <c r="H221">
        <f ca="1"/>
        <v>1.3214990720961199</v>
      </c>
      <c r="I221">
        <f ca="1"/>
        <v>-9.4622933518667129E-3</v>
      </c>
      <c r="J221">
        <f ca="1"/>
        <v>0.28416992829691878</v>
      </c>
      <c r="K221">
        <f ca="1"/>
        <v>0</v>
      </c>
      <c r="L221">
        <f ca="1"/>
        <v>0</v>
      </c>
    </row>
    <row r="222" spans="2:12" x14ac:dyDescent="0.5">
      <c r="B222">
        <v>0.21199999999999999</v>
      </c>
      <c r="C222">
        <f ca="1"/>
        <v>0.5336893011690228</v>
      </c>
      <c r="D222">
        <f ca="1"/>
        <v>1</v>
      </c>
      <c r="E222">
        <f ca="1"/>
        <v>110.79349311855557</v>
      </c>
      <c r="F222">
        <f ca="1"/>
        <v>-0.60048958041437339</v>
      </c>
      <c r="G222">
        <f ca="1"/>
        <v>5.419899341668144E-3</v>
      </c>
      <c r="H222">
        <f ca="1"/>
        <v>0.72100949168174655</v>
      </c>
      <c r="I222">
        <f ca="1"/>
        <v>-4.0423940101985689E-3</v>
      </c>
      <c r="J222">
        <f ca="1"/>
        <v>0.27313853873032112</v>
      </c>
      <c r="K222">
        <f ca="1"/>
        <v>0</v>
      </c>
      <c r="L222">
        <f ca="1"/>
        <v>0</v>
      </c>
    </row>
    <row r="223" spans="2:12" x14ac:dyDescent="0.5">
      <c r="B223">
        <v>0.21299999999999999</v>
      </c>
      <c r="C223">
        <f ca="1"/>
        <v>0.51799708797414179</v>
      </c>
      <c r="D223">
        <f ca="1"/>
        <v>1</v>
      </c>
      <c r="E223">
        <f ca="1"/>
        <v>110.44411026905998</v>
      </c>
      <c r="F223">
        <f ca="1"/>
        <v>6.6185088277898652E-2</v>
      </c>
      <c r="G223">
        <f ca="1"/>
        <v>-5.9926317588743228E-4</v>
      </c>
      <c r="H223">
        <f ca="1"/>
        <v>0.78719457995964515</v>
      </c>
      <c r="I223">
        <f ca="1"/>
        <v>-4.6416571860860012E-3</v>
      </c>
      <c r="J223">
        <f ca="1"/>
        <v>0.27455088186838816</v>
      </c>
      <c r="K223">
        <f ca="1"/>
        <v>0</v>
      </c>
      <c r="L223">
        <f ca="1"/>
        <v>0</v>
      </c>
    </row>
    <row r="224" spans="2:12" x14ac:dyDescent="0.5">
      <c r="B224">
        <v>0.214</v>
      </c>
      <c r="C224">
        <f ca="1"/>
        <v>0.50163277633764969</v>
      </c>
      <c r="D224">
        <f ca="1"/>
        <v>1</v>
      </c>
      <c r="E224">
        <f ca="1"/>
        <v>110.08103113195963</v>
      </c>
      <c r="F224">
        <f ca="1"/>
        <v>8.1915600666531072E-2</v>
      </c>
      <c r="G224">
        <f ca="1"/>
        <v>-7.441391112001372E-4</v>
      </c>
      <c r="H224">
        <f ca="1"/>
        <v>0.86911018062617618</v>
      </c>
      <c r="I224">
        <f ca="1"/>
        <v>-5.3857962972861384E-3</v>
      </c>
      <c r="J224">
        <f ca="1"/>
        <v>0.27623617075422791</v>
      </c>
      <c r="K224">
        <f ca="1"/>
        <v>0</v>
      </c>
      <c r="L224">
        <f ca="1"/>
        <v>0</v>
      </c>
    </row>
    <row r="225" spans="2:12" x14ac:dyDescent="0.5">
      <c r="B225">
        <v>0.215</v>
      </c>
      <c r="C225">
        <f ca="1"/>
        <v>0.5222911182373956</v>
      </c>
      <c r="D225">
        <f ca="1"/>
        <v>1</v>
      </c>
      <c r="E225">
        <f ca="1"/>
        <v>110.53457960839468</v>
      </c>
      <c r="F225">
        <f ca="1"/>
        <v>-0.20693881315606599</v>
      </c>
      <c r="G225">
        <f ca="1"/>
        <v>1.8721635698911165E-3</v>
      </c>
      <c r="H225">
        <f ca="1"/>
        <v>0.66217136747011018</v>
      </c>
      <c r="I225">
        <f ca="1"/>
        <v>-3.5136327273950219E-3</v>
      </c>
      <c r="J225">
        <f ca="1"/>
        <v>0.27379345104920422</v>
      </c>
      <c r="K225">
        <f ca="1"/>
        <v>0</v>
      </c>
      <c r="L225">
        <f ca="1"/>
        <v>0</v>
      </c>
    </row>
    <row r="226" spans="2:12" x14ac:dyDescent="0.5">
      <c r="B226">
        <v>0.216</v>
      </c>
      <c r="C226">
        <f ca="1"/>
        <v>0.49628906669849565</v>
      </c>
      <c r="D226">
        <f ca="1"/>
        <v>1</v>
      </c>
      <c r="E226">
        <f ca="1"/>
        <v>109.9590473140678</v>
      </c>
      <c r="F226">
        <f ca="1"/>
        <v>0.13703593724442231</v>
      </c>
      <c r="G226">
        <f ca="1"/>
        <v>-1.2462452212141928E-3</v>
      </c>
      <c r="H226">
        <f ca="1"/>
        <v>0.7992073047145325</v>
      </c>
      <c r="I226">
        <f ca="1"/>
        <v>-4.7598779486092146E-3</v>
      </c>
      <c r="J226">
        <f ca="1"/>
        <v>0.27581566015422387</v>
      </c>
      <c r="K226">
        <f ca="1"/>
        <v>0</v>
      </c>
      <c r="L226">
        <f ca="1"/>
        <v>0</v>
      </c>
    </row>
    <row r="227" spans="2:12" x14ac:dyDescent="0.5">
      <c r="B227">
        <v>0.217</v>
      </c>
      <c r="C227">
        <f ca="1"/>
        <v>0.46535741267007613</v>
      </c>
      <c r="D227">
        <f ca="1"/>
        <v>1</v>
      </c>
      <c r="E227">
        <f ca="1"/>
        <v>109.27871844812979</v>
      </c>
      <c r="F227">
        <f ca="1"/>
        <v>0.23810254031231473</v>
      </c>
      <c r="G227">
        <f ca="1"/>
        <v>-2.1788555328394743E-3</v>
      </c>
      <c r="H227">
        <f ca="1"/>
        <v>1.0373098450268472</v>
      </c>
      <c r="I227">
        <f ca="1"/>
        <v>-6.938733481448689E-3</v>
      </c>
      <c r="J227">
        <f ca="1"/>
        <v>0.27905394252100446</v>
      </c>
      <c r="K227">
        <f ca="1"/>
        <v>0</v>
      </c>
      <c r="L227">
        <f ca="1"/>
        <v>0</v>
      </c>
    </row>
    <row r="228" spans="2:12" x14ac:dyDescent="0.5">
      <c r="B228">
        <v>0.218</v>
      </c>
      <c r="C228">
        <f ca="1"/>
        <v>0.46296246935622681</v>
      </c>
      <c r="D228">
        <f ca="1"/>
        <v>1</v>
      </c>
      <c r="E228">
        <f ca="1"/>
        <v>109.22420320891646</v>
      </c>
      <c r="F228">
        <f ca="1"/>
        <v>-4.8503066729445043E-2</v>
      </c>
      <c r="G228">
        <f ca="1"/>
        <v>4.440688538296933E-4</v>
      </c>
      <c r="H228">
        <f ca="1"/>
        <v>0.98880677829740216</v>
      </c>
      <c r="I228">
        <f ca="1"/>
        <v>-6.4946646276189957E-3</v>
      </c>
      <c r="J228">
        <f ca="1"/>
        <v>0.27943220923658318</v>
      </c>
      <c r="K228">
        <f ca="1"/>
        <v>0</v>
      </c>
      <c r="L228">
        <f ca="1"/>
        <v>0</v>
      </c>
    </row>
    <row r="229" spans="2:12" x14ac:dyDescent="0.5">
      <c r="B229">
        <v>0.219</v>
      </c>
      <c r="C229">
        <f ca="1"/>
        <v>0.44644033296733004</v>
      </c>
      <c r="D229">
        <f ca="1"/>
        <v>1</v>
      </c>
      <c r="E229">
        <f ca="1"/>
        <v>108.86169818303473</v>
      </c>
      <c r="F229">
        <f ca="1"/>
        <v>0.11746948630751913</v>
      </c>
      <c r="G229">
        <f ca="1"/>
        <v>-1.0790708602580468E-3</v>
      </c>
      <c r="H229">
        <f ca="1"/>
        <v>1.1062762646049213</v>
      </c>
      <c r="I229">
        <f ca="1"/>
        <v>-7.5737354878770424E-3</v>
      </c>
      <c r="J229">
        <f ca="1"/>
        <v>0.28178655780551143</v>
      </c>
      <c r="K229">
        <f ca="1"/>
        <v>0</v>
      </c>
      <c r="L229">
        <f ca="1"/>
        <v>0</v>
      </c>
    </row>
    <row r="230" spans="2:12" x14ac:dyDescent="0.5">
      <c r="B230">
        <v>0.22</v>
      </c>
      <c r="C230">
        <f ca="1"/>
        <v>0.46342257311898177</v>
      </c>
      <c r="D230">
        <f ca="1"/>
        <v>1</v>
      </c>
      <c r="E230">
        <f ca="1"/>
        <v>109.22988528195575</v>
      </c>
      <c r="F230">
        <f ca="1"/>
        <v>-0.26520348781031577</v>
      </c>
      <c r="G230">
        <f ca="1"/>
        <v>2.4279389026706788E-3</v>
      </c>
      <c r="H230">
        <f ca="1"/>
        <v>0.84107277679460557</v>
      </c>
      <c r="I230">
        <f ca="1"/>
        <v>-5.1457965852063636E-3</v>
      </c>
      <c r="J230">
        <f ca="1"/>
        <v>0.27899800610823489</v>
      </c>
      <c r="K230">
        <f ca="1"/>
        <v>0</v>
      </c>
      <c r="L230">
        <f ca="1"/>
        <v>0</v>
      </c>
    </row>
    <row r="231" spans="2:12" x14ac:dyDescent="0.5">
      <c r="B231">
        <v>0.221</v>
      </c>
      <c r="C231">
        <f ca="1"/>
        <v>0.36155394891880421</v>
      </c>
      <c r="D231">
        <f ca="1"/>
        <v>1</v>
      </c>
      <c r="E231">
        <f ca="1"/>
        <v>107.02484200348027</v>
      </c>
      <c r="F231">
        <f ca="1"/>
        <v>1.8247885240178603</v>
      </c>
      <c r="G231">
        <f ca="1"/>
        <v>-1.7050139854058566E-2</v>
      </c>
      <c r="H231">
        <f ca="1"/>
        <v>2.6658613008124661</v>
      </c>
      <c r="I231">
        <f ca="1"/>
        <v>-2.2195936439264929E-2</v>
      </c>
      <c r="J231">
        <f ca="1"/>
        <v>0.2903447102808463</v>
      </c>
      <c r="K231">
        <f ca="1"/>
        <v>0</v>
      </c>
      <c r="L231">
        <f ca="1"/>
        <v>0</v>
      </c>
    </row>
    <row r="232" spans="2:12" x14ac:dyDescent="0.5">
      <c r="B232">
        <v>0.222</v>
      </c>
      <c r="C232">
        <f ca="1"/>
        <v>0.37601702780062646</v>
      </c>
      <c r="D232">
        <f ca="1"/>
        <v>1</v>
      </c>
      <c r="E232">
        <f ca="1"/>
        <v>107.33272525650834</v>
      </c>
      <c r="F232">
        <f ca="1"/>
        <v>-0.60743562229565295</v>
      </c>
      <c r="G232">
        <f ca="1"/>
        <v>5.6593701580200939E-3</v>
      </c>
      <c r="H232">
        <f ca="1"/>
        <v>2.0584256785168131</v>
      </c>
      <c r="I232">
        <f ca="1"/>
        <v>-1.6536566281244836E-2</v>
      </c>
      <c r="J232">
        <f ca="1"/>
        <v>0.28351095316592145</v>
      </c>
      <c r="K232">
        <f ca="1"/>
        <v>0</v>
      </c>
      <c r="L232">
        <f ca="1"/>
        <v>0</v>
      </c>
    </row>
    <row r="233" spans="2:12" x14ac:dyDescent="0.5">
      <c r="B233">
        <v>0.223</v>
      </c>
      <c r="C233">
        <f ca="1"/>
        <v>0.44460024744045989</v>
      </c>
      <c r="D233">
        <f ca="1"/>
        <v>1</v>
      </c>
      <c r="E233">
        <f ca="1"/>
        <v>108.81293720382065</v>
      </c>
      <c r="F233">
        <f ca="1"/>
        <v>-1.271840823903335</v>
      </c>
      <c r="G233">
        <f ca="1"/>
        <v>1.1688323618367302E-2</v>
      </c>
      <c r="H233">
        <f ca="1"/>
        <v>0.78658485461347816</v>
      </c>
      <c r="I233">
        <f ca="1"/>
        <v>-4.8482426628775332E-3</v>
      </c>
      <c r="J233">
        <f ca="1"/>
        <v>0.25903333018890096</v>
      </c>
      <c r="K233">
        <f ca="1"/>
        <v>0</v>
      </c>
      <c r="L233">
        <f ca="1"/>
        <v>0</v>
      </c>
    </row>
    <row r="234" spans="2:12" x14ac:dyDescent="0.5">
      <c r="B234">
        <v>0.224</v>
      </c>
      <c r="C234">
        <f ca="1"/>
        <v>0.44872384346505806</v>
      </c>
      <c r="D234">
        <f ca="1"/>
        <v>1</v>
      </c>
      <c r="E234">
        <f ca="1"/>
        <v>108.90053630574488</v>
      </c>
      <c r="F234">
        <f ca="1"/>
        <v>-0.10259018195592184</v>
      </c>
      <c r="G234">
        <f ca="1"/>
        <v>9.4205396443497458E-4</v>
      </c>
      <c r="H234">
        <f ca="1"/>
        <v>0.68399467265755631</v>
      </c>
      <c r="I234">
        <f ca="1"/>
        <v>-3.9061886984425587E-3</v>
      </c>
      <c r="J234">
        <f ca="1"/>
        <v>0.25860862848572214</v>
      </c>
      <c r="K234">
        <f ca="1"/>
        <v>0</v>
      </c>
      <c r="L234">
        <f ca="1"/>
        <v>0</v>
      </c>
    </row>
    <row r="235" spans="2:12" x14ac:dyDescent="0.5">
      <c r="B235">
        <v>0.22500000000000001</v>
      </c>
      <c r="C235">
        <f ca="1"/>
        <v>0.47727937209148269</v>
      </c>
      <c r="D235">
        <f ca="1"/>
        <v>1</v>
      </c>
      <c r="E235">
        <f ca="1"/>
        <v>109.52206769427519</v>
      </c>
      <c r="F235">
        <f ca="1"/>
        <v>-0.21824891448715064</v>
      </c>
      <c r="G235">
        <f ca="1"/>
        <v>1.9927391719482546E-3</v>
      </c>
      <c r="H235">
        <f ca="1"/>
        <v>0.46574575817040564</v>
      </c>
      <c r="I235">
        <f ca="1"/>
        <v>-1.9134495264943041E-3</v>
      </c>
      <c r="J235">
        <f ca="1"/>
        <v>0.25618080960011769</v>
      </c>
      <c r="K235">
        <f ca="1"/>
        <v>0</v>
      </c>
      <c r="L235">
        <f ca="1"/>
        <v>0</v>
      </c>
    </row>
    <row r="236" spans="2:12" x14ac:dyDescent="0.5">
      <c r="B236">
        <v>0.22600000000000001</v>
      </c>
      <c r="C236">
        <f ca="1"/>
        <v>0.49494418411113772</v>
      </c>
      <c r="D236">
        <f ca="1"/>
        <v>1</v>
      </c>
      <c r="E236">
        <f ca="1"/>
        <v>109.9074911932439</v>
      </c>
      <c r="F236">
        <f ca="1"/>
        <v>-9.0468680736297255E-2</v>
      </c>
      <c r="G236">
        <f ca="1"/>
        <v>8.2313479958551206E-4</v>
      </c>
      <c r="H236">
        <f ca="1"/>
        <v>0.37527707743410837</v>
      </c>
      <c r="I236">
        <f ca="1"/>
        <v>-1.0903147269087921E-3</v>
      </c>
      <c r="J236">
        <f ca="1"/>
        <v>0.2554433211885162</v>
      </c>
      <c r="K236">
        <f ca="1"/>
        <v>0</v>
      </c>
      <c r="L236">
        <f ca="1"/>
        <v>0</v>
      </c>
    </row>
    <row r="237" spans="2:12" x14ac:dyDescent="0.5">
      <c r="B237">
        <v>0.22700000000000001</v>
      </c>
      <c r="C237">
        <f ca="1"/>
        <v>0.52149753056482917</v>
      </c>
      <c r="D237">
        <f ca="1"/>
        <v>1</v>
      </c>
      <c r="E237">
        <f ca="1"/>
        <v>110.4905163183217</v>
      </c>
      <c r="F237">
        <f ca="1"/>
        <v>-6.7838112485917479E-2</v>
      </c>
      <c r="G237">
        <f ca="1"/>
        <v>6.1397226428444585E-4</v>
      </c>
      <c r="H237">
        <f ca="1"/>
        <v>0.3074389649481909</v>
      </c>
      <c r="I237">
        <f ca="1"/>
        <v>-4.7634246262434621E-4</v>
      </c>
      <c r="J237">
        <f ca="1"/>
        <v>0.25480764030848602</v>
      </c>
      <c r="K237">
        <f ca="1"/>
        <v>0</v>
      </c>
      <c r="L237">
        <f ca="1"/>
        <v>0</v>
      </c>
    </row>
    <row r="238" spans="2:12" x14ac:dyDescent="0.5">
      <c r="B238">
        <v>0.22800000000000001</v>
      </c>
      <c r="C238">
        <f ca="1"/>
        <v>0.52552646437951489</v>
      </c>
      <c r="D238">
        <f ca="1"/>
        <v>1</v>
      </c>
      <c r="E238">
        <f ca="1"/>
        <v>110.57737242419468</v>
      </c>
      <c r="F238">
        <f ca="1"/>
        <v>-1.5985967151479853E-2</v>
      </c>
      <c r="G238">
        <f ca="1"/>
        <v>1.4456815893720831E-4</v>
      </c>
      <c r="H238">
        <f ca="1"/>
        <v>0.29145299779671102</v>
      </c>
      <c r="I238">
        <f ca="1"/>
        <v>-3.3177430368713789E-4</v>
      </c>
      <c r="J238">
        <f ca="1"/>
        <v>0.25476626705712052</v>
      </c>
      <c r="K238">
        <f ca="1"/>
        <v>0</v>
      </c>
      <c r="L238">
        <f ca="1"/>
        <v>0</v>
      </c>
    </row>
    <row r="239" spans="2:12" x14ac:dyDescent="0.5">
      <c r="B239">
        <v>0.22900000000000001</v>
      </c>
      <c r="C239">
        <f ca="1"/>
        <v>0.53596158628828605</v>
      </c>
      <c r="D239">
        <f ca="1"/>
        <v>1</v>
      </c>
      <c r="E239">
        <f ca="1"/>
        <v>110.80617493778797</v>
      </c>
      <c r="F239">
        <f ca="1"/>
        <v>-1.5817663987918562E-2</v>
      </c>
      <c r="G239">
        <f ca="1"/>
        <v>1.4275074468367288E-4</v>
      </c>
      <c r="H239">
        <f ca="1"/>
        <v>0.27563533380879246</v>
      </c>
      <c r="I239">
        <f ca="1"/>
        <v>-1.8902355900346501E-4</v>
      </c>
      <c r="J239">
        <f ca="1"/>
        <v>0.25469035626249126</v>
      </c>
      <c r="K239">
        <f ca="1"/>
        <v>0</v>
      </c>
      <c r="L239">
        <f ca="1"/>
        <v>0</v>
      </c>
    </row>
    <row r="240" spans="2:12" x14ac:dyDescent="0.5">
      <c r="B240">
        <v>0.23</v>
      </c>
      <c r="C240">
        <f ca="1"/>
        <v>0.53425994561614021</v>
      </c>
      <c r="D240">
        <f ca="1"/>
        <v>1</v>
      </c>
      <c r="E240">
        <f ca="1"/>
        <v>110.76625554796095</v>
      </c>
      <c r="F240">
        <f ca="1"/>
        <v>-5.1978044616651214E-3</v>
      </c>
      <c r="G240">
        <f ca="1"/>
        <v>4.6925884024440201E-5</v>
      </c>
      <c r="H240">
        <f ca="1"/>
        <v>0.27043752934712734</v>
      </c>
      <c r="I240">
        <f ca="1"/>
        <v>-1.4209767497902481E-4</v>
      </c>
      <c r="J240">
        <f ca="1"/>
        <v>0.25469790196762959</v>
      </c>
      <c r="K240">
        <f ca="1"/>
        <v>0</v>
      </c>
      <c r="L240">
        <f ca="1"/>
        <v>0</v>
      </c>
    </row>
    <row r="241" spans="2:12" x14ac:dyDescent="0.5">
      <c r="B241">
        <v>0.23100000000000001</v>
      </c>
      <c r="C241">
        <f ca="1"/>
        <v>0.5024204087604025</v>
      </c>
      <c r="D241">
        <f ca="1"/>
        <v>1</v>
      </c>
      <c r="E241">
        <f ca="1"/>
        <v>110.06094609177437</v>
      </c>
      <c r="F241">
        <f ca="1"/>
        <v>1.0828302558903774E-2</v>
      </c>
      <c r="G241">
        <f ca="1"/>
        <v>-9.838460365291235E-5</v>
      </c>
      <c r="H241">
        <f ca="1"/>
        <v>0.28126583190603111</v>
      </c>
      <c r="I241">
        <f ca="1"/>
        <v>-2.4048227863193716E-4</v>
      </c>
      <c r="J241">
        <f ca="1"/>
        <v>0.25479812480149439</v>
      </c>
      <c r="K241">
        <f ca="1"/>
        <v>0</v>
      </c>
      <c r="L241">
        <f ca="1"/>
        <v>0</v>
      </c>
    </row>
    <row r="242" spans="2:12" x14ac:dyDescent="0.5">
      <c r="B242">
        <v>0.23200000000000001</v>
      </c>
      <c r="C242">
        <f ca="1"/>
        <v>0.45793948522646866</v>
      </c>
      <c r="D242">
        <f ca="1"/>
        <v>1</v>
      </c>
      <c r="E242">
        <f ca="1"/>
        <v>109.08398422586978</v>
      </c>
      <c r="F242">
        <f ca="1"/>
        <v>3.5881377069694992E-2</v>
      </c>
      <c r="G242">
        <f ca="1"/>
        <v>-3.2893350315660319E-4</v>
      </c>
      <c r="H242">
        <f ca="1"/>
        <v>0.31714720897572612</v>
      </c>
      <c r="I242">
        <f ca="1"/>
        <v>-5.6941578178854035E-4</v>
      </c>
      <c r="J242">
        <f ca="1"/>
        <v>0.25503306681714366</v>
      </c>
      <c r="K242">
        <f ca="1"/>
        <v>0</v>
      </c>
      <c r="L242">
        <f ca="1"/>
        <v>0</v>
      </c>
    </row>
    <row r="243" spans="2:12" x14ac:dyDescent="0.5">
      <c r="B243">
        <v>0.23300000000000001</v>
      </c>
      <c r="C243">
        <f ca="1"/>
        <v>0.44060978205136098</v>
      </c>
      <c r="D243">
        <f ca="1"/>
        <v>1</v>
      </c>
      <c r="E243">
        <f ca="1"/>
        <v>108.70438594556148</v>
      </c>
      <c r="F243">
        <f ca="1"/>
        <v>9.3335568830806848E-3</v>
      </c>
      <c r="G243">
        <f ca="1"/>
        <v>-8.5861824266730835E-5</v>
      </c>
      <c r="H243">
        <f ca="1"/>
        <v>0.32648076585880681</v>
      </c>
      <c r="I243">
        <f ca="1"/>
        <v>-6.5527760605527119E-4</v>
      </c>
      <c r="J243">
        <f ca="1"/>
        <v>0.255249216068691</v>
      </c>
      <c r="K243">
        <f ca="1"/>
        <v>0</v>
      </c>
      <c r="L243">
        <f ca="1"/>
        <v>0</v>
      </c>
    </row>
    <row r="244" spans="2:12" x14ac:dyDescent="0.5">
      <c r="B244">
        <v>0.23400000000000001</v>
      </c>
      <c r="C244">
        <f ca="1"/>
        <v>0.45498547037205639</v>
      </c>
      <c r="D244">
        <f ca="1"/>
        <v>1</v>
      </c>
      <c r="E244">
        <f ca="1"/>
        <v>109.01519542291605</v>
      </c>
      <c r="F244">
        <f ca="1"/>
        <v>-3.7878537066707588E-2</v>
      </c>
      <c r="G244">
        <f ca="1"/>
        <v>3.4746107567629192E-4</v>
      </c>
      <c r="H244">
        <f ca="1"/>
        <v>0.28860222879209924</v>
      </c>
      <c r="I244">
        <f ca="1"/>
        <v>-3.0781653037897927E-4</v>
      </c>
      <c r="J244">
        <f ca="1"/>
        <v>0.25504554957843084</v>
      </c>
      <c r="K244">
        <f ca="1"/>
        <v>0</v>
      </c>
      <c r="L244">
        <f ca="1"/>
        <v>0</v>
      </c>
    </row>
    <row r="245" spans="2:12" x14ac:dyDescent="0.5">
      <c r="B245">
        <v>0.23500000000000001</v>
      </c>
      <c r="C245">
        <f ca="1"/>
        <v>0.41536389179007116</v>
      </c>
      <c r="D245">
        <f ca="1"/>
        <v>1</v>
      </c>
      <c r="E245">
        <f ca="1"/>
        <v>108.15257529273339</v>
      </c>
      <c r="F245">
        <f ca="1"/>
        <v>3.8038131931821283E-2</v>
      </c>
      <c r="G245">
        <f ca="1"/>
        <v>-3.517080552993268E-4</v>
      </c>
      <c r="H245">
        <f ca="1"/>
        <v>0.3266403607239205</v>
      </c>
      <c r="I245">
        <f ca="1"/>
        <v>-6.5952458567830607E-4</v>
      </c>
      <c r="J245">
        <f ca="1"/>
        <v>0.25531107831393873</v>
      </c>
      <c r="K245">
        <f ca="1"/>
        <v>0</v>
      </c>
      <c r="L245">
        <f ca="1"/>
        <v>0</v>
      </c>
    </row>
    <row r="246" spans="2:12" x14ac:dyDescent="0.5">
      <c r="B246">
        <v>0.23600000000000002</v>
      </c>
      <c r="C246">
        <f ca="1"/>
        <v>0.40903335162274562</v>
      </c>
      <c r="D246">
        <f ca="1"/>
        <v>1</v>
      </c>
      <c r="E246">
        <f ca="1"/>
        <v>108.01356880465056</v>
      </c>
      <c r="F246">
        <f ca="1"/>
        <v>-1.3018698869012111E-2</v>
      </c>
      <c r="G246">
        <f ca="1"/>
        <v>1.2052836521453392E-4</v>
      </c>
      <c r="H246">
        <f ca="1"/>
        <v>0.31362166185490836</v>
      </c>
      <c r="I246">
        <f ca="1"/>
        <v>-5.3899622046377216E-4</v>
      </c>
      <c r="J246">
        <f ca="1"/>
        <v>0.25540275651039812</v>
      </c>
      <c r="K246">
        <f ca="1"/>
        <v>0</v>
      </c>
      <c r="L246">
        <f ca="1"/>
        <v>0</v>
      </c>
    </row>
    <row r="247" spans="2:12" x14ac:dyDescent="0.5">
      <c r="B247">
        <v>0.23700000000000002</v>
      </c>
      <c r="C247">
        <f ca="1"/>
        <v>0.38942682967906056</v>
      </c>
      <c r="D247">
        <f ca="1"/>
        <v>1</v>
      </c>
      <c r="E247">
        <f ca="1"/>
        <v>107.58869228572027</v>
      </c>
      <c r="F247">
        <f ca="1"/>
        <v>1.1201105106180326E-2</v>
      </c>
      <c r="G247">
        <f ca="1"/>
        <v>-1.0411043082886318E-4</v>
      </c>
      <c r="H247">
        <f ca="1"/>
        <v>0.32482276696108869</v>
      </c>
      <c r="I247">
        <f ca="1"/>
        <v>-6.4310665129263533E-4</v>
      </c>
      <c r="J247">
        <f ca="1"/>
        <v>0.25563176334826532</v>
      </c>
      <c r="K247">
        <f ca="1"/>
        <v>0</v>
      </c>
      <c r="L247">
        <f ca="1"/>
        <v>0</v>
      </c>
    </row>
    <row r="248" spans="2:12" x14ac:dyDescent="0.5">
      <c r="B248">
        <v>0.23800000000000002</v>
      </c>
      <c r="C248">
        <f ca="1"/>
        <v>0.38220568842034675</v>
      </c>
      <c r="D248">
        <f ca="1"/>
        <v>1</v>
      </c>
      <c r="E248">
        <f ca="1"/>
        <v>107.43127315979832</v>
      </c>
      <c r="F248">
        <f ca="1"/>
        <v>-1.3867422154091192E-2</v>
      </c>
      <c r="G248">
        <f ca="1"/>
        <v>1.2908180035681172E-4</v>
      </c>
      <c r="H248">
        <f ca="1"/>
        <v>0.31095534480699749</v>
      </c>
      <c r="I248">
        <f ca="1"/>
        <v>-5.1402485093582362E-4</v>
      </c>
      <c r="J248">
        <f ca="1"/>
        <v>0.25573300063518639</v>
      </c>
      <c r="K248">
        <f ca="1"/>
        <v>0</v>
      </c>
      <c r="L248">
        <f ca="1"/>
        <v>0</v>
      </c>
    </row>
    <row r="249" spans="2:12" x14ac:dyDescent="0.5">
      <c r="B249">
        <v>0.23900000000000002</v>
      </c>
      <c r="C249">
        <f ca="1"/>
        <v>0.44970961992139435</v>
      </c>
      <c r="D249">
        <f ca="1"/>
        <v>1</v>
      </c>
      <c r="E249">
        <f ca="1"/>
        <v>108.88933703771026</v>
      </c>
      <c r="F249">
        <f ca="1"/>
        <v>-5.3416859634909358E-2</v>
      </c>
      <c r="G249">
        <f ca="1"/>
        <v>4.9056097766864148E-4</v>
      </c>
      <c r="H249">
        <f ca="1"/>
        <v>0.25753848517208811</v>
      </c>
      <c r="I249">
        <f ca="1"/>
        <v>-2.3463873267182134E-5</v>
      </c>
      <c r="J249">
        <f ca="1"/>
        <v>0.25498351956768778</v>
      </c>
      <c r="K249">
        <f ca="1"/>
        <v>0</v>
      </c>
      <c r="L249">
        <f ca="1"/>
        <v>0</v>
      </c>
    </row>
    <row r="250" spans="2:12" x14ac:dyDescent="0.5">
      <c r="B250">
        <v>0.24</v>
      </c>
      <c r="C250">
        <f ca="1"/>
        <v>0.49342836237229465</v>
      </c>
      <c r="D250">
        <f ca="1"/>
        <v>1</v>
      </c>
      <c r="E250">
        <f ca="1"/>
        <v>109.84341574790083</v>
      </c>
      <c r="F250">
        <f ca="1"/>
        <v>-2.437434053869216E-3</v>
      </c>
      <c r="G250">
        <f ca="1"/>
        <v>2.219007882514612E-5</v>
      </c>
      <c r="H250">
        <f ca="1"/>
        <v>0.2551010511182189</v>
      </c>
      <c r="I250">
        <f ca="1"/>
        <v>-1.2737944420360137E-6</v>
      </c>
      <c r="J250">
        <f ca="1"/>
        <v>0.25496113318574498</v>
      </c>
      <c r="K250">
        <f ca="1"/>
        <v>0</v>
      </c>
      <c r="L250">
        <f ca="1"/>
        <v>0</v>
      </c>
    </row>
    <row r="251" spans="2:12" x14ac:dyDescent="0.5">
      <c r="B251">
        <v>0.24099999999999999</v>
      </c>
      <c r="C251">
        <f ca="1"/>
        <v>0.52395232279735415</v>
      </c>
      <c r="D251">
        <f ca="1"/>
        <v>1</v>
      </c>
      <c r="E251">
        <f ca="1"/>
        <v>110.51382768477612</v>
      </c>
      <c r="F251">
        <f ca="1"/>
        <v>-1.335707208196263E-4</v>
      </c>
      <c r="G251">
        <f ca="1"/>
        <v>1.2086335585137498E-6</v>
      </c>
      <c r="H251">
        <f ca="1"/>
        <v>0.25496748039739925</v>
      </c>
      <c r="I251">
        <f ca="1"/>
        <v>-6.5160883522263902E-8</v>
      </c>
      <c r="J251">
        <f ca="1"/>
        <v>0.25496027921874587</v>
      </c>
      <c r="K251">
        <f ca="1"/>
        <v>0</v>
      </c>
      <c r="L251">
        <f ca="1"/>
        <v>0</v>
      </c>
    </row>
    <row r="252" spans="2:12" x14ac:dyDescent="0.5">
      <c r="B252">
        <v>0.24199999999999999</v>
      </c>
      <c r="C252">
        <f ca="1"/>
        <v>0.51530838470304896</v>
      </c>
      <c r="D252">
        <f ca="1"/>
        <v>1</v>
      </c>
      <c r="E252">
        <f ca="1"/>
        <v>110.32073136264826</v>
      </c>
      <c r="F252">
        <f ca="1"/>
        <v>-5.0901215033718843E-6</v>
      </c>
      <c r="G252">
        <f ca="1"/>
        <v>4.6139301657088794E-8</v>
      </c>
      <c r="H252">
        <f ca="1"/>
        <v>0.2549623902758959</v>
      </c>
      <c r="I252">
        <f ca="1"/>
        <v>-1.9021581865175108E-8</v>
      </c>
      <c r="J252">
        <f ca="1"/>
        <v>0.25496029180107288</v>
      </c>
      <c r="K252">
        <f ca="1"/>
        <v>0</v>
      </c>
      <c r="L252">
        <f ca="1"/>
        <v>0</v>
      </c>
    </row>
    <row r="253" spans="2:12" x14ac:dyDescent="0.5">
      <c r="B253">
        <v>0.24299999999999999</v>
      </c>
      <c r="C253">
        <f ca="1"/>
        <v>0.54677660261555394</v>
      </c>
      <c r="D253">
        <f ca="1"/>
        <v>1</v>
      </c>
      <c r="E253">
        <f ca="1"/>
        <v>111.01501989318625</v>
      </c>
      <c r="F253">
        <f ca="1"/>
        <v>-2.0893540089285199E-6</v>
      </c>
      <c r="G253">
        <f ca="1"/>
        <v>1.8820462410751304E-8</v>
      </c>
      <c r="H253">
        <f ca="1"/>
        <v>0.25496030092188698</v>
      </c>
      <c r="I253">
        <f ca="1"/>
        <v>-2.0111945442380375E-10</v>
      </c>
      <c r="J253">
        <f ca="1"/>
        <v>0.25496027859460674</v>
      </c>
      <c r="K253">
        <f ca="1"/>
        <v>0</v>
      </c>
      <c r="L253">
        <f ca="1"/>
        <v>0</v>
      </c>
    </row>
    <row r="254" spans="2:12" x14ac:dyDescent="0.5">
      <c r="B254">
        <v>0.24399999999999999</v>
      </c>
      <c r="C254">
        <f ca="1"/>
        <v>0.55793036981618227</v>
      </c>
      <c r="D254">
        <f ca="1"/>
        <v>1</v>
      </c>
      <c r="E254">
        <f ca="1"/>
        <v>111.26071821946131</v>
      </c>
      <c r="F254">
        <f ca="1"/>
        <v>-2.2078291334125154E-8</v>
      </c>
      <c r="G254">
        <f ca="1"/>
        <v>1.9843743315206552E-10</v>
      </c>
      <c r="H254">
        <f ca="1"/>
        <v>0.25496027884359562</v>
      </c>
      <c r="I254">
        <f ca="1"/>
        <v>-2.6820212717382219E-12</v>
      </c>
      <c r="J254">
        <f ca="1"/>
        <v>0.25496027854519199</v>
      </c>
      <c r="K254">
        <f ca="1"/>
        <v>0</v>
      </c>
      <c r="L254">
        <f ca="1"/>
        <v>0</v>
      </c>
    </row>
    <row r="255" spans="2:12" x14ac:dyDescent="0.5">
      <c r="B255">
        <v>0.245</v>
      </c>
      <c r="C255">
        <f ca="1"/>
        <v>0.59048497409795409</v>
      </c>
      <c r="D255">
        <f ca="1"/>
        <v>1</v>
      </c>
      <c r="E255">
        <f ca="1"/>
        <v>111.98525163654071</v>
      </c>
      <c r="F255">
        <f ca="1"/>
        <v>-3.0028466270776705E-10</v>
      </c>
      <c r="G255">
        <f ca="1"/>
        <v>2.6814661602259093E-12</v>
      </c>
      <c r="H255">
        <f ca="1"/>
        <v>0.25496027854331094</v>
      </c>
      <c r="I255">
        <f ca="1"/>
        <v>-5.5511151231257827E-16</v>
      </c>
      <c r="J255">
        <f ca="1"/>
        <v>0.25496027854324876</v>
      </c>
      <c r="K255">
        <f ca="1"/>
        <v>0</v>
      </c>
      <c r="L255">
        <f ca="1"/>
        <v>0</v>
      </c>
    </row>
    <row r="256" spans="2:12" x14ac:dyDescent="0.5">
      <c r="B256">
        <v>0.246</v>
      </c>
      <c r="C256">
        <f ca="1"/>
        <v>0.59571430880737708</v>
      </c>
      <c r="D256">
        <f ca="1"/>
        <v>1</v>
      </c>
      <c r="E256">
        <f ca="1"/>
        <v>112.10019255113519</v>
      </c>
      <c r="F256">
        <f ca="1"/>
        <v>-6.2228107417591886E-14</v>
      </c>
      <c r="G256">
        <f ca="1"/>
        <v>5.5511151231257827E-16</v>
      </c>
      <c r="H256">
        <f ca="1"/>
        <v>0.25496027854324871</v>
      </c>
      <c r="I256">
        <f ca="1"/>
        <v>0</v>
      </c>
      <c r="J256">
        <f ca="1"/>
        <v>0.25496027854324871</v>
      </c>
      <c r="K256">
        <f ca="1"/>
        <v>0</v>
      </c>
      <c r="L256">
        <f ca="1"/>
        <v>0</v>
      </c>
    </row>
    <row r="257" spans="2:12" x14ac:dyDescent="0.5">
      <c r="B257">
        <v>0.247</v>
      </c>
      <c r="C257">
        <f ca="1"/>
        <v>0.60948894138052723</v>
      </c>
      <c r="D257">
        <f ca="1"/>
        <v>1</v>
      </c>
      <c r="E257">
        <f ca="1"/>
        <v>112.40719796730268</v>
      </c>
      <c r="F257">
        <f ca="1"/>
        <v>0</v>
      </c>
      <c r="G257">
        <f ca="1"/>
        <v>0</v>
      </c>
      <c r="H257">
        <f ca="1"/>
        <v>0.25496027854324871</v>
      </c>
      <c r="I257">
        <f ca="1"/>
        <v>0</v>
      </c>
      <c r="J257">
        <f ca="1"/>
        <v>0.25496027854324871</v>
      </c>
      <c r="K257">
        <f ca="1"/>
        <v>0</v>
      </c>
      <c r="L257">
        <f ca="1"/>
        <v>0</v>
      </c>
    </row>
    <row r="258" spans="2:12" x14ac:dyDescent="0.5">
      <c r="B258">
        <v>0.248</v>
      </c>
      <c r="C258">
        <f ca="1"/>
        <v>0.64549485312550459</v>
      </c>
      <c r="D258">
        <f ca="1"/>
        <v>1</v>
      </c>
      <c r="E258">
        <f ca="1"/>
        <v>113.21731988841162</v>
      </c>
      <c r="F258">
        <f ca="1"/>
        <v>0</v>
      </c>
      <c r="G258">
        <f ca="1"/>
        <v>0</v>
      </c>
      <c r="H258">
        <f ca="1"/>
        <v>0.25496027854324871</v>
      </c>
      <c r="I258">
        <f ca="1"/>
        <v>0</v>
      </c>
      <c r="J258">
        <f ca="1"/>
        <v>0.25496027854324871</v>
      </c>
      <c r="K258">
        <f ca="1"/>
        <v>0</v>
      </c>
      <c r="L258">
        <f ca="1"/>
        <v>0</v>
      </c>
    </row>
    <row r="259" spans="2:12" x14ac:dyDescent="0.5">
      <c r="B259">
        <v>0.249</v>
      </c>
      <c r="C259">
        <f ca="1"/>
        <v>0.60656910459775615</v>
      </c>
      <c r="D259">
        <f ca="1"/>
        <v>1</v>
      </c>
      <c r="E259">
        <f ca="1"/>
        <v>112.33708142262178</v>
      </c>
      <c r="F259">
        <f ca="1"/>
        <v>0</v>
      </c>
      <c r="G259">
        <f ca="1"/>
        <v>0</v>
      </c>
      <c r="H259">
        <f ca="1"/>
        <v>0.25496027854324871</v>
      </c>
      <c r="I259">
        <f ca="1"/>
        <v>0</v>
      </c>
      <c r="J259">
        <f ca="1"/>
        <v>0.25496027854324871</v>
      </c>
      <c r="K259">
        <f ca="1"/>
        <v>0</v>
      </c>
      <c r="L259">
        <f ca="1"/>
        <v>0</v>
      </c>
    </row>
    <row r="260" spans="2:12" x14ac:dyDescent="0.5">
      <c r="B260">
        <v>0.25</v>
      </c>
      <c r="C260">
        <f ca="1"/>
        <v>0.62978143526032815</v>
      </c>
      <c r="D260">
        <f ca="1"/>
        <v>1</v>
      </c>
      <c r="E260">
        <f ca="1"/>
        <v>112.85755779235971</v>
      </c>
      <c r="F260">
        <f ca="1"/>
        <v>-0.25496027854324871</v>
      </c>
      <c r="G260">
        <f ca="1"/>
        <v>0</v>
      </c>
      <c r="H260">
        <f ca="1"/>
        <v>0</v>
      </c>
      <c r="I260">
        <f ca="1"/>
        <v>0</v>
      </c>
      <c r="J260">
        <f ca="1"/>
        <v>0</v>
      </c>
      <c r="K260">
        <f ca="1"/>
        <v>0.25496027854324871</v>
      </c>
      <c r="L260">
        <f ca="1"/>
        <v>0</v>
      </c>
    </row>
  </sheetData>
  <mergeCells count="3">
    <mergeCell ref="D8:E8"/>
    <mergeCell ref="F8:G8"/>
    <mergeCell ref="H8:I8"/>
  </mergeCells>
  <phoneticPr fontId="1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C886-B0FE-4EBA-AFEF-C3A741ACA8A5}">
  <dimension ref="B3:H25"/>
  <sheetViews>
    <sheetView workbookViewId="0">
      <selection activeCell="F18" sqref="F18"/>
    </sheetView>
  </sheetViews>
  <sheetFormatPr defaultRowHeight="17.649999999999999" x14ac:dyDescent="0.5"/>
  <sheetData>
    <row r="3" spans="2:5" x14ac:dyDescent="0.5">
      <c r="B3" t="s">
        <v>33</v>
      </c>
      <c r="C3" t="s">
        <v>32</v>
      </c>
      <c r="D3" t="s">
        <v>34</v>
      </c>
      <c r="E3" t="s">
        <v>35</v>
      </c>
    </row>
    <row r="4" spans="2:5" x14ac:dyDescent="0.5">
      <c r="B4">
        <f>LN(C4)</f>
        <v>-6.9077552789821368</v>
      </c>
      <c r="C4" cm="1">
        <f t="array" ref="C4:C13">_xlfn.SEQUENCE(10,1,0.001,0.001)</f>
        <v>1E-3</v>
      </c>
      <c r="D4" s="20">
        <v>5.5E-2</v>
      </c>
      <c r="E4">
        <f>LN(D4)</f>
        <v>-2.9004220937496661</v>
      </c>
    </row>
    <row r="5" spans="2:5" x14ac:dyDescent="0.5">
      <c r="B5">
        <f t="shared" ref="B5:B13" si="0">LN(C5)</f>
        <v>-6.2146080984221914</v>
      </c>
      <c r="C5">
        <v>2E-3</v>
      </c>
      <c r="D5" s="20">
        <v>7.5999999999999998E-2</v>
      </c>
      <c r="E5">
        <f t="shared" ref="E5:E13" si="1">LN(D5)</f>
        <v>-2.5770219386958062</v>
      </c>
    </row>
    <row r="6" spans="2:5" x14ac:dyDescent="0.5">
      <c r="B6">
        <f t="shared" si="0"/>
        <v>-5.8091429903140277</v>
      </c>
      <c r="C6">
        <v>3.0000000000000001E-3</v>
      </c>
      <c r="D6" s="20">
        <v>9.4E-2</v>
      </c>
      <c r="E6">
        <f t="shared" si="1"/>
        <v>-2.364460496712133</v>
      </c>
    </row>
    <row r="7" spans="2:5" x14ac:dyDescent="0.5">
      <c r="B7">
        <f t="shared" si="0"/>
        <v>-5.521460917862246</v>
      </c>
      <c r="C7">
        <v>4.0000000000000001E-3</v>
      </c>
      <c r="D7" s="20">
        <v>0.105</v>
      </c>
      <c r="E7">
        <f t="shared" si="1"/>
        <v>-2.2537949288246137</v>
      </c>
    </row>
    <row r="8" spans="2:5" x14ac:dyDescent="0.5">
      <c r="B8">
        <f t="shared" si="0"/>
        <v>-5.2983173665480363</v>
      </c>
      <c r="C8">
        <v>5.0000000000000001E-3</v>
      </c>
      <c r="D8" s="20">
        <v>0.126</v>
      </c>
      <c r="E8">
        <f t="shared" si="1"/>
        <v>-2.0714733720306588</v>
      </c>
    </row>
    <row r="9" spans="2:5" x14ac:dyDescent="0.5">
      <c r="B9">
        <f t="shared" si="0"/>
        <v>-5.1159958097540823</v>
      </c>
      <c r="C9">
        <v>6.0000000000000001E-3</v>
      </c>
      <c r="D9" s="20">
        <v>0.13300000000000001</v>
      </c>
      <c r="E9">
        <f t="shared" si="1"/>
        <v>-2.0174061507603831</v>
      </c>
    </row>
    <row r="10" spans="2:5" x14ac:dyDescent="0.5">
      <c r="B10">
        <f t="shared" si="0"/>
        <v>-4.9618451299268234</v>
      </c>
      <c r="C10">
        <v>7.0000000000000001E-3</v>
      </c>
      <c r="D10" s="20">
        <v>0.14199999999999999</v>
      </c>
      <c r="E10">
        <f t="shared" si="1"/>
        <v>-1.9519282213808764</v>
      </c>
    </row>
    <row r="11" spans="2:5" x14ac:dyDescent="0.5">
      <c r="B11">
        <f t="shared" si="0"/>
        <v>-4.8283137373023015</v>
      </c>
      <c r="C11">
        <v>8.0000000000000002E-3</v>
      </c>
      <c r="D11" s="20">
        <v>0.14499999999999999</v>
      </c>
      <c r="E11">
        <f t="shared" si="1"/>
        <v>-1.9310215365615626</v>
      </c>
    </row>
    <row r="12" spans="2:5" x14ac:dyDescent="0.5">
      <c r="B12">
        <f t="shared" si="0"/>
        <v>-4.7105307016459177</v>
      </c>
      <c r="C12">
        <v>9.0000000000000011E-3</v>
      </c>
      <c r="D12" s="20">
        <v>0.17199999999999999</v>
      </c>
      <c r="E12">
        <f t="shared" si="1"/>
        <v>-1.7602608021686841</v>
      </c>
    </row>
    <row r="13" spans="2:5" x14ac:dyDescent="0.5">
      <c r="B13">
        <f t="shared" si="0"/>
        <v>-4.6051701859880909</v>
      </c>
      <c r="C13">
        <v>1.0000000000000002E-2</v>
      </c>
      <c r="D13" s="20">
        <v>0.17299999999999999</v>
      </c>
      <c r="E13">
        <f t="shared" si="1"/>
        <v>-1.7544636844843582</v>
      </c>
    </row>
    <row r="23" spans="3:8" x14ac:dyDescent="0.5">
      <c r="C23" t="s">
        <v>36</v>
      </c>
    </row>
    <row r="24" spans="3:8" x14ac:dyDescent="0.5">
      <c r="C24" t="s">
        <v>37</v>
      </c>
    </row>
    <row r="25" spans="3:8" x14ac:dyDescent="0.5">
      <c r="C25" s="21"/>
      <c r="D25" s="21"/>
      <c r="E25" s="21"/>
      <c r="F25" s="21"/>
      <c r="G25" s="21"/>
      <c r="H25" s="21"/>
    </row>
  </sheetData>
  <phoneticPr fontId="1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E48DE-772F-474B-875A-0BB869878189}">
  <dimension ref="B1:P260"/>
  <sheetViews>
    <sheetView workbookViewId="0">
      <selection activeCell="C7" sqref="C7"/>
    </sheetView>
  </sheetViews>
  <sheetFormatPr defaultRowHeight="17.649999999999999" x14ac:dyDescent="0.5"/>
  <cols>
    <col min="1" max="1" width="3.59765625" customWidth="1"/>
    <col min="2" max="2" width="9.8984375" bestFit="1" customWidth="1"/>
    <col min="7" max="7" width="11.69921875" bestFit="1" customWidth="1"/>
    <col min="10" max="10" width="10.19921875" bestFit="1" customWidth="1"/>
    <col min="13" max="13" width="11.69921875" bestFit="1" customWidth="1"/>
  </cols>
  <sheetData>
    <row r="1" spans="2:16" x14ac:dyDescent="0.5">
      <c r="B1" s="16" cm="1">
        <f t="array" aca="1" ref="B1" ca="1">_xll.MONTE.COUNT()</f>
        <v>336</v>
      </c>
    </row>
    <row r="2" spans="2:16" x14ac:dyDescent="0.5">
      <c r="B2" s="3" t="s">
        <v>15</v>
      </c>
      <c r="C2">
        <v>0</v>
      </c>
      <c r="F2" s="3" t="s">
        <v>20</v>
      </c>
      <c r="G2" s="7" cm="1">
        <f t="array" ref="G2">_xll.OPTION.BLACK.PUT(f, sigma*SQRT(t), k)</f>
        <v>3.987761167674492</v>
      </c>
      <c r="I2" s="8" cm="1">
        <f t="array" ref="I2">_xll.OPTION.BLACK.PUT_DELTA(f, sigma*SQRT(t), k)</f>
        <v>-0.48006119416162751</v>
      </c>
      <c r="J2" s="8" cm="1">
        <f t="array" ref="J2">_xll.OPTION.BLACK.PUT(f+0.01, sigma*SQRT(t), k)</f>
        <v>3.9829625478526722</v>
      </c>
      <c r="K2" s="8" cm="1">
        <f t="array" ref="K2">_xll.OPTION.BLACK.PUT(f-0.01, sigma*SQRT(t), k)</f>
        <v>3.9925637719351386</v>
      </c>
      <c r="L2" s="8">
        <f>(J2-K2)/0.02</f>
        <v>-0.48006120412331654</v>
      </c>
      <c r="M2" s="9">
        <f>I2-L2</f>
        <v>9.9616890292253402E-9</v>
      </c>
    </row>
    <row r="3" spans="2:16" x14ac:dyDescent="0.5">
      <c r="B3" s="3" t="s">
        <v>16</v>
      </c>
      <c r="C3">
        <v>100</v>
      </c>
      <c r="F3" s="3" t="s">
        <v>28</v>
      </c>
      <c r="G3" s="7" cm="1">
        <f t="array" aca="1" ref="G3" ca="1">_xlfn.TAKE(S_,-1)</f>
        <v>85.980674884432844</v>
      </c>
      <c r="N3" s="6">
        <v>1</v>
      </c>
      <c r="O3" s="6" cm="1">
        <f t="array" ref="O3:O5">ad(N3:N5)</f>
        <v>1</v>
      </c>
      <c r="P3" s="6" cm="1">
        <f t="array" ref="P3:P5">_xlfn.SCAN(0,_xlfn.ANCHORARRAY(O3),_xlfn.LAMBDA(_xlpm.a,_xlpm.b,_xlpm.a+_xlpm.b))</f>
        <v>1</v>
      </c>
    </row>
    <row r="4" spans="2:16" x14ac:dyDescent="0.5">
      <c r="B4" s="3" t="s">
        <v>14</v>
      </c>
      <c r="C4">
        <v>0.2</v>
      </c>
      <c r="F4" s="3" t="s">
        <v>24</v>
      </c>
      <c r="G4" s="10">
        <f ca="1">MAX(k - last,0)</f>
        <v>14.019325115567156</v>
      </c>
      <c r="H4" s="10">
        <f t="array" aca="1" ref="H4:I4" ca="1">_xll.MONTE.STDEV(G4)</f>
        <v>4.0159382693323167</v>
      </c>
      <c r="I4" s="10">
        <f ca="1"/>
        <v>5.5814700600289546</v>
      </c>
      <c r="M4">
        <v>1E-3</v>
      </c>
      <c r="N4" s="6">
        <v>2</v>
      </c>
      <c r="O4" s="6">
        <v>1</v>
      </c>
      <c r="P4" s="6">
        <v>2</v>
      </c>
    </row>
    <row r="5" spans="2:16" x14ac:dyDescent="0.5">
      <c r="B5" s="3" t="s">
        <v>1</v>
      </c>
      <c r="C5">
        <v>0.25</v>
      </c>
      <c r="F5" s="3" t="s">
        <v>25</v>
      </c>
      <c r="G5" s="10" cm="1">
        <f t="array" aca="1" ref="G5" ca="1">_xlfn.TAKE(A,-1)</f>
        <v>-6.1471358281921482</v>
      </c>
      <c r="H5" s="10"/>
      <c r="I5" s="10"/>
      <c r="M5">
        <v>0.01</v>
      </c>
      <c r="N5" s="6">
        <v>3</v>
      </c>
      <c r="O5" s="6">
        <v>1</v>
      </c>
      <c r="P5" s="6">
        <v>3</v>
      </c>
    </row>
    <row r="6" spans="2:16" x14ac:dyDescent="0.5">
      <c r="B6" s="3" t="s">
        <v>21</v>
      </c>
      <c r="C6">
        <f>1/1000</f>
        <v>1E-3</v>
      </c>
      <c r="F6" s="3" t="s">
        <v>29</v>
      </c>
      <c r="G6" s="10">
        <f ca="1">payoff-hedge</f>
        <v>20.166460943759304</v>
      </c>
      <c r="H6" s="7">
        <f t="array" aca="1" ref="H6:I6" ca="1">_xll.MONTE.STDEV(error)</f>
        <v>-8.1799625122950678E-2</v>
      </c>
      <c r="I6" s="12">
        <f ca="1"/>
        <v>12.158138855110611</v>
      </c>
      <c r="J6" s="15">
        <f ca="1">I6/put</f>
        <v>3.0488633455951843</v>
      </c>
      <c r="K6" s="14" t="s">
        <v>30</v>
      </c>
      <c r="M6">
        <v>0.1</v>
      </c>
    </row>
    <row r="7" spans="2:16" x14ac:dyDescent="0.5">
      <c r="B7" s="3" t="s">
        <v>17</v>
      </c>
      <c r="C7">
        <v>100</v>
      </c>
    </row>
    <row r="8" spans="2:16" ht="18" x14ac:dyDescent="0.55000000000000004">
      <c r="D8" s="24" t="s">
        <v>0</v>
      </c>
      <c r="E8" s="24"/>
      <c r="F8" s="25" t="s">
        <v>10</v>
      </c>
      <c r="G8" s="25"/>
      <c r="H8" s="25" t="s">
        <v>13</v>
      </c>
      <c r="I8" s="25"/>
      <c r="J8" s="1" t="s">
        <v>11</v>
      </c>
      <c r="K8" s="2" t="s">
        <v>12</v>
      </c>
    </row>
    <row r="9" spans="2:16" x14ac:dyDescent="0.5">
      <c r="B9" s="4" t="s">
        <v>22</v>
      </c>
      <c r="C9" s="4" t="s">
        <v>23</v>
      </c>
      <c r="D9" s="4" t="s">
        <v>18</v>
      </c>
      <c r="E9" s="4" t="s">
        <v>19</v>
      </c>
      <c r="F9" s="4" t="s">
        <v>4</v>
      </c>
      <c r="G9" s="4" t="s">
        <v>5</v>
      </c>
      <c r="H9" s="4" t="s">
        <v>26</v>
      </c>
      <c r="I9" s="4" t="s">
        <v>27</v>
      </c>
      <c r="J9" s="4" t="s">
        <v>8</v>
      </c>
      <c r="K9" s="4" t="s">
        <v>9</v>
      </c>
      <c r="L9" s="13" t="s">
        <v>31</v>
      </c>
    </row>
    <row r="10" spans="2:16" x14ac:dyDescent="0.5">
      <c r="B10" cm="1">
        <f t="array" ref="B10:B260">_xll.ARRAY.SEQUENCE(0, t, dt)</f>
        <v>0</v>
      </c>
      <c r="C10" cm="1">
        <f t="array" aca="1" ref="C10:C260" ca="1">_xll.RANDOM.BROWNIAN(t_)</f>
        <v>0</v>
      </c>
      <c r="D10" cm="1">
        <f t="array" aca="1" ref="D10:D260" ca="1">1+0*B_</f>
        <v>1</v>
      </c>
      <c r="E10" cm="1">
        <f t="array" aca="1" ref="E10:E260" ca="1">f*EXP(sigma*B_+(mu-sigma*sigma/2)*t_)</f>
        <v>100</v>
      </c>
      <c r="F10" s="10" cm="1">
        <f t="array" aca="1" ref="F10:F260" ca="1">co(put*(t_ = 0) - N*S_/R_)</f>
        <v>3.987761167674492</v>
      </c>
      <c r="G10" s="7" cm="1">
        <f t="array" aca="1" ref="G10:G260" ca="1">co(ad(_N))</f>
        <v>0</v>
      </c>
      <c r="H10" s="10" cm="1">
        <f t="array" aca="1" ref="H10:H260" ca="1">_xlfn.SCAN(0,M,_xlfn.LAMBDA(_xlpm.a,_xlpm.b,_xlpm.a+_xlpm.b))</f>
        <v>3.987761167674492</v>
      </c>
      <c r="I10" s="7" cm="1">
        <f t="array" aca="1" ref="I10:I260" ca="1">1*(S_&lt;k)</f>
        <v>0</v>
      </c>
      <c r="J10" s="7" cm="1">
        <f t="array" aca="1" ref="J10:J260" ca="1">_M * R_ + _N * S_</f>
        <v>3.987761167674492</v>
      </c>
      <c r="K10" cm="1">
        <f t="array" aca="1" ref="K10:K260" ca="1">-M * R_ - N * S_</f>
        <v>-3.987761167674492</v>
      </c>
      <c r="L10" cm="1">
        <f t="array" aca="1" ref="L10:L260" ca="1">_xlfn.MAP(S_,_xlfn.LAMBDA(_xlpm.s,MAX(k-_xlpm.s,0)))</f>
        <v>0</v>
      </c>
      <c r="M10" s="19">
        <f ca="1">put - G10*E10</f>
        <v>3.987761167674492</v>
      </c>
      <c r="N10" s="19">
        <f ca="1">F10-M10</f>
        <v>0</v>
      </c>
    </row>
    <row r="11" spans="2:16" x14ac:dyDescent="0.5">
      <c r="B11">
        <v>1E-3</v>
      </c>
      <c r="C11">
        <f ca="1"/>
        <v>3.9049881199519798E-2</v>
      </c>
      <c r="D11">
        <f ca="1"/>
        <v>1</v>
      </c>
      <c r="E11" s="11">
        <f ca="1"/>
        <v>100.78203970459596</v>
      </c>
      <c r="F11" s="10">
        <f ca="1"/>
        <v>0</v>
      </c>
      <c r="G11" s="7">
        <f ca="1"/>
        <v>0</v>
      </c>
      <c r="H11" s="10">
        <f ca="1"/>
        <v>3.987761167674492</v>
      </c>
      <c r="I11" s="7">
        <f ca="1"/>
        <v>0</v>
      </c>
      <c r="J11" s="7">
        <f ca="1"/>
        <v>3.987761167674492</v>
      </c>
      <c r="K11">
        <f ca="1"/>
        <v>0</v>
      </c>
      <c r="L11">
        <f ca="1"/>
        <v>0</v>
      </c>
      <c r="M11" s="19">
        <f ca="1" xml:space="preserve"> - G11*E11</f>
        <v>0</v>
      </c>
      <c r="N11" s="19">
        <f ca="1">F11-M11</f>
        <v>0</v>
      </c>
    </row>
    <row r="12" spans="2:16" x14ac:dyDescent="0.5">
      <c r="B12">
        <v>2E-3</v>
      </c>
      <c r="C12">
        <f ca="1"/>
        <v>2.9021542727801546E-2</v>
      </c>
      <c r="D12">
        <f ca="1"/>
        <v>1</v>
      </c>
      <c r="E12" s="11">
        <f ca="1"/>
        <v>100.57809541401429</v>
      </c>
      <c r="F12" s="10">
        <f ca="1"/>
        <v>0</v>
      </c>
      <c r="G12" s="7">
        <f ca="1"/>
        <v>0</v>
      </c>
      <c r="H12" s="10">
        <f ca="1"/>
        <v>3.987761167674492</v>
      </c>
      <c r="I12" s="7">
        <f ca="1"/>
        <v>0</v>
      </c>
      <c r="J12" s="7">
        <f ca="1"/>
        <v>3.987761167674492</v>
      </c>
      <c r="K12">
        <f ca="1"/>
        <v>0</v>
      </c>
      <c r="L12">
        <f ca="1"/>
        <v>0</v>
      </c>
    </row>
    <row r="13" spans="2:16" x14ac:dyDescent="0.5">
      <c r="B13">
        <v>3.0000000000000001E-3</v>
      </c>
      <c r="C13">
        <f ca="1"/>
        <v>4.9345966080486019E-2</v>
      </c>
      <c r="D13">
        <f ca="1"/>
        <v>1</v>
      </c>
      <c r="E13" s="11">
        <f ca="1"/>
        <v>100.98574610456006</v>
      </c>
      <c r="F13" s="10">
        <f ca="1"/>
        <v>0</v>
      </c>
      <c r="G13" s="7">
        <f ca="1"/>
        <v>0</v>
      </c>
      <c r="H13" s="10">
        <f ca="1"/>
        <v>3.987761167674492</v>
      </c>
      <c r="I13" s="7">
        <f ca="1"/>
        <v>0</v>
      </c>
      <c r="J13" s="7">
        <f ca="1"/>
        <v>3.987761167674492</v>
      </c>
      <c r="K13">
        <f ca="1"/>
        <v>0</v>
      </c>
      <c r="L13">
        <f ca="1"/>
        <v>0</v>
      </c>
    </row>
    <row r="14" spans="2:16" x14ac:dyDescent="0.5">
      <c r="B14">
        <v>4.0000000000000001E-3</v>
      </c>
      <c r="C14">
        <f ca="1"/>
        <v>7.7768956647714146E-2</v>
      </c>
      <c r="D14">
        <f ca="1"/>
        <v>1</v>
      </c>
      <c r="E14" s="11">
        <f ca="1"/>
        <v>101.55941303376245</v>
      </c>
      <c r="F14" s="10">
        <f ca="1"/>
        <v>0</v>
      </c>
      <c r="G14" s="7">
        <f ca="1"/>
        <v>0</v>
      </c>
      <c r="H14" s="10">
        <f ca="1"/>
        <v>3.987761167674492</v>
      </c>
      <c r="I14" s="7">
        <f ca="1"/>
        <v>0</v>
      </c>
      <c r="J14" s="7">
        <f ca="1"/>
        <v>3.987761167674492</v>
      </c>
      <c r="K14">
        <f ca="1"/>
        <v>0</v>
      </c>
      <c r="L14">
        <f ca="1"/>
        <v>0</v>
      </c>
      <c r="M14" s="19">
        <f ca="1">f*EXP(sigma*C14-sigma^2*B14/2)</f>
        <v>101.55941303376245</v>
      </c>
      <c r="N14" s="19">
        <f ca="1">E14-M14</f>
        <v>0</v>
      </c>
    </row>
    <row r="15" spans="2:16" x14ac:dyDescent="0.5">
      <c r="B15">
        <v>5.0000000000000001E-3</v>
      </c>
      <c r="C15">
        <f ca="1"/>
        <v>3.1953210658779749E-2</v>
      </c>
      <c r="D15">
        <f ca="1"/>
        <v>1</v>
      </c>
      <c r="E15" s="11">
        <f ca="1"/>
        <v>100.631046977537</v>
      </c>
      <c r="F15" s="10">
        <f ca="1"/>
        <v>0</v>
      </c>
      <c r="G15" s="7">
        <f ca="1"/>
        <v>0</v>
      </c>
      <c r="H15" s="10">
        <f ca="1"/>
        <v>3.987761167674492</v>
      </c>
      <c r="I15" s="7">
        <f ca="1"/>
        <v>0</v>
      </c>
      <c r="J15" s="7">
        <f ca="1"/>
        <v>3.987761167674492</v>
      </c>
      <c r="K15">
        <f ca="1"/>
        <v>0</v>
      </c>
      <c r="L15">
        <f ca="1"/>
        <v>0</v>
      </c>
    </row>
    <row r="16" spans="2:16" x14ac:dyDescent="0.5">
      <c r="B16">
        <v>6.0000000000000001E-3</v>
      </c>
      <c r="C16">
        <f ca="1"/>
        <v>-4.0613053322829204E-2</v>
      </c>
      <c r="D16">
        <f ca="1"/>
        <v>1</v>
      </c>
      <c r="E16" s="11">
        <f ca="1"/>
        <v>99.179126650803738</v>
      </c>
      <c r="F16" s="10">
        <f ca="1"/>
        <v>-99.179126650803738</v>
      </c>
      <c r="G16" s="7">
        <f ca="1"/>
        <v>1</v>
      </c>
      <c r="H16" s="10">
        <f ca="1"/>
        <v>-95.191365483129246</v>
      </c>
      <c r="I16" s="7">
        <f ca="1"/>
        <v>1</v>
      </c>
      <c r="J16" s="7">
        <f ca="1"/>
        <v>3.987761167674492</v>
      </c>
      <c r="K16">
        <f ca="1"/>
        <v>0</v>
      </c>
      <c r="L16">
        <f ca="1"/>
        <v>0.82087334919626187</v>
      </c>
      <c r="M16" s="19" cm="1">
        <f t="array" aca="1" ref="M16" ca="1">_xll.OPTION.BLACK.PUT_DELTA(E16,sigma*SQRT(t - B16),k)</f>
        <v>-0.51357618955282558</v>
      </c>
      <c r="N16" s="19">
        <f ca="1">I16-M16</f>
        <v>1.5135761895528255</v>
      </c>
    </row>
    <row r="17" spans="2:16" x14ac:dyDescent="0.5">
      <c r="B17">
        <v>7.0000000000000001E-3</v>
      </c>
      <c r="C17">
        <f ca="1"/>
        <v>-7.778842707278931E-2</v>
      </c>
      <c r="D17">
        <f ca="1"/>
        <v>1</v>
      </c>
      <c r="E17" s="11">
        <f ca="1"/>
        <v>98.442488107432169</v>
      </c>
      <c r="F17" s="10">
        <f ca="1"/>
        <v>0</v>
      </c>
      <c r="G17" s="7">
        <f ca="1"/>
        <v>0</v>
      </c>
      <c r="H17" s="10">
        <f ca="1"/>
        <v>-95.191365483129246</v>
      </c>
      <c r="I17" s="7">
        <f ca="1"/>
        <v>1</v>
      </c>
      <c r="J17" s="7">
        <f ca="1"/>
        <v>3.2511226243029228</v>
      </c>
      <c r="K17">
        <f ca="1"/>
        <v>0</v>
      </c>
      <c r="L17">
        <f ca="1"/>
        <v>1.5575118925678311</v>
      </c>
    </row>
    <row r="18" spans="2:16" x14ac:dyDescent="0.5">
      <c r="B18">
        <v>8.0000000000000002E-3</v>
      </c>
      <c r="C18">
        <f ca="1"/>
        <v>-0.12148620038225202</v>
      </c>
      <c r="D18">
        <f ca="1"/>
        <v>1</v>
      </c>
      <c r="E18" s="11">
        <f ca="1"/>
        <v>97.583941484507775</v>
      </c>
      <c r="F18" s="10">
        <f ca="1"/>
        <v>0</v>
      </c>
      <c r="G18" s="7">
        <f ca="1"/>
        <v>0</v>
      </c>
      <c r="H18" s="10">
        <f ca="1"/>
        <v>-95.191365483129246</v>
      </c>
      <c r="I18" s="7">
        <f ca="1"/>
        <v>1</v>
      </c>
      <c r="J18" s="7">
        <f ca="1"/>
        <v>2.3925760013785293</v>
      </c>
      <c r="K18">
        <f ca="1"/>
        <v>0</v>
      </c>
      <c r="L18">
        <f ca="1"/>
        <v>2.4160585154922245</v>
      </c>
    </row>
    <row r="19" spans="2:16" x14ac:dyDescent="0.5">
      <c r="B19">
        <v>9.0000000000000011E-3</v>
      </c>
      <c r="C19">
        <f ca="1"/>
        <v>-0.1503891718053168</v>
      </c>
      <c r="D19">
        <f ca="1"/>
        <v>1</v>
      </c>
      <c r="E19" s="11">
        <f ca="1"/>
        <v>97.01953515985565</v>
      </c>
      <c r="F19" s="10">
        <f ca="1"/>
        <v>0</v>
      </c>
      <c r="G19" s="7">
        <f ca="1"/>
        <v>0</v>
      </c>
      <c r="H19" s="10">
        <f ca="1"/>
        <v>-95.191365483129246</v>
      </c>
      <c r="I19" s="7">
        <f ca="1"/>
        <v>1</v>
      </c>
      <c r="J19" s="7">
        <f ca="1"/>
        <v>1.8281696767264037</v>
      </c>
      <c r="K19">
        <f ca="1"/>
        <v>0</v>
      </c>
      <c r="L19">
        <f ca="1"/>
        <v>2.9804648401443501</v>
      </c>
    </row>
    <row r="20" spans="2:16" x14ac:dyDescent="0.5">
      <c r="B20">
        <v>0.01</v>
      </c>
      <c r="C20">
        <f ca="1"/>
        <v>-0.13047297237008279</v>
      </c>
      <c r="D20">
        <f ca="1"/>
        <v>1</v>
      </c>
      <c r="E20" s="11">
        <f ca="1"/>
        <v>97.404809815063459</v>
      </c>
      <c r="F20" s="10">
        <f ca="1"/>
        <v>0</v>
      </c>
      <c r="G20" s="7">
        <f ca="1"/>
        <v>0</v>
      </c>
      <c r="H20" s="10">
        <f ca="1"/>
        <v>-95.191365483129246</v>
      </c>
      <c r="I20" s="7">
        <f ca="1"/>
        <v>1</v>
      </c>
      <c r="J20" s="7">
        <f ca="1"/>
        <v>2.2134443319342125</v>
      </c>
      <c r="K20">
        <f ca="1"/>
        <v>0</v>
      </c>
      <c r="L20">
        <f ca="1"/>
        <v>2.5951901849365413</v>
      </c>
      <c r="M20" s="6">
        <f t="array" aca="1" ref="M20:M21" ca="1">_xll.MONTE.STDEV(C20)</f>
        <v>7.6002112932652523E-3</v>
      </c>
      <c r="N20" s="6">
        <v>0</v>
      </c>
      <c r="O20" s="6">
        <f t="array" aca="1" ref="O20:O21" ca="1">_xll.MONTE.STDEV(E20)</f>
        <v>100.14694867961131</v>
      </c>
      <c r="P20" s="6">
        <f>f*EXP(mu*B20)</f>
        <v>100</v>
      </c>
    </row>
    <row r="21" spans="2:16" x14ac:dyDescent="0.5">
      <c r="B21">
        <v>1.0999999999999999E-2</v>
      </c>
      <c r="C21">
        <f ca="1"/>
        <v>-0.12818575754910952</v>
      </c>
      <c r="D21">
        <f ca="1"/>
        <v>1</v>
      </c>
      <c r="E21" s="11">
        <f ca="1"/>
        <v>97.447428184669121</v>
      </c>
      <c r="F21" s="10">
        <f ca="1"/>
        <v>0</v>
      </c>
      <c r="G21" s="7">
        <f ca="1"/>
        <v>0</v>
      </c>
      <c r="H21" s="10">
        <f ca="1"/>
        <v>-95.191365483129246</v>
      </c>
      <c r="I21" s="7">
        <f ca="1"/>
        <v>1</v>
      </c>
      <c r="J21" s="7">
        <f ca="1"/>
        <v>2.2560627015398751</v>
      </c>
      <c r="K21">
        <f ca="1"/>
        <v>0</v>
      </c>
      <c r="L21">
        <f ca="1"/>
        <v>2.5525718153308787</v>
      </c>
      <c r="M21" s="6">
        <f ca="1"/>
        <v>8.6228905486166393E-2</v>
      </c>
      <c r="N21" s="6">
        <f>SQRT(B20)</f>
        <v>0.1</v>
      </c>
      <c r="O21" s="6">
        <f ca="1"/>
        <v>1.7290490736598187</v>
      </c>
      <c r="P21" s="6"/>
    </row>
    <row r="22" spans="2:16" x14ac:dyDescent="0.5">
      <c r="B22">
        <v>1.2E-2</v>
      </c>
      <c r="C22">
        <f ca="1"/>
        <v>-0.13550051038028033</v>
      </c>
      <c r="D22">
        <f ca="1"/>
        <v>1</v>
      </c>
      <c r="E22" s="11">
        <f ca="1"/>
        <v>97.303025563302668</v>
      </c>
      <c r="F22" s="10">
        <f ca="1"/>
        <v>0</v>
      </c>
      <c r="G22" s="7">
        <f ca="1"/>
        <v>0</v>
      </c>
      <c r="H22" s="10">
        <f ca="1"/>
        <v>-95.191365483129246</v>
      </c>
      <c r="I22" s="7">
        <f ca="1"/>
        <v>1</v>
      </c>
      <c r="J22" s="7">
        <f ca="1"/>
        <v>2.1116600801734222</v>
      </c>
      <c r="K22">
        <f ca="1"/>
        <v>0</v>
      </c>
      <c r="L22">
        <f ca="1"/>
        <v>2.6969744366973316</v>
      </c>
    </row>
    <row r="23" spans="2:16" x14ac:dyDescent="0.5">
      <c r="B23">
        <v>1.3000000000000001E-2</v>
      </c>
      <c r="C23">
        <f ca="1"/>
        <v>-0.12858538798981756</v>
      </c>
      <c r="D23">
        <f ca="1"/>
        <v>1</v>
      </c>
      <c r="E23" s="11">
        <f ca="1"/>
        <v>97.435742396536924</v>
      </c>
      <c r="F23" s="10">
        <f ca="1"/>
        <v>0</v>
      </c>
      <c r="G23" s="7">
        <f ca="1"/>
        <v>0</v>
      </c>
      <c r="H23" s="10">
        <f ca="1"/>
        <v>-95.191365483129246</v>
      </c>
      <c r="I23" s="7">
        <f ca="1"/>
        <v>1</v>
      </c>
      <c r="J23" s="7">
        <f ca="1"/>
        <v>2.2443769134076774</v>
      </c>
      <c r="K23">
        <f ca="1"/>
        <v>0</v>
      </c>
      <c r="L23">
        <f ca="1"/>
        <v>2.5642576034630764</v>
      </c>
    </row>
    <row r="24" spans="2:16" x14ac:dyDescent="0.5">
      <c r="B24">
        <v>1.4E-2</v>
      </c>
      <c r="C24">
        <f ca="1"/>
        <v>-0.12700591706631992</v>
      </c>
      <c r="D24">
        <f ca="1"/>
        <v>1</v>
      </c>
      <c r="E24" s="11">
        <f ca="1"/>
        <v>97.46457733192841</v>
      </c>
      <c r="F24" s="10">
        <f ca="1"/>
        <v>0</v>
      </c>
      <c r="G24" s="7">
        <f ca="1"/>
        <v>0</v>
      </c>
      <c r="H24" s="10">
        <f ca="1"/>
        <v>-95.191365483129246</v>
      </c>
      <c r="I24" s="7">
        <f ca="1"/>
        <v>1</v>
      </c>
      <c r="J24" s="7">
        <f ca="1"/>
        <v>2.2732118487991642</v>
      </c>
      <c r="K24">
        <f ca="1"/>
        <v>0</v>
      </c>
      <c r="L24">
        <f ca="1"/>
        <v>2.5354226680715897</v>
      </c>
    </row>
    <row r="25" spans="2:16" x14ac:dyDescent="0.5">
      <c r="B25">
        <v>1.4999999999999999E-2</v>
      </c>
      <c r="C25">
        <f ca="1"/>
        <v>-0.15780928487887028</v>
      </c>
      <c r="D25">
        <f ca="1"/>
        <v>1</v>
      </c>
      <c r="E25" s="11">
        <f ca="1"/>
        <v>96.864038374909967</v>
      </c>
      <c r="F25" s="10">
        <f ca="1"/>
        <v>0</v>
      </c>
      <c r="G25" s="7">
        <f ca="1"/>
        <v>0</v>
      </c>
      <c r="H25" s="10">
        <f ca="1"/>
        <v>-95.191365483129246</v>
      </c>
      <c r="I25" s="7">
        <f ca="1"/>
        <v>1</v>
      </c>
      <c r="J25" s="7">
        <f ca="1"/>
        <v>1.6726728917807208</v>
      </c>
      <c r="K25">
        <f ca="1"/>
        <v>0</v>
      </c>
      <c r="L25">
        <f ca="1"/>
        <v>3.1359616250900331</v>
      </c>
    </row>
    <row r="26" spans="2:16" x14ac:dyDescent="0.5">
      <c r="B26">
        <v>1.6E-2</v>
      </c>
      <c r="C26">
        <f ca="1"/>
        <v>-0.13974603219633647</v>
      </c>
      <c r="D26">
        <f ca="1"/>
        <v>1</v>
      </c>
      <c r="E26" s="11">
        <f ca="1"/>
        <v>97.21266288237905</v>
      </c>
      <c r="F26" s="10">
        <f ca="1"/>
        <v>0</v>
      </c>
      <c r="G26" s="7">
        <f ca="1"/>
        <v>0</v>
      </c>
      <c r="H26" s="10">
        <f ca="1"/>
        <v>-95.191365483129246</v>
      </c>
      <c r="I26" s="7">
        <f ca="1"/>
        <v>1</v>
      </c>
      <c r="J26" s="7">
        <f ca="1"/>
        <v>2.0212973992498036</v>
      </c>
      <c r="K26">
        <f ca="1"/>
        <v>0</v>
      </c>
      <c r="L26">
        <f ca="1"/>
        <v>2.7873371176209503</v>
      </c>
    </row>
    <row r="27" spans="2:16" x14ac:dyDescent="0.5">
      <c r="B27">
        <v>1.7000000000000001E-2</v>
      </c>
      <c r="C27">
        <f ca="1"/>
        <v>-0.17896987063951525</v>
      </c>
      <c r="D27">
        <f ca="1"/>
        <v>1</v>
      </c>
      <c r="E27" s="11">
        <f ca="1"/>
        <v>96.451106529787339</v>
      </c>
      <c r="F27" s="10">
        <f ca="1"/>
        <v>0</v>
      </c>
      <c r="G27" s="7">
        <f ca="1"/>
        <v>0</v>
      </c>
      <c r="H27" s="10">
        <f ca="1"/>
        <v>-95.191365483129246</v>
      </c>
      <c r="I27" s="7">
        <f ca="1"/>
        <v>1</v>
      </c>
      <c r="J27" s="7">
        <f ca="1"/>
        <v>1.2597410466580925</v>
      </c>
      <c r="K27">
        <f ca="1"/>
        <v>0</v>
      </c>
      <c r="L27">
        <f ca="1"/>
        <v>3.5488934702126613</v>
      </c>
    </row>
    <row r="28" spans="2:16" x14ac:dyDescent="0.5">
      <c r="B28">
        <v>1.8000000000000002E-2</v>
      </c>
      <c r="C28">
        <f ca="1"/>
        <v>-0.1337866799451054</v>
      </c>
      <c r="D28">
        <f ca="1"/>
        <v>1</v>
      </c>
      <c r="E28" s="11">
        <f ca="1"/>
        <v>97.324703792061513</v>
      </c>
      <c r="F28" s="10">
        <f ca="1"/>
        <v>0</v>
      </c>
      <c r="G28" s="7">
        <f ca="1"/>
        <v>0</v>
      </c>
      <c r="H28" s="10">
        <f ca="1"/>
        <v>-95.191365483129246</v>
      </c>
      <c r="I28" s="7">
        <f ca="1"/>
        <v>1</v>
      </c>
      <c r="J28" s="7">
        <f ca="1"/>
        <v>2.1333383089322666</v>
      </c>
      <c r="K28">
        <f ca="1"/>
        <v>0</v>
      </c>
      <c r="L28">
        <f ca="1"/>
        <v>2.6752962079384872</v>
      </c>
    </row>
    <row r="29" spans="2:16" x14ac:dyDescent="0.5">
      <c r="B29">
        <v>1.9E-2</v>
      </c>
      <c r="C29">
        <f ca="1"/>
        <v>-8.4776674008588793E-2</v>
      </c>
      <c r="D29">
        <f ca="1"/>
        <v>1</v>
      </c>
      <c r="E29" s="11">
        <f ca="1"/>
        <v>98.281405761315739</v>
      </c>
      <c r="F29" s="10">
        <f ca="1"/>
        <v>0</v>
      </c>
      <c r="G29" s="7">
        <f ca="1"/>
        <v>0</v>
      </c>
      <c r="H29" s="10">
        <f ca="1"/>
        <v>-95.191365483129246</v>
      </c>
      <c r="I29" s="7">
        <f ca="1"/>
        <v>1</v>
      </c>
      <c r="J29" s="7">
        <f ca="1"/>
        <v>3.0900402781864926</v>
      </c>
      <c r="K29">
        <f ca="1"/>
        <v>0</v>
      </c>
      <c r="L29">
        <f ca="1"/>
        <v>1.7185942386842612</v>
      </c>
    </row>
    <row r="30" spans="2:16" x14ac:dyDescent="0.5">
      <c r="B30">
        <v>0.02</v>
      </c>
      <c r="C30">
        <f ca="1"/>
        <v>-0.16155154215589582</v>
      </c>
      <c r="D30">
        <f ca="1"/>
        <v>1</v>
      </c>
      <c r="E30" s="11">
        <f ca="1"/>
        <v>96.781888795467552</v>
      </c>
      <c r="F30" s="10">
        <f ca="1"/>
        <v>0</v>
      </c>
      <c r="G30" s="7">
        <f ca="1"/>
        <v>0</v>
      </c>
      <c r="H30" s="10">
        <f ca="1"/>
        <v>-95.191365483129246</v>
      </c>
      <c r="I30" s="7">
        <f ca="1"/>
        <v>1</v>
      </c>
      <c r="J30" s="7">
        <f ca="1"/>
        <v>1.5905233123383056</v>
      </c>
      <c r="K30">
        <f ca="1"/>
        <v>0</v>
      </c>
      <c r="L30">
        <f ca="1"/>
        <v>3.2181112045324483</v>
      </c>
    </row>
    <row r="31" spans="2:16" x14ac:dyDescent="0.5">
      <c r="B31">
        <v>2.1000000000000001E-2</v>
      </c>
      <c r="C31">
        <f ca="1"/>
        <v>-0.17538417110593374</v>
      </c>
      <c r="D31">
        <f ca="1"/>
        <v>1</v>
      </c>
      <c r="E31" s="11">
        <f ca="1"/>
        <v>96.512578959994102</v>
      </c>
      <c r="F31" s="10">
        <f ca="1"/>
        <v>0</v>
      </c>
      <c r="G31" s="7">
        <f ca="1"/>
        <v>0</v>
      </c>
      <c r="H31" s="10">
        <f ca="1"/>
        <v>-95.191365483129246</v>
      </c>
      <c r="I31" s="7">
        <f ca="1"/>
        <v>1</v>
      </c>
      <c r="J31" s="7">
        <f ca="1"/>
        <v>1.3212134768648554</v>
      </c>
      <c r="K31">
        <f ca="1"/>
        <v>0</v>
      </c>
      <c r="L31">
        <f ca="1"/>
        <v>3.4874210400058985</v>
      </c>
    </row>
    <row r="32" spans="2:16" x14ac:dyDescent="0.5">
      <c r="B32">
        <v>2.1999999999999999E-2</v>
      </c>
      <c r="C32">
        <f ca="1"/>
        <v>-0.19605005467173076</v>
      </c>
      <c r="D32">
        <f ca="1"/>
        <v>1</v>
      </c>
      <c r="E32" s="11">
        <f ca="1"/>
        <v>96.112576380196401</v>
      </c>
      <c r="F32" s="10">
        <f ca="1"/>
        <v>0</v>
      </c>
      <c r="G32" s="7">
        <f ca="1"/>
        <v>0</v>
      </c>
      <c r="H32" s="10">
        <f ca="1"/>
        <v>-95.191365483129246</v>
      </c>
      <c r="I32" s="7">
        <f ca="1"/>
        <v>1</v>
      </c>
      <c r="J32" s="7">
        <f ca="1"/>
        <v>0.92121089706715509</v>
      </c>
      <c r="K32">
        <f ca="1"/>
        <v>0</v>
      </c>
      <c r="L32">
        <f ca="1"/>
        <v>3.8874236198035987</v>
      </c>
    </row>
    <row r="33" spans="2:12" x14ac:dyDescent="0.5">
      <c r="B33">
        <v>2.3E-2</v>
      </c>
      <c r="C33">
        <f ca="1"/>
        <v>-0.13047974857884703</v>
      </c>
      <c r="D33">
        <f ca="1"/>
        <v>1</v>
      </c>
      <c r="E33" s="11">
        <f ca="1"/>
        <v>97.379355883850423</v>
      </c>
      <c r="F33" s="10">
        <f ca="1"/>
        <v>0</v>
      </c>
      <c r="G33" s="7">
        <f ca="1"/>
        <v>0</v>
      </c>
      <c r="H33" s="10">
        <f ca="1"/>
        <v>-95.191365483129246</v>
      </c>
      <c r="I33" s="7">
        <f ca="1"/>
        <v>1</v>
      </c>
      <c r="J33" s="7">
        <f ca="1"/>
        <v>2.1879904007211763</v>
      </c>
      <c r="K33">
        <f ca="1"/>
        <v>0</v>
      </c>
      <c r="L33">
        <f ca="1"/>
        <v>2.6206441161495775</v>
      </c>
    </row>
    <row r="34" spans="2:12" x14ac:dyDescent="0.5">
      <c r="B34">
        <v>2.4E-2</v>
      </c>
      <c r="C34">
        <f ca="1"/>
        <v>-0.11096471540630888</v>
      </c>
      <c r="D34">
        <f ca="1"/>
        <v>1</v>
      </c>
      <c r="E34" s="11">
        <f ca="1"/>
        <v>97.758215650275787</v>
      </c>
      <c r="F34" s="10">
        <f ca="1"/>
        <v>0</v>
      </c>
      <c r="G34" s="7">
        <f ca="1"/>
        <v>0</v>
      </c>
      <c r="H34" s="10">
        <f ca="1"/>
        <v>-95.191365483129246</v>
      </c>
      <c r="I34" s="7">
        <f ca="1"/>
        <v>1</v>
      </c>
      <c r="J34" s="7">
        <f ca="1"/>
        <v>2.5668501671465407</v>
      </c>
      <c r="K34">
        <f ca="1"/>
        <v>0</v>
      </c>
      <c r="L34">
        <f ca="1"/>
        <v>2.2417843497242131</v>
      </c>
    </row>
    <row r="35" spans="2:12" x14ac:dyDescent="0.5">
      <c r="B35">
        <v>2.5000000000000001E-2</v>
      </c>
      <c r="C35">
        <f ca="1"/>
        <v>-0.10658545270864429</v>
      </c>
      <c r="D35">
        <f ca="1"/>
        <v>1</v>
      </c>
      <c r="E35" s="11">
        <f ca="1"/>
        <v>97.84191808075991</v>
      </c>
      <c r="F35" s="10">
        <f ca="1"/>
        <v>0</v>
      </c>
      <c r="G35" s="7">
        <f ca="1"/>
        <v>0</v>
      </c>
      <c r="H35" s="10">
        <f ca="1"/>
        <v>-95.191365483129246</v>
      </c>
      <c r="I35" s="7">
        <f ca="1"/>
        <v>1</v>
      </c>
      <c r="J35" s="7">
        <f ca="1"/>
        <v>2.6505525976306643</v>
      </c>
      <c r="K35">
        <f ca="1"/>
        <v>0</v>
      </c>
      <c r="L35">
        <f ca="1"/>
        <v>2.1580819192400895</v>
      </c>
    </row>
    <row r="36" spans="2:12" x14ac:dyDescent="0.5">
      <c r="B36">
        <v>2.6000000000000002E-2</v>
      </c>
      <c r="C36">
        <f ca="1"/>
        <v>-6.8748729560313193E-2</v>
      </c>
      <c r="D36">
        <f ca="1"/>
        <v>1</v>
      </c>
      <c r="E36" s="11">
        <f ca="1"/>
        <v>98.583158435381378</v>
      </c>
      <c r="F36" s="10">
        <f ca="1"/>
        <v>0</v>
      </c>
      <c r="G36" s="7">
        <f ca="1"/>
        <v>0</v>
      </c>
      <c r="H36" s="10">
        <f ca="1"/>
        <v>-95.191365483129246</v>
      </c>
      <c r="I36" s="7">
        <f ca="1"/>
        <v>1</v>
      </c>
      <c r="J36" s="7">
        <f ca="1"/>
        <v>3.391792952252132</v>
      </c>
      <c r="K36">
        <f ca="1"/>
        <v>0</v>
      </c>
      <c r="L36">
        <f ca="1"/>
        <v>1.4168415646186219</v>
      </c>
    </row>
    <row r="37" spans="2:12" x14ac:dyDescent="0.5">
      <c r="B37">
        <v>2.7E-2</v>
      </c>
      <c r="C37">
        <f ca="1"/>
        <v>-6.3080382876848445E-2</v>
      </c>
      <c r="D37">
        <f ca="1"/>
        <v>1</v>
      </c>
      <c r="E37" s="11">
        <f ca="1"/>
        <v>98.693008633090045</v>
      </c>
      <c r="F37" s="10">
        <f ca="1"/>
        <v>0</v>
      </c>
      <c r="G37" s="7">
        <f ca="1"/>
        <v>0</v>
      </c>
      <c r="H37" s="10">
        <f ca="1"/>
        <v>-95.191365483129246</v>
      </c>
      <c r="I37" s="7">
        <f ca="1"/>
        <v>1</v>
      </c>
      <c r="J37" s="7">
        <f ca="1"/>
        <v>3.501643149960799</v>
      </c>
      <c r="K37">
        <f ca="1"/>
        <v>0</v>
      </c>
      <c r="L37">
        <f ca="1"/>
        <v>1.3069913669099549</v>
      </c>
    </row>
    <row r="38" spans="2:12" x14ac:dyDescent="0.5">
      <c r="B38">
        <v>2.8000000000000001E-2</v>
      </c>
      <c r="C38">
        <f ca="1"/>
        <v>-7.6946685159667322E-2</v>
      </c>
      <c r="D38">
        <f ca="1"/>
        <v>1</v>
      </c>
      <c r="E38" s="11">
        <f ca="1"/>
        <v>98.417718012929342</v>
      </c>
      <c r="F38" s="10">
        <f ca="1"/>
        <v>0</v>
      </c>
      <c r="G38" s="7">
        <f ca="1"/>
        <v>0</v>
      </c>
      <c r="H38" s="10">
        <f ca="1"/>
        <v>-95.191365483129246</v>
      </c>
      <c r="I38" s="7">
        <f ca="1"/>
        <v>1</v>
      </c>
      <c r="J38" s="7">
        <f ca="1"/>
        <v>3.2263525298000957</v>
      </c>
      <c r="K38">
        <f ca="1"/>
        <v>0</v>
      </c>
      <c r="L38">
        <f ca="1"/>
        <v>1.5822819870706581</v>
      </c>
    </row>
    <row r="39" spans="2:12" x14ac:dyDescent="0.5">
      <c r="B39">
        <v>2.9000000000000001E-2</v>
      </c>
      <c r="C39">
        <f ca="1"/>
        <v>-6.045195100073697E-2</v>
      </c>
      <c r="D39">
        <f ca="1"/>
        <v>1</v>
      </c>
      <c r="E39" s="11">
        <f ca="1"/>
        <v>98.740954125006425</v>
      </c>
      <c r="F39" s="10">
        <f ca="1"/>
        <v>0</v>
      </c>
      <c r="G39" s="7">
        <f ca="1"/>
        <v>0</v>
      </c>
      <c r="H39" s="10">
        <f ca="1"/>
        <v>-95.191365483129246</v>
      </c>
      <c r="I39" s="7">
        <f ca="1"/>
        <v>1</v>
      </c>
      <c r="J39" s="7">
        <f ca="1"/>
        <v>3.5495886418771789</v>
      </c>
      <c r="K39">
        <f ca="1"/>
        <v>0</v>
      </c>
      <c r="L39">
        <f ca="1"/>
        <v>1.2590458749935749</v>
      </c>
    </row>
    <row r="40" spans="2:12" x14ac:dyDescent="0.5">
      <c r="B40">
        <v>0.03</v>
      </c>
      <c r="C40">
        <f ca="1"/>
        <v>-4.1088402707507195E-2</v>
      </c>
      <c r="D40">
        <f ca="1"/>
        <v>1</v>
      </c>
      <c r="E40" s="11">
        <f ca="1"/>
        <v>99.122108119037463</v>
      </c>
      <c r="F40" s="10">
        <f ca="1"/>
        <v>0</v>
      </c>
      <c r="G40" s="7">
        <f ca="1"/>
        <v>0</v>
      </c>
      <c r="H40" s="10">
        <f ca="1"/>
        <v>-95.191365483129246</v>
      </c>
      <c r="I40" s="7">
        <f ca="1"/>
        <v>1</v>
      </c>
      <c r="J40" s="7">
        <f ca="1"/>
        <v>3.9307426359082172</v>
      </c>
      <c r="K40">
        <f ca="1"/>
        <v>0</v>
      </c>
      <c r="L40">
        <f ca="1"/>
        <v>0.87789188096253667</v>
      </c>
    </row>
    <row r="41" spans="2:12" x14ac:dyDescent="0.5">
      <c r="B41">
        <v>3.1E-2</v>
      </c>
      <c r="C41">
        <f ca="1"/>
        <v>-2.6345828416818415E-2</v>
      </c>
      <c r="D41">
        <f ca="1"/>
        <v>1</v>
      </c>
      <c r="E41" s="11">
        <f ca="1"/>
        <v>99.41281414613114</v>
      </c>
      <c r="F41" s="10">
        <f ca="1"/>
        <v>0</v>
      </c>
      <c r="G41" s="7">
        <f ca="1"/>
        <v>0</v>
      </c>
      <c r="H41" s="10">
        <f ca="1"/>
        <v>-95.191365483129246</v>
      </c>
      <c r="I41" s="7">
        <f ca="1"/>
        <v>1</v>
      </c>
      <c r="J41" s="7">
        <f ca="1"/>
        <v>4.2214486630018939</v>
      </c>
      <c r="K41">
        <f ca="1"/>
        <v>0</v>
      </c>
      <c r="L41">
        <f ca="1"/>
        <v>0.58718585386885991</v>
      </c>
    </row>
    <row r="42" spans="2:12" x14ac:dyDescent="0.5">
      <c r="B42">
        <v>3.2000000000000001E-2</v>
      </c>
      <c r="C42">
        <f ca="1"/>
        <v>2.3631893747518895E-2</v>
      </c>
      <c r="D42">
        <f ca="1"/>
        <v>1</v>
      </c>
      <c r="E42" s="11">
        <f ca="1"/>
        <v>100.40947393795005</v>
      </c>
      <c r="F42" s="10">
        <f ca="1"/>
        <v>100.40947393795005</v>
      </c>
      <c r="G42" s="7">
        <f ca="1"/>
        <v>-1</v>
      </c>
      <c r="H42" s="10">
        <f ca="1"/>
        <v>5.2181084548208077</v>
      </c>
      <c r="I42" s="7">
        <f ca="1"/>
        <v>0</v>
      </c>
      <c r="J42" s="7">
        <f ca="1"/>
        <v>5.2181084548208077</v>
      </c>
      <c r="K42">
        <f ca="1"/>
        <v>0</v>
      </c>
      <c r="L42">
        <f ca="1"/>
        <v>0</v>
      </c>
    </row>
    <row r="43" spans="2:12" x14ac:dyDescent="0.5">
      <c r="B43">
        <v>3.3000000000000002E-2</v>
      </c>
      <c r="C43">
        <f ca="1"/>
        <v>4.7088974730385993E-2</v>
      </c>
      <c r="D43">
        <f ca="1"/>
        <v>1</v>
      </c>
      <c r="E43" s="11">
        <f ca="1"/>
        <v>100.87962566300919</v>
      </c>
      <c r="F43" s="10">
        <f ca="1"/>
        <v>0</v>
      </c>
      <c r="G43" s="7">
        <f ca="1"/>
        <v>0</v>
      </c>
      <c r="H43" s="10">
        <f ca="1"/>
        <v>5.2181084548208077</v>
      </c>
      <c r="I43" s="7">
        <f ca="1"/>
        <v>0</v>
      </c>
      <c r="J43" s="7">
        <f ca="1"/>
        <v>5.2181084548208077</v>
      </c>
      <c r="K43">
        <f ca="1"/>
        <v>0</v>
      </c>
      <c r="L43">
        <f ca="1"/>
        <v>0</v>
      </c>
    </row>
    <row r="44" spans="2:12" x14ac:dyDescent="0.5">
      <c r="B44">
        <v>3.4000000000000002E-2</v>
      </c>
      <c r="C44">
        <f ca="1"/>
        <v>6.6021490488795978E-2</v>
      </c>
      <c r="D44">
        <f ca="1"/>
        <v>1</v>
      </c>
      <c r="E44" s="11">
        <f ca="1"/>
        <v>101.26030555697531</v>
      </c>
      <c r="F44" s="10">
        <f ca="1"/>
        <v>0</v>
      </c>
      <c r="G44" s="7">
        <f ca="1"/>
        <v>0</v>
      </c>
      <c r="H44" s="10">
        <f ca="1"/>
        <v>5.2181084548208077</v>
      </c>
      <c r="I44" s="7">
        <f ca="1"/>
        <v>0</v>
      </c>
      <c r="J44" s="7">
        <f ca="1"/>
        <v>5.2181084548208077</v>
      </c>
      <c r="K44">
        <f ca="1"/>
        <v>0</v>
      </c>
      <c r="L44">
        <f ca="1"/>
        <v>0</v>
      </c>
    </row>
    <row r="45" spans="2:12" x14ac:dyDescent="0.5">
      <c r="B45">
        <v>3.5000000000000003E-2</v>
      </c>
      <c r="C45">
        <f ca="1"/>
        <v>1.0844266152364057E-2</v>
      </c>
      <c r="D45">
        <f ca="1"/>
        <v>1</v>
      </c>
      <c r="E45" s="11">
        <f ca="1"/>
        <v>100.14699325237555</v>
      </c>
      <c r="F45" s="10">
        <f ca="1"/>
        <v>0</v>
      </c>
      <c r="G45" s="7">
        <f ca="1"/>
        <v>0</v>
      </c>
      <c r="H45" s="10">
        <f ca="1"/>
        <v>5.2181084548208077</v>
      </c>
      <c r="I45" s="7">
        <f ca="1"/>
        <v>0</v>
      </c>
      <c r="J45" s="7">
        <f ca="1"/>
        <v>5.2181084548208077</v>
      </c>
      <c r="K45">
        <f ca="1"/>
        <v>0</v>
      </c>
      <c r="L45">
        <f ca="1"/>
        <v>0</v>
      </c>
    </row>
    <row r="46" spans="2:12" x14ac:dyDescent="0.5">
      <c r="B46">
        <v>3.6000000000000004E-2</v>
      </c>
      <c r="C46">
        <f ca="1"/>
        <v>4.5979867223616855E-2</v>
      </c>
      <c r="D46">
        <f ca="1"/>
        <v>1</v>
      </c>
      <c r="E46" s="11">
        <f ca="1"/>
        <v>100.85119962117186</v>
      </c>
      <c r="F46" s="10">
        <f ca="1"/>
        <v>0</v>
      </c>
      <c r="G46" s="7">
        <f ca="1"/>
        <v>0</v>
      </c>
      <c r="H46" s="10">
        <f ca="1"/>
        <v>5.2181084548208077</v>
      </c>
      <c r="I46" s="7">
        <f ca="1"/>
        <v>0</v>
      </c>
      <c r="J46" s="7">
        <f ca="1"/>
        <v>5.2181084548208077</v>
      </c>
      <c r="K46">
        <f ca="1"/>
        <v>0</v>
      </c>
      <c r="L46">
        <f ca="1"/>
        <v>0</v>
      </c>
    </row>
    <row r="47" spans="2:12" x14ac:dyDescent="0.5">
      <c r="B47">
        <v>3.6999999999999998E-2</v>
      </c>
      <c r="C47">
        <f ca="1"/>
        <v>4.1885188981279499E-2</v>
      </c>
      <c r="D47">
        <f ca="1"/>
        <v>1</v>
      </c>
      <c r="E47" s="11">
        <f ca="1"/>
        <v>100.76662743489015</v>
      </c>
      <c r="F47" s="10">
        <f ca="1"/>
        <v>0</v>
      </c>
      <c r="G47" s="7">
        <f ca="1"/>
        <v>0</v>
      </c>
      <c r="H47" s="10">
        <f ca="1"/>
        <v>5.2181084548208077</v>
      </c>
      <c r="I47" s="7">
        <f ca="1"/>
        <v>0</v>
      </c>
      <c r="J47" s="7">
        <f ca="1"/>
        <v>5.2181084548208077</v>
      </c>
      <c r="K47">
        <f ca="1"/>
        <v>0</v>
      </c>
      <c r="L47">
        <f ca="1"/>
        <v>0</v>
      </c>
    </row>
    <row r="48" spans="2:12" x14ac:dyDescent="0.5">
      <c r="B48">
        <v>3.7999999999999999E-2</v>
      </c>
      <c r="C48">
        <f ca="1"/>
        <v>4.6208455635701952E-2</v>
      </c>
      <c r="D48">
        <f ca="1"/>
        <v>1</v>
      </c>
      <c r="E48" s="11">
        <f ca="1"/>
        <v>100.85177625795116</v>
      </c>
      <c r="F48" s="10">
        <f ca="1"/>
        <v>0</v>
      </c>
      <c r="G48" s="7">
        <f ca="1"/>
        <v>0</v>
      </c>
      <c r="H48" s="10">
        <f ca="1"/>
        <v>5.2181084548208077</v>
      </c>
      <c r="I48" s="7">
        <f ca="1"/>
        <v>0</v>
      </c>
      <c r="J48" s="7">
        <f ca="1"/>
        <v>5.2181084548208077</v>
      </c>
      <c r="K48">
        <f ca="1"/>
        <v>0</v>
      </c>
      <c r="L48">
        <f ca="1"/>
        <v>0</v>
      </c>
    </row>
    <row r="49" spans="2:12" x14ac:dyDescent="0.5">
      <c r="B49">
        <v>3.9E-2</v>
      </c>
      <c r="C49">
        <f ca="1"/>
        <v>2.3534098748920478E-2</v>
      </c>
      <c r="D49">
        <f ca="1"/>
        <v>1</v>
      </c>
      <c r="E49" s="11">
        <f ca="1"/>
        <v>100.39345398082429</v>
      </c>
      <c r="F49" s="10">
        <f ca="1"/>
        <v>0</v>
      </c>
      <c r="G49" s="7">
        <f ca="1"/>
        <v>0</v>
      </c>
      <c r="H49" s="10">
        <f ca="1"/>
        <v>5.2181084548208077</v>
      </c>
      <c r="I49" s="7">
        <f ca="1"/>
        <v>0</v>
      </c>
      <c r="J49" s="7">
        <f ca="1"/>
        <v>5.2181084548208077</v>
      </c>
      <c r="K49">
        <f ca="1"/>
        <v>0</v>
      </c>
      <c r="L49">
        <f ca="1"/>
        <v>0</v>
      </c>
    </row>
    <row r="50" spans="2:12" x14ac:dyDescent="0.5">
      <c r="B50">
        <v>0.04</v>
      </c>
      <c r="C50">
        <f ca="1"/>
        <v>4.5397743528468197E-2</v>
      </c>
      <c r="D50">
        <f ca="1"/>
        <v>1</v>
      </c>
      <c r="E50" s="11">
        <f ca="1"/>
        <v>100.83139189603274</v>
      </c>
      <c r="F50" s="10">
        <f ca="1"/>
        <v>0</v>
      </c>
      <c r="G50" s="7">
        <f ca="1"/>
        <v>0</v>
      </c>
      <c r="H50" s="10">
        <f ca="1"/>
        <v>5.2181084548208077</v>
      </c>
      <c r="I50" s="7">
        <f ca="1"/>
        <v>0</v>
      </c>
      <c r="J50" s="7">
        <f ca="1"/>
        <v>5.2181084548208077</v>
      </c>
      <c r="K50">
        <f ca="1"/>
        <v>0</v>
      </c>
      <c r="L50">
        <f ca="1"/>
        <v>0</v>
      </c>
    </row>
    <row r="51" spans="2:12" x14ac:dyDescent="0.5">
      <c r="B51">
        <v>4.1000000000000002E-2</v>
      </c>
      <c r="C51">
        <f ca="1"/>
        <v>6.0654577793216376E-2</v>
      </c>
      <c r="D51">
        <f ca="1"/>
        <v>1</v>
      </c>
      <c r="E51" s="11">
        <f ca="1"/>
        <v>101.13751258279797</v>
      </c>
      <c r="F51" s="10">
        <f ca="1"/>
        <v>0</v>
      </c>
      <c r="G51" s="7">
        <f ca="1"/>
        <v>0</v>
      </c>
      <c r="H51" s="10">
        <f ca="1"/>
        <v>5.2181084548208077</v>
      </c>
      <c r="I51" s="7">
        <f ca="1"/>
        <v>0</v>
      </c>
      <c r="J51" s="7">
        <f ca="1"/>
        <v>5.2181084548208077</v>
      </c>
      <c r="K51">
        <f ca="1"/>
        <v>0</v>
      </c>
      <c r="L51">
        <f ca="1"/>
        <v>0</v>
      </c>
    </row>
    <row r="52" spans="2:12" x14ac:dyDescent="0.5">
      <c r="B52">
        <v>4.2000000000000003E-2</v>
      </c>
      <c r="C52">
        <f ca="1"/>
        <v>8.6936664931079877E-2</v>
      </c>
      <c r="D52">
        <f ca="1"/>
        <v>1</v>
      </c>
      <c r="E52" s="11">
        <f ca="1"/>
        <v>101.66849983841917</v>
      </c>
      <c r="F52" s="10">
        <f ca="1"/>
        <v>0</v>
      </c>
      <c r="G52" s="7">
        <f ca="1"/>
        <v>0</v>
      </c>
      <c r="H52" s="10">
        <f ca="1"/>
        <v>5.2181084548208077</v>
      </c>
      <c r="I52" s="7">
        <f ca="1"/>
        <v>0</v>
      </c>
      <c r="J52" s="7">
        <f ca="1"/>
        <v>5.2181084548208077</v>
      </c>
      <c r="K52">
        <f ca="1"/>
        <v>0</v>
      </c>
      <c r="L52">
        <f ca="1"/>
        <v>0</v>
      </c>
    </row>
    <row r="53" spans="2:12" x14ac:dyDescent="0.5">
      <c r="B53">
        <v>4.3000000000000003E-2</v>
      </c>
      <c r="C53">
        <f ca="1"/>
        <v>5.3985848090479405E-2</v>
      </c>
      <c r="D53">
        <f ca="1"/>
        <v>1</v>
      </c>
      <c r="E53" s="11">
        <f ca="1"/>
        <v>100.99867072400519</v>
      </c>
      <c r="F53" s="10">
        <f ca="1"/>
        <v>0</v>
      </c>
      <c r="G53" s="7">
        <f ca="1"/>
        <v>0</v>
      </c>
      <c r="H53" s="10">
        <f ca="1"/>
        <v>5.2181084548208077</v>
      </c>
      <c r="I53" s="7">
        <f ca="1"/>
        <v>0</v>
      </c>
      <c r="J53" s="7">
        <f ca="1"/>
        <v>5.2181084548208077</v>
      </c>
      <c r="K53">
        <f ca="1"/>
        <v>0</v>
      </c>
      <c r="L53">
        <f ca="1"/>
        <v>0</v>
      </c>
    </row>
    <row r="54" spans="2:12" x14ac:dyDescent="0.5">
      <c r="B54">
        <v>4.3999999999999997E-2</v>
      </c>
      <c r="C54">
        <f ca="1"/>
        <v>6.2533526449176646E-2</v>
      </c>
      <c r="D54">
        <f ca="1"/>
        <v>1</v>
      </c>
      <c r="E54" s="11">
        <f ca="1"/>
        <v>101.16945581411669</v>
      </c>
      <c r="F54" s="10">
        <f ca="1"/>
        <v>0</v>
      </c>
      <c r="G54" s="7">
        <f ca="1"/>
        <v>0</v>
      </c>
      <c r="H54" s="10">
        <f ca="1"/>
        <v>5.2181084548208077</v>
      </c>
      <c r="I54" s="7">
        <f ca="1"/>
        <v>0</v>
      </c>
      <c r="J54" s="7">
        <f ca="1"/>
        <v>5.2181084548208077</v>
      </c>
      <c r="K54">
        <f ca="1"/>
        <v>0</v>
      </c>
      <c r="L54">
        <f ca="1"/>
        <v>0</v>
      </c>
    </row>
    <row r="55" spans="2:12" x14ac:dyDescent="0.5">
      <c r="B55">
        <v>4.4999999999999998E-2</v>
      </c>
      <c r="C55">
        <f ca="1"/>
        <v>3.8781566076744801E-2</v>
      </c>
      <c r="D55">
        <f ca="1"/>
        <v>1</v>
      </c>
      <c r="E55" s="11">
        <f ca="1"/>
        <v>100.68798715411124</v>
      </c>
      <c r="F55" s="10">
        <f ca="1"/>
        <v>0</v>
      </c>
      <c r="G55" s="7">
        <f ca="1"/>
        <v>0</v>
      </c>
      <c r="H55" s="10">
        <f ca="1"/>
        <v>5.2181084548208077</v>
      </c>
      <c r="I55" s="7">
        <f ca="1"/>
        <v>0</v>
      </c>
      <c r="J55" s="7">
        <f ca="1"/>
        <v>5.2181084548208077</v>
      </c>
      <c r="K55">
        <f ca="1"/>
        <v>0</v>
      </c>
      <c r="L55">
        <f ca="1"/>
        <v>0</v>
      </c>
    </row>
    <row r="56" spans="2:12" x14ac:dyDescent="0.5">
      <c r="B56">
        <v>4.5999999999999999E-2</v>
      </c>
      <c r="C56">
        <f ca="1"/>
        <v>2.5381192626303228E-2</v>
      </c>
      <c r="D56">
        <f ca="1"/>
        <v>1</v>
      </c>
      <c r="E56" s="11">
        <f ca="1"/>
        <v>100.41648876630754</v>
      </c>
      <c r="F56" s="10">
        <f ca="1"/>
        <v>0</v>
      </c>
      <c r="G56" s="7">
        <f ca="1"/>
        <v>0</v>
      </c>
      <c r="H56" s="10">
        <f ca="1"/>
        <v>5.2181084548208077</v>
      </c>
      <c r="I56" s="7">
        <f ca="1"/>
        <v>0</v>
      </c>
      <c r="J56" s="7">
        <f ca="1"/>
        <v>5.2181084548208077</v>
      </c>
      <c r="K56">
        <f ca="1"/>
        <v>0</v>
      </c>
      <c r="L56">
        <f ca="1"/>
        <v>0</v>
      </c>
    </row>
    <row r="57" spans="2:12" x14ac:dyDescent="0.5">
      <c r="B57">
        <v>4.7E-2</v>
      </c>
      <c r="C57">
        <f ca="1"/>
        <v>-6.1484413656182207E-3</v>
      </c>
      <c r="D57">
        <f ca="1"/>
        <v>1</v>
      </c>
      <c r="E57" s="11">
        <f ca="1"/>
        <v>99.783266379908227</v>
      </c>
      <c r="F57" s="10">
        <f ca="1"/>
        <v>-99.783266379908227</v>
      </c>
      <c r="G57" s="7">
        <f ca="1"/>
        <v>1</v>
      </c>
      <c r="H57" s="10">
        <f ca="1"/>
        <v>-94.565157925087419</v>
      </c>
      <c r="I57" s="7">
        <f ca="1"/>
        <v>1</v>
      </c>
      <c r="J57" s="7">
        <f ca="1"/>
        <v>5.2181084548208077</v>
      </c>
      <c r="K57">
        <f ca="1"/>
        <v>0</v>
      </c>
      <c r="L57">
        <f ca="1"/>
        <v>0.2167336200917731</v>
      </c>
    </row>
    <row r="58" spans="2:12" x14ac:dyDescent="0.5">
      <c r="B58">
        <v>4.8000000000000001E-2</v>
      </c>
      <c r="C58">
        <f ca="1"/>
        <v>2.0613960754740243E-2</v>
      </c>
      <c r="D58">
        <f ca="1"/>
        <v>1</v>
      </c>
      <c r="E58" s="11">
        <f ca="1"/>
        <v>100.31677990552508</v>
      </c>
      <c r="F58" s="10">
        <f ca="1"/>
        <v>100.31677990552508</v>
      </c>
      <c r="G58" s="7">
        <f ca="1"/>
        <v>-1</v>
      </c>
      <c r="H58" s="10">
        <f ca="1"/>
        <v>5.7516219804376618</v>
      </c>
      <c r="I58" s="7">
        <f ca="1"/>
        <v>0</v>
      </c>
      <c r="J58" s="7">
        <f ca="1"/>
        <v>5.7516219804376618</v>
      </c>
      <c r="K58">
        <f ca="1"/>
        <v>0</v>
      </c>
      <c r="L58">
        <f ca="1"/>
        <v>0</v>
      </c>
    </row>
    <row r="59" spans="2:12" x14ac:dyDescent="0.5">
      <c r="B59">
        <v>4.9000000000000002E-2</v>
      </c>
      <c r="C59">
        <f ca="1"/>
        <v>-1.9867707105373208E-2</v>
      </c>
      <c r="D59">
        <f ca="1"/>
        <v>1</v>
      </c>
      <c r="E59" s="11">
        <f ca="1"/>
        <v>99.505870713231246</v>
      </c>
      <c r="F59" s="10">
        <f ca="1"/>
        <v>-99.505870713231246</v>
      </c>
      <c r="G59" s="7">
        <f ca="1"/>
        <v>1</v>
      </c>
      <c r="H59" s="10">
        <f ca="1"/>
        <v>-93.754248732793585</v>
      </c>
      <c r="I59" s="7">
        <f ca="1"/>
        <v>1</v>
      </c>
      <c r="J59" s="7">
        <f ca="1"/>
        <v>5.7516219804376618</v>
      </c>
      <c r="K59">
        <f ca="1"/>
        <v>0</v>
      </c>
      <c r="L59">
        <f ca="1"/>
        <v>0.49412928676875367</v>
      </c>
    </row>
    <row r="60" spans="2:12" x14ac:dyDescent="0.5">
      <c r="B60">
        <v>0.05</v>
      </c>
      <c r="C60">
        <f ca="1"/>
        <v>-4.4115313872308149E-3</v>
      </c>
      <c r="D60">
        <f ca="1"/>
        <v>1</v>
      </c>
      <c r="E60" s="11">
        <f ca="1"/>
        <v>99.811946415001174</v>
      </c>
      <c r="F60" s="10">
        <f ca="1"/>
        <v>0</v>
      </c>
      <c r="G60" s="7">
        <f ca="1"/>
        <v>0</v>
      </c>
      <c r="H60" s="10">
        <f ca="1"/>
        <v>-93.754248732793585</v>
      </c>
      <c r="I60" s="7">
        <f ca="1"/>
        <v>1</v>
      </c>
      <c r="J60" s="7">
        <f ca="1"/>
        <v>6.0576976822075892</v>
      </c>
      <c r="K60">
        <f ca="1"/>
        <v>0</v>
      </c>
      <c r="L60">
        <f ca="1"/>
        <v>0.1880535849988263</v>
      </c>
    </row>
    <row r="61" spans="2:12" x14ac:dyDescent="0.5">
      <c r="B61">
        <v>5.1000000000000004E-2</v>
      </c>
      <c r="C61">
        <f ca="1"/>
        <v>-6.8311438740534958E-3</v>
      </c>
      <c r="D61">
        <f ca="1"/>
        <v>1</v>
      </c>
      <c r="E61" s="11">
        <f ca="1"/>
        <v>99.761661600585654</v>
      </c>
      <c r="F61" s="10">
        <f ca="1"/>
        <v>0</v>
      </c>
      <c r="G61" s="7">
        <f ca="1"/>
        <v>0</v>
      </c>
      <c r="H61" s="10">
        <f ca="1"/>
        <v>-93.754248732793585</v>
      </c>
      <c r="I61" s="7">
        <f ca="1"/>
        <v>1</v>
      </c>
      <c r="J61" s="7">
        <f ca="1"/>
        <v>6.0074128677920697</v>
      </c>
      <c r="K61">
        <f ca="1"/>
        <v>0</v>
      </c>
      <c r="L61">
        <f ca="1"/>
        <v>0.23833839941434576</v>
      </c>
    </row>
    <row r="62" spans="2:12" x14ac:dyDescent="0.5">
      <c r="B62">
        <v>5.2000000000000005E-2</v>
      </c>
      <c r="C62">
        <f ca="1"/>
        <v>-1.0277901356644619E-2</v>
      </c>
      <c r="D62">
        <f ca="1"/>
        <v>1</v>
      </c>
      <c r="E62" s="11">
        <f ca="1"/>
        <v>99.690920609714283</v>
      </c>
      <c r="F62" s="10">
        <f ca="1"/>
        <v>0</v>
      </c>
      <c r="G62" s="7">
        <f ca="1"/>
        <v>0</v>
      </c>
      <c r="H62" s="10">
        <f ca="1"/>
        <v>-93.754248732793585</v>
      </c>
      <c r="I62" s="7">
        <f ca="1"/>
        <v>1</v>
      </c>
      <c r="J62" s="7">
        <f ca="1"/>
        <v>5.9366718769206983</v>
      </c>
      <c r="K62">
        <f ca="1"/>
        <v>0</v>
      </c>
      <c r="L62">
        <f ca="1"/>
        <v>0.30907939028571718</v>
      </c>
    </row>
    <row r="63" spans="2:12" x14ac:dyDescent="0.5">
      <c r="B63">
        <v>5.2999999999999999E-2</v>
      </c>
      <c r="C63">
        <f ca="1"/>
        <v>-3.7021258572900242E-2</v>
      </c>
      <c r="D63">
        <f ca="1"/>
        <v>1</v>
      </c>
      <c r="E63" s="11">
        <f ca="1"/>
        <v>99.15714692092854</v>
      </c>
      <c r="F63" s="10">
        <f ca="1"/>
        <v>0</v>
      </c>
      <c r="G63" s="7">
        <f ca="1"/>
        <v>0</v>
      </c>
      <c r="H63" s="10">
        <f ca="1"/>
        <v>-93.754248732793585</v>
      </c>
      <c r="I63" s="7">
        <f ca="1"/>
        <v>1</v>
      </c>
      <c r="J63" s="7">
        <f ca="1"/>
        <v>5.4028981881349551</v>
      </c>
      <c r="K63">
        <f ca="1"/>
        <v>0</v>
      </c>
      <c r="L63">
        <f ca="1"/>
        <v>0.84285307907146034</v>
      </c>
    </row>
    <row r="64" spans="2:12" x14ac:dyDescent="0.5">
      <c r="B64">
        <v>5.3999999999999999E-2</v>
      </c>
      <c r="C64">
        <f ca="1"/>
        <v>3.4062711162855946E-3</v>
      </c>
      <c r="D64">
        <f ca="1"/>
        <v>1</v>
      </c>
      <c r="E64" s="11">
        <f ca="1"/>
        <v>99.96013337117887</v>
      </c>
      <c r="F64" s="10">
        <f ca="1"/>
        <v>0</v>
      </c>
      <c r="G64" s="7">
        <f ca="1"/>
        <v>0</v>
      </c>
      <c r="H64" s="10">
        <f ca="1"/>
        <v>-93.754248732793585</v>
      </c>
      <c r="I64" s="7">
        <f ca="1"/>
        <v>1</v>
      </c>
      <c r="J64" s="7">
        <f ca="1"/>
        <v>6.2058846383852853</v>
      </c>
      <c r="K64">
        <f ca="1"/>
        <v>0</v>
      </c>
      <c r="L64">
        <f ca="1"/>
        <v>3.9866628821130234E-2</v>
      </c>
    </row>
    <row r="65" spans="2:12" x14ac:dyDescent="0.5">
      <c r="B65">
        <v>5.5E-2</v>
      </c>
      <c r="C65">
        <f ca="1"/>
        <v>2.8626933161594301E-2</v>
      </c>
      <c r="D65">
        <f ca="1"/>
        <v>1</v>
      </c>
      <c r="E65" s="11">
        <f ca="1"/>
        <v>100.46361002448994</v>
      </c>
      <c r="F65" s="10">
        <f ca="1"/>
        <v>100.46361002448994</v>
      </c>
      <c r="G65" s="7">
        <f ca="1"/>
        <v>-1</v>
      </c>
      <c r="H65" s="10">
        <f ca="1"/>
        <v>6.7093612916963536</v>
      </c>
      <c r="I65" s="7">
        <f ca="1"/>
        <v>0</v>
      </c>
      <c r="J65" s="7">
        <f ca="1"/>
        <v>6.7093612916963536</v>
      </c>
      <c r="K65">
        <f ca="1"/>
        <v>0</v>
      </c>
      <c r="L65">
        <f ca="1"/>
        <v>0</v>
      </c>
    </row>
    <row r="66" spans="2:12" x14ac:dyDescent="0.5">
      <c r="B66">
        <v>5.6000000000000001E-2</v>
      </c>
      <c r="C66">
        <f ca="1"/>
        <v>-1.3018670008622515E-2</v>
      </c>
      <c r="D66">
        <f ca="1"/>
        <v>1</v>
      </c>
      <c r="E66" s="11">
        <f ca="1"/>
        <v>99.628319049806834</v>
      </c>
      <c r="F66" s="10">
        <f ca="1"/>
        <v>-99.628319049806834</v>
      </c>
      <c r="G66" s="7">
        <f ca="1"/>
        <v>1</v>
      </c>
      <c r="H66" s="10">
        <f ca="1"/>
        <v>-92.91895775811048</v>
      </c>
      <c r="I66" s="7">
        <f ca="1"/>
        <v>1</v>
      </c>
      <c r="J66" s="7">
        <f ca="1"/>
        <v>6.7093612916963536</v>
      </c>
      <c r="K66">
        <f ca="1"/>
        <v>0</v>
      </c>
      <c r="L66">
        <f ca="1"/>
        <v>0.37168095019316638</v>
      </c>
    </row>
    <row r="67" spans="2:12" x14ac:dyDescent="0.5">
      <c r="B67">
        <v>5.7000000000000002E-2</v>
      </c>
      <c r="C67">
        <f ca="1"/>
        <v>-3.9211370012303487E-2</v>
      </c>
      <c r="D67">
        <f ca="1"/>
        <v>1</v>
      </c>
      <c r="E67" s="11">
        <f ca="1"/>
        <v>99.1057946107898</v>
      </c>
      <c r="F67" s="10">
        <f ca="1"/>
        <v>0</v>
      </c>
      <c r="G67" s="7">
        <f ca="1"/>
        <v>0</v>
      </c>
      <c r="H67" s="10">
        <f ca="1"/>
        <v>-92.91895775811048</v>
      </c>
      <c r="I67" s="7">
        <f ca="1"/>
        <v>1</v>
      </c>
      <c r="J67" s="7">
        <f ca="1"/>
        <v>6.1868368526793205</v>
      </c>
      <c r="K67">
        <f ca="1"/>
        <v>0</v>
      </c>
      <c r="L67">
        <f ca="1"/>
        <v>0.89420538921019954</v>
      </c>
    </row>
    <row r="68" spans="2:12" x14ac:dyDescent="0.5">
      <c r="B68">
        <v>5.8000000000000003E-2</v>
      </c>
      <c r="C68">
        <f ca="1"/>
        <v>-3.1621210814309388E-2</v>
      </c>
      <c r="D68">
        <f ca="1"/>
        <v>1</v>
      </c>
      <c r="E68" s="11">
        <f ca="1"/>
        <v>99.254369503780893</v>
      </c>
      <c r="F68" s="10">
        <f ca="1"/>
        <v>0</v>
      </c>
      <c r="G68" s="7">
        <f ca="1"/>
        <v>0</v>
      </c>
      <c r="H68" s="10">
        <f ca="1"/>
        <v>-92.91895775811048</v>
      </c>
      <c r="I68" s="7">
        <f ca="1"/>
        <v>1</v>
      </c>
      <c r="J68" s="7">
        <f ca="1"/>
        <v>6.3354117456704131</v>
      </c>
      <c r="K68">
        <f ca="1"/>
        <v>0</v>
      </c>
      <c r="L68">
        <f ca="1"/>
        <v>0.74563049621910693</v>
      </c>
    </row>
    <row r="69" spans="2:12" x14ac:dyDescent="0.5">
      <c r="B69">
        <v>5.9000000000000004E-2</v>
      </c>
      <c r="C69">
        <f ca="1"/>
        <v>-3.47427401528436E-2</v>
      </c>
      <c r="D69">
        <f ca="1"/>
        <v>1</v>
      </c>
      <c r="E69" s="11">
        <f ca="1"/>
        <v>99.190439928425917</v>
      </c>
      <c r="F69" s="10">
        <f ca="1"/>
        <v>0</v>
      </c>
      <c r="G69" s="7">
        <f ca="1"/>
        <v>0</v>
      </c>
      <c r="H69" s="10">
        <f ca="1"/>
        <v>-92.91895775811048</v>
      </c>
      <c r="I69" s="7">
        <f ca="1"/>
        <v>1</v>
      </c>
      <c r="J69" s="7">
        <f ca="1"/>
        <v>6.2714821703154371</v>
      </c>
      <c r="K69">
        <f ca="1"/>
        <v>0</v>
      </c>
      <c r="L69">
        <f ca="1"/>
        <v>0.80956007157408294</v>
      </c>
    </row>
    <row r="70" spans="2:12" x14ac:dyDescent="0.5">
      <c r="B70">
        <v>0.06</v>
      </c>
      <c r="C70">
        <f ca="1"/>
        <v>-3.5722412913235552E-2</v>
      </c>
      <c r="D70">
        <f ca="1"/>
        <v>1</v>
      </c>
      <c r="E70" s="11">
        <f ca="1"/>
        <v>99.169023597555636</v>
      </c>
      <c r="F70" s="10">
        <f ca="1"/>
        <v>0</v>
      </c>
      <c r="G70" s="7">
        <f ca="1"/>
        <v>0</v>
      </c>
      <c r="H70" s="10">
        <f ca="1"/>
        <v>-92.91895775811048</v>
      </c>
      <c r="I70" s="7">
        <f ca="1"/>
        <v>1</v>
      </c>
      <c r="J70" s="7">
        <f ca="1"/>
        <v>6.2500658394451563</v>
      </c>
      <c r="K70">
        <f ca="1"/>
        <v>0</v>
      </c>
      <c r="L70">
        <f ca="1"/>
        <v>0.83097640244436377</v>
      </c>
    </row>
    <row r="71" spans="2:12" x14ac:dyDescent="0.5">
      <c r="B71">
        <v>6.0999999999999999E-2</v>
      </c>
      <c r="C71">
        <f ca="1"/>
        <v>-2.4260331866691562E-2</v>
      </c>
      <c r="D71">
        <f ca="1"/>
        <v>1</v>
      </c>
      <c r="E71" s="11">
        <f ca="1"/>
        <v>99.394633136541771</v>
      </c>
      <c r="F71" s="10">
        <f ca="1"/>
        <v>0</v>
      </c>
      <c r="G71" s="7">
        <f ca="1"/>
        <v>0</v>
      </c>
      <c r="H71" s="10">
        <f ca="1"/>
        <v>-92.91895775811048</v>
      </c>
      <c r="I71" s="7">
        <f ca="1"/>
        <v>1</v>
      </c>
      <c r="J71" s="7">
        <f ca="1"/>
        <v>6.4756753784312906</v>
      </c>
      <c r="K71">
        <f ca="1"/>
        <v>0</v>
      </c>
      <c r="L71">
        <f ca="1"/>
        <v>0.60536686345822943</v>
      </c>
    </row>
    <row r="72" spans="2:12" x14ac:dyDescent="0.5">
      <c r="B72">
        <v>6.2E-2</v>
      </c>
      <c r="C72">
        <f ca="1"/>
        <v>-2.2735578044343306E-3</v>
      </c>
      <c r="D72">
        <f ca="1"/>
        <v>1</v>
      </c>
      <c r="E72" s="11">
        <f ca="1"/>
        <v>99.83067236518788</v>
      </c>
      <c r="F72" s="10">
        <f ca="1"/>
        <v>0</v>
      </c>
      <c r="G72" s="7">
        <f ca="1"/>
        <v>0</v>
      </c>
      <c r="H72" s="10">
        <f ca="1"/>
        <v>-92.91895775811048</v>
      </c>
      <c r="I72" s="7">
        <f ca="1"/>
        <v>1</v>
      </c>
      <c r="J72" s="7">
        <f ca="1"/>
        <v>6.9117146070773998</v>
      </c>
      <c r="K72">
        <f ca="1"/>
        <v>0</v>
      </c>
      <c r="L72">
        <f ca="1"/>
        <v>0.16932763481212021</v>
      </c>
    </row>
    <row r="73" spans="2:12" x14ac:dyDescent="0.5">
      <c r="B73">
        <v>6.3E-2</v>
      </c>
      <c r="C73">
        <f ca="1"/>
        <v>2.3695641794327166E-2</v>
      </c>
      <c r="D73">
        <f ca="1"/>
        <v>1</v>
      </c>
      <c r="E73" s="11">
        <f ca="1"/>
        <v>100.34851875507987</v>
      </c>
      <c r="F73" s="10">
        <f ca="1"/>
        <v>100.34851875507987</v>
      </c>
      <c r="G73" s="7">
        <f ca="1"/>
        <v>-1</v>
      </c>
      <c r="H73" s="10">
        <f ca="1"/>
        <v>7.4295609969693857</v>
      </c>
      <c r="I73" s="7">
        <f ca="1"/>
        <v>0</v>
      </c>
      <c r="J73" s="7">
        <f ca="1"/>
        <v>7.4295609969693857</v>
      </c>
      <c r="K73">
        <f ca="1"/>
        <v>0</v>
      </c>
      <c r="L73">
        <f ca="1"/>
        <v>0</v>
      </c>
    </row>
    <row r="74" spans="2:12" x14ac:dyDescent="0.5">
      <c r="B74">
        <v>6.4000000000000001E-2</v>
      </c>
      <c r="C74">
        <f ca="1"/>
        <v>-1.578053948540652E-2</v>
      </c>
      <c r="D74">
        <f ca="1"/>
        <v>1</v>
      </c>
      <c r="E74" s="11">
        <f ca="1"/>
        <v>99.557371709594378</v>
      </c>
      <c r="F74" s="10">
        <f ca="1"/>
        <v>-99.557371709594378</v>
      </c>
      <c r="G74" s="7">
        <f ca="1"/>
        <v>1</v>
      </c>
      <c r="H74" s="10">
        <f ca="1"/>
        <v>-92.127810712624992</v>
      </c>
      <c r="I74" s="7">
        <f ca="1"/>
        <v>1</v>
      </c>
      <c r="J74" s="7">
        <f ca="1"/>
        <v>7.4295609969693857</v>
      </c>
      <c r="K74">
        <f ca="1"/>
        <v>0</v>
      </c>
      <c r="L74">
        <f ca="1"/>
        <v>0.44262829040562224</v>
      </c>
    </row>
    <row r="75" spans="2:12" x14ac:dyDescent="0.5">
      <c r="B75">
        <v>6.5000000000000002E-2</v>
      </c>
      <c r="C75">
        <f ca="1"/>
        <v>-1.683029993684583E-2</v>
      </c>
      <c r="D75">
        <f ca="1"/>
        <v>1</v>
      </c>
      <c r="E75" s="11">
        <f ca="1"/>
        <v>99.534480915859987</v>
      </c>
      <c r="F75" s="10">
        <f ca="1"/>
        <v>0</v>
      </c>
      <c r="G75" s="7">
        <f ca="1"/>
        <v>0</v>
      </c>
      <c r="H75" s="10">
        <f ca="1"/>
        <v>-92.127810712624992</v>
      </c>
      <c r="I75" s="7">
        <f ca="1"/>
        <v>1</v>
      </c>
      <c r="J75" s="7">
        <f ca="1"/>
        <v>7.4066702032349951</v>
      </c>
      <c r="K75">
        <f ca="1"/>
        <v>0</v>
      </c>
      <c r="L75">
        <f ca="1"/>
        <v>0.46551908414001275</v>
      </c>
    </row>
    <row r="76" spans="2:12" x14ac:dyDescent="0.5">
      <c r="B76">
        <v>6.6000000000000003E-2</v>
      </c>
      <c r="C76">
        <f ca="1"/>
        <v>-3.6051859878290439E-2</v>
      </c>
      <c r="D76">
        <f ca="1"/>
        <v>1</v>
      </c>
      <c r="E76" s="11">
        <f ca="1"/>
        <v>99.150590841233623</v>
      </c>
      <c r="F76" s="10">
        <f ca="1"/>
        <v>0</v>
      </c>
      <c r="G76" s="7">
        <f ca="1"/>
        <v>0</v>
      </c>
      <c r="H76" s="10">
        <f ca="1"/>
        <v>-92.127810712624992</v>
      </c>
      <c r="I76" s="7">
        <f ca="1"/>
        <v>1</v>
      </c>
      <c r="J76" s="7">
        <f ca="1"/>
        <v>7.0227801286086304</v>
      </c>
      <c r="K76">
        <f ca="1"/>
        <v>0</v>
      </c>
      <c r="L76">
        <f ca="1"/>
        <v>0.84940915876637746</v>
      </c>
    </row>
    <row r="77" spans="2:12" x14ac:dyDescent="0.5">
      <c r="B77">
        <v>6.7000000000000004E-2</v>
      </c>
      <c r="C77">
        <f ca="1"/>
        <v>-5.2338849040725909E-2</v>
      </c>
      <c r="D77">
        <f ca="1"/>
        <v>1</v>
      </c>
      <c r="E77" s="11">
        <f ca="1"/>
        <v>98.826166833386381</v>
      </c>
      <c r="F77" s="10">
        <f ca="1"/>
        <v>0</v>
      </c>
      <c r="G77" s="7">
        <f ca="1"/>
        <v>0</v>
      </c>
      <c r="H77" s="10">
        <f ca="1"/>
        <v>-92.127810712624992</v>
      </c>
      <c r="I77" s="7">
        <f ca="1"/>
        <v>1</v>
      </c>
      <c r="J77" s="7">
        <f ca="1"/>
        <v>6.6983561207613889</v>
      </c>
      <c r="K77">
        <f ca="1"/>
        <v>0</v>
      </c>
      <c r="L77">
        <f ca="1"/>
        <v>1.173833166613619</v>
      </c>
    </row>
    <row r="78" spans="2:12" x14ac:dyDescent="0.5">
      <c r="B78">
        <v>6.8000000000000005E-2</v>
      </c>
      <c r="C78">
        <f ca="1"/>
        <v>-5.1891996697709226E-2</v>
      </c>
      <c r="D78">
        <f ca="1"/>
        <v>1</v>
      </c>
      <c r="E78" s="11">
        <f ca="1"/>
        <v>98.833022688684082</v>
      </c>
      <c r="F78" s="10">
        <f ca="1"/>
        <v>0</v>
      </c>
      <c r="G78" s="7">
        <f ca="1"/>
        <v>0</v>
      </c>
      <c r="H78" s="10">
        <f ca="1"/>
        <v>-92.127810712624992</v>
      </c>
      <c r="I78" s="7">
        <f ca="1"/>
        <v>1</v>
      </c>
      <c r="J78" s="7">
        <f ca="1"/>
        <v>6.7052119760590898</v>
      </c>
      <c r="K78">
        <f ca="1"/>
        <v>0</v>
      </c>
      <c r="L78">
        <f ca="1"/>
        <v>1.1669773113159181</v>
      </c>
    </row>
    <row r="79" spans="2:12" x14ac:dyDescent="0.5">
      <c r="B79">
        <v>6.9000000000000006E-2</v>
      </c>
      <c r="C79">
        <f ca="1"/>
        <v>-0.11090740554639869</v>
      </c>
      <c r="D79">
        <f ca="1"/>
        <v>1</v>
      </c>
      <c r="E79" s="11">
        <f ca="1"/>
        <v>97.671392336739487</v>
      </c>
      <c r="F79" s="10">
        <f ca="1"/>
        <v>0</v>
      </c>
      <c r="G79" s="7">
        <f ca="1"/>
        <v>0</v>
      </c>
      <c r="H79" s="10">
        <f ca="1"/>
        <v>-92.127810712624992</v>
      </c>
      <c r="I79" s="7">
        <f ca="1"/>
        <v>1</v>
      </c>
      <c r="J79" s="7">
        <f ca="1"/>
        <v>5.5435816241144948</v>
      </c>
      <c r="K79">
        <f ca="1"/>
        <v>0</v>
      </c>
      <c r="L79">
        <f ca="1"/>
        <v>2.328607663260513</v>
      </c>
    </row>
    <row r="80" spans="2:12" x14ac:dyDescent="0.5">
      <c r="B80">
        <v>7.0000000000000007E-2</v>
      </c>
      <c r="C80">
        <f ca="1"/>
        <v>-0.13473454302628005</v>
      </c>
      <c r="D80">
        <f ca="1"/>
        <v>1</v>
      </c>
      <c r="E80" s="11">
        <f ca="1"/>
        <v>97.205109541370845</v>
      </c>
      <c r="F80" s="10">
        <f ca="1"/>
        <v>0</v>
      </c>
      <c r="G80" s="7">
        <f ca="1"/>
        <v>0</v>
      </c>
      <c r="H80" s="10">
        <f ca="1"/>
        <v>-92.127810712624992</v>
      </c>
      <c r="I80" s="7">
        <f ca="1"/>
        <v>1</v>
      </c>
      <c r="J80" s="7">
        <f ca="1"/>
        <v>5.0772988287458531</v>
      </c>
      <c r="K80">
        <f ca="1"/>
        <v>0</v>
      </c>
      <c r="L80">
        <f ca="1"/>
        <v>2.7948904586291548</v>
      </c>
    </row>
    <row r="81" spans="2:12" x14ac:dyDescent="0.5">
      <c r="B81">
        <v>7.1000000000000008E-2</v>
      </c>
      <c r="C81">
        <f ca="1"/>
        <v>-0.15331793938112062</v>
      </c>
      <c r="D81">
        <f ca="1"/>
        <v>1</v>
      </c>
      <c r="E81" s="11">
        <f ca="1"/>
        <v>96.842563005424353</v>
      </c>
      <c r="F81" s="10">
        <f ca="1"/>
        <v>0</v>
      </c>
      <c r="G81" s="7">
        <f ca="1"/>
        <v>0</v>
      </c>
      <c r="H81" s="10">
        <f ca="1"/>
        <v>-92.127810712624992</v>
      </c>
      <c r="I81" s="7">
        <f ca="1"/>
        <v>1</v>
      </c>
      <c r="J81" s="7">
        <f ca="1"/>
        <v>4.7147522927993606</v>
      </c>
      <c r="K81">
        <f ca="1"/>
        <v>0</v>
      </c>
      <c r="L81">
        <f ca="1"/>
        <v>3.1574369945756473</v>
      </c>
    </row>
    <row r="82" spans="2:12" x14ac:dyDescent="0.5">
      <c r="B82">
        <v>7.2000000000000008E-2</v>
      </c>
      <c r="C82">
        <f ca="1"/>
        <v>-0.10406915090882782</v>
      </c>
      <c r="D82">
        <f ca="1"/>
        <v>1</v>
      </c>
      <c r="E82" s="11">
        <f ca="1"/>
        <v>97.799195966576264</v>
      </c>
      <c r="F82" s="10">
        <f ca="1"/>
        <v>0</v>
      </c>
      <c r="G82" s="7">
        <f ca="1"/>
        <v>0</v>
      </c>
      <c r="H82" s="10">
        <f ca="1"/>
        <v>-92.127810712624992</v>
      </c>
      <c r="I82" s="7">
        <f ca="1"/>
        <v>1</v>
      </c>
      <c r="J82" s="7">
        <f ca="1"/>
        <v>5.6713852539512715</v>
      </c>
      <c r="K82">
        <f ca="1"/>
        <v>0</v>
      </c>
      <c r="L82">
        <f ca="1"/>
        <v>2.2008040334237364</v>
      </c>
    </row>
    <row r="83" spans="2:12" x14ac:dyDescent="0.5">
      <c r="B83">
        <v>7.2999999999999995E-2</v>
      </c>
      <c r="C83">
        <f ca="1"/>
        <v>-0.16520341396867347</v>
      </c>
      <c r="D83">
        <f ca="1"/>
        <v>1</v>
      </c>
      <c r="E83" s="11">
        <f ca="1"/>
        <v>96.608768004765139</v>
      </c>
      <c r="F83" s="10">
        <f ca="1"/>
        <v>0</v>
      </c>
      <c r="G83" s="7">
        <f ca="1"/>
        <v>0</v>
      </c>
      <c r="H83" s="10">
        <f ca="1"/>
        <v>-92.127810712624992</v>
      </c>
      <c r="I83" s="7">
        <f ca="1"/>
        <v>1</v>
      </c>
      <c r="J83" s="7">
        <f ca="1"/>
        <v>4.4809572921401468</v>
      </c>
      <c r="K83">
        <f ca="1"/>
        <v>0</v>
      </c>
      <c r="L83">
        <f ca="1"/>
        <v>3.3912319952348611</v>
      </c>
    </row>
    <row r="84" spans="2:12" x14ac:dyDescent="0.5">
      <c r="B84">
        <v>7.3999999999999996E-2</v>
      </c>
      <c r="C84">
        <f ca="1"/>
        <v>-0.20291945328940994</v>
      </c>
      <c r="D84">
        <f ca="1"/>
        <v>1</v>
      </c>
      <c r="E84" s="11">
        <f ca="1"/>
        <v>95.880851970839984</v>
      </c>
      <c r="F84" s="10">
        <f ca="1"/>
        <v>0</v>
      </c>
      <c r="G84" s="7">
        <f ca="1"/>
        <v>0</v>
      </c>
      <c r="H84" s="10">
        <f ca="1"/>
        <v>-92.127810712624992</v>
      </c>
      <c r="I84" s="7">
        <f ca="1"/>
        <v>1</v>
      </c>
      <c r="J84" s="7">
        <f ca="1"/>
        <v>3.7530412582149921</v>
      </c>
      <c r="K84">
        <f ca="1"/>
        <v>0</v>
      </c>
      <c r="L84">
        <f ca="1"/>
        <v>4.1191480291600158</v>
      </c>
    </row>
    <row r="85" spans="2:12" x14ac:dyDescent="0.5">
      <c r="B85">
        <v>7.4999999999999997E-2</v>
      </c>
      <c r="C85">
        <f ca="1"/>
        <v>-0.24678960265956162</v>
      </c>
      <c r="D85">
        <f ca="1"/>
        <v>1</v>
      </c>
      <c r="E85" s="11">
        <f ca="1"/>
        <v>95.041369521236135</v>
      </c>
      <c r="F85" s="10">
        <f ca="1"/>
        <v>0</v>
      </c>
      <c r="G85" s="7">
        <f ca="1"/>
        <v>0</v>
      </c>
      <c r="H85" s="10">
        <f ca="1"/>
        <v>-92.127810712624992</v>
      </c>
      <c r="I85" s="7">
        <f ca="1"/>
        <v>1</v>
      </c>
      <c r="J85" s="7">
        <f ca="1"/>
        <v>2.9135588086111426</v>
      </c>
      <c r="K85">
        <f ca="1"/>
        <v>0</v>
      </c>
      <c r="L85">
        <f ca="1"/>
        <v>4.9586304787638653</v>
      </c>
    </row>
    <row r="86" spans="2:12" x14ac:dyDescent="0.5">
      <c r="B86">
        <v>7.5999999999999998E-2</v>
      </c>
      <c r="C86">
        <f ca="1"/>
        <v>-0.22260679153356955</v>
      </c>
      <c r="D86">
        <f ca="1"/>
        <v>1</v>
      </c>
      <c r="E86" s="11">
        <f ca="1"/>
        <v>95.500246408911067</v>
      </c>
      <c r="F86" s="10">
        <f ca="1"/>
        <v>0</v>
      </c>
      <c r="G86" s="7">
        <f ca="1"/>
        <v>0</v>
      </c>
      <c r="H86" s="10">
        <f ca="1"/>
        <v>-92.127810712624992</v>
      </c>
      <c r="I86" s="7">
        <f ca="1"/>
        <v>1</v>
      </c>
      <c r="J86" s="7">
        <f ca="1"/>
        <v>3.3724356962860753</v>
      </c>
      <c r="K86">
        <f ca="1"/>
        <v>0</v>
      </c>
      <c r="L86">
        <f ca="1"/>
        <v>4.4997535910889326</v>
      </c>
    </row>
    <row r="87" spans="2:12" x14ac:dyDescent="0.5">
      <c r="B87">
        <v>7.6999999999999999E-2</v>
      </c>
      <c r="C87">
        <f ca="1"/>
        <v>-0.21716692651199129</v>
      </c>
      <c r="D87">
        <f ca="1"/>
        <v>1</v>
      </c>
      <c r="E87" s="11">
        <f ca="1"/>
        <v>95.602292575557655</v>
      </c>
      <c r="F87" s="10">
        <f ca="1"/>
        <v>0</v>
      </c>
      <c r="G87" s="7">
        <f ca="1"/>
        <v>0</v>
      </c>
      <c r="H87" s="10">
        <f ca="1"/>
        <v>-92.127810712624992</v>
      </c>
      <c r="I87" s="7">
        <f ca="1"/>
        <v>1</v>
      </c>
      <c r="J87" s="7">
        <f ca="1"/>
        <v>3.474481862932663</v>
      </c>
      <c r="K87">
        <f ca="1"/>
        <v>0</v>
      </c>
      <c r="L87">
        <f ca="1"/>
        <v>4.3977074244423449</v>
      </c>
    </row>
    <row r="88" spans="2:12" x14ac:dyDescent="0.5">
      <c r="B88">
        <v>7.8E-2</v>
      </c>
      <c r="C88">
        <f ca="1"/>
        <v>-0.27781277770719348</v>
      </c>
      <c r="D88">
        <f ca="1"/>
        <v>1</v>
      </c>
      <c r="E88" s="11">
        <f ca="1"/>
        <v>94.44783112224583</v>
      </c>
      <c r="F88" s="10">
        <f ca="1"/>
        <v>0</v>
      </c>
      <c r="G88" s="7">
        <f ca="1"/>
        <v>0</v>
      </c>
      <c r="H88" s="10">
        <f ca="1"/>
        <v>-92.127810712624992</v>
      </c>
      <c r="I88" s="7">
        <f ca="1"/>
        <v>1</v>
      </c>
      <c r="J88" s="7">
        <f ca="1"/>
        <v>2.3200204096208381</v>
      </c>
      <c r="K88">
        <f ca="1"/>
        <v>0</v>
      </c>
      <c r="L88">
        <f ca="1"/>
        <v>5.5521688777541698</v>
      </c>
    </row>
    <row r="89" spans="2:12" x14ac:dyDescent="0.5">
      <c r="B89">
        <v>7.9000000000000001E-2</v>
      </c>
      <c r="C89">
        <f ca="1"/>
        <v>-0.24645743679205728</v>
      </c>
      <c r="D89">
        <f ca="1"/>
        <v>1</v>
      </c>
      <c r="E89" s="11">
        <f ca="1"/>
        <v>95.040080120212167</v>
      </c>
      <c r="F89" s="10">
        <f ca="1"/>
        <v>0</v>
      </c>
      <c r="G89" s="7">
        <f ca="1"/>
        <v>0</v>
      </c>
      <c r="H89" s="10">
        <f ca="1"/>
        <v>-92.127810712624992</v>
      </c>
      <c r="I89" s="7">
        <f ca="1"/>
        <v>1</v>
      </c>
      <c r="J89" s="7">
        <f ca="1"/>
        <v>2.9122694075871749</v>
      </c>
      <c r="K89">
        <f ca="1"/>
        <v>0</v>
      </c>
      <c r="L89">
        <f ca="1"/>
        <v>4.959919879787833</v>
      </c>
    </row>
    <row r="90" spans="2:12" x14ac:dyDescent="0.5">
      <c r="B90">
        <v>0.08</v>
      </c>
      <c r="C90">
        <f ca="1"/>
        <v>-0.22703963834570243</v>
      </c>
      <c r="D90">
        <f ca="1"/>
        <v>1</v>
      </c>
      <c r="E90" s="11">
        <f ca="1"/>
        <v>95.407983393113298</v>
      </c>
      <c r="F90" s="10">
        <f ca="1"/>
        <v>0</v>
      </c>
      <c r="G90" s="7">
        <f ca="1"/>
        <v>0</v>
      </c>
      <c r="H90" s="10">
        <f ca="1"/>
        <v>-92.127810712624992</v>
      </c>
      <c r="I90" s="7">
        <f ca="1"/>
        <v>1</v>
      </c>
      <c r="J90" s="7">
        <f ca="1"/>
        <v>3.280172680488306</v>
      </c>
      <c r="K90">
        <f ca="1"/>
        <v>0</v>
      </c>
      <c r="L90">
        <f ca="1"/>
        <v>4.5920166068867019</v>
      </c>
    </row>
    <row r="91" spans="2:12" x14ac:dyDescent="0.5">
      <c r="B91">
        <v>8.1000000000000003E-2</v>
      </c>
      <c r="C91">
        <f ca="1"/>
        <v>-0.29681623586526817</v>
      </c>
      <c r="D91">
        <f ca="1"/>
        <v>1</v>
      </c>
      <c r="E91" s="11">
        <f ca="1"/>
        <v>94.083900135695799</v>
      </c>
      <c r="F91" s="10">
        <f ca="1"/>
        <v>0</v>
      </c>
      <c r="G91" s="7">
        <f ca="1"/>
        <v>0</v>
      </c>
      <c r="H91" s="10">
        <f ca="1"/>
        <v>-92.127810712624992</v>
      </c>
      <c r="I91" s="7">
        <f ca="1"/>
        <v>1</v>
      </c>
      <c r="J91" s="7">
        <f ca="1"/>
        <v>1.9560894230708072</v>
      </c>
      <c r="K91">
        <f ca="1"/>
        <v>0</v>
      </c>
      <c r="L91">
        <f ca="1"/>
        <v>5.9160998643042007</v>
      </c>
    </row>
    <row r="92" spans="2:12" x14ac:dyDescent="0.5">
      <c r="B92">
        <v>8.2000000000000003E-2</v>
      </c>
      <c r="C92">
        <f ca="1"/>
        <v>-0.35978874587477472</v>
      </c>
      <c r="D92">
        <f ca="1"/>
        <v>1</v>
      </c>
      <c r="E92" s="11">
        <f ca="1"/>
        <v>92.904532793860469</v>
      </c>
      <c r="F92" s="10">
        <f ca="1"/>
        <v>0</v>
      </c>
      <c r="G92" s="7">
        <f ca="1"/>
        <v>0</v>
      </c>
      <c r="H92" s="10">
        <f ca="1"/>
        <v>-92.127810712624992</v>
      </c>
      <c r="I92" s="7">
        <f ca="1"/>
        <v>1</v>
      </c>
      <c r="J92" s="7">
        <f ca="1"/>
        <v>0.77672208123547648</v>
      </c>
      <c r="K92">
        <f ca="1"/>
        <v>0</v>
      </c>
      <c r="L92">
        <f ca="1"/>
        <v>7.0954672061395314</v>
      </c>
    </row>
    <row r="93" spans="2:12" x14ac:dyDescent="0.5">
      <c r="B93">
        <v>8.3000000000000004E-2</v>
      </c>
      <c r="C93">
        <f ca="1"/>
        <v>-0.37382916107770353</v>
      </c>
      <c r="D93">
        <f ca="1"/>
        <v>1</v>
      </c>
      <c r="E93" s="11">
        <f ca="1"/>
        <v>92.642162238003422</v>
      </c>
      <c r="F93" s="10">
        <f ca="1"/>
        <v>0</v>
      </c>
      <c r="G93" s="7">
        <f ca="1"/>
        <v>0</v>
      </c>
      <c r="H93" s="10">
        <f ca="1"/>
        <v>-92.127810712624992</v>
      </c>
      <c r="I93" s="7">
        <f ca="1"/>
        <v>1</v>
      </c>
      <c r="J93" s="7">
        <f ca="1"/>
        <v>0.5143515253784301</v>
      </c>
      <c r="K93">
        <f ca="1"/>
        <v>0</v>
      </c>
      <c r="L93">
        <f ca="1"/>
        <v>7.3578377619965778</v>
      </c>
    </row>
    <row r="94" spans="2:12" x14ac:dyDescent="0.5">
      <c r="B94">
        <v>8.4000000000000005E-2</v>
      </c>
      <c r="C94">
        <f ca="1"/>
        <v>-0.380103691504938</v>
      </c>
      <c r="D94">
        <f ca="1"/>
        <v>1</v>
      </c>
      <c r="E94" s="11">
        <f ca="1"/>
        <v>92.524127439226532</v>
      </c>
      <c r="F94" s="10">
        <f ca="1"/>
        <v>0</v>
      </c>
      <c r="G94" s="7">
        <f ca="1"/>
        <v>0</v>
      </c>
      <c r="H94" s="10">
        <f ca="1"/>
        <v>-92.127810712624992</v>
      </c>
      <c r="I94" s="7">
        <f ca="1"/>
        <v>1</v>
      </c>
      <c r="J94" s="7">
        <f ca="1"/>
        <v>0.39631672660154038</v>
      </c>
      <c r="K94">
        <f ca="1"/>
        <v>0</v>
      </c>
      <c r="L94">
        <f ca="1"/>
        <v>7.4758725607734675</v>
      </c>
    </row>
    <row r="95" spans="2:12" x14ac:dyDescent="0.5">
      <c r="B95">
        <v>8.5000000000000006E-2</v>
      </c>
      <c r="C95">
        <f ca="1"/>
        <v>-0.37416290209212838</v>
      </c>
      <c r="D95">
        <f ca="1"/>
        <v>1</v>
      </c>
      <c r="E95" s="11">
        <f ca="1"/>
        <v>92.632273381491359</v>
      </c>
      <c r="F95" s="10">
        <f ca="1"/>
        <v>0</v>
      </c>
      <c r="G95" s="7">
        <f ca="1"/>
        <v>0</v>
      </c>
      <c r="H95" s="10">
        <f ca="1"/>
        <v>-92.127810712624992</v>
      </c>
      <c r="I95" s="7">
        <f ca="1"/>
        <v>1</v>
      </c>
      <c r="J95" s="7">
        <f ca="1"/>
        <v>0.50446266886636693</v>
      </c>
      <c r="K95">
        <f ca="1"/>
        <v>0</v>
      </c>
      <c r="L95">
        <f ca="1"/>
        <v>7.367726618508641</v>
      </c>
    </row>
    <row r="96" spans="2:12" x14ac:dyDescent="0.5">
      <c r="B96">
        <v>8.6000000000000007E-2</v>
      </c>
      <c r="C96">
        <f ca="1"/>
        <v>-0.38662138109825339</v>
      </c>
      <c r="D96">
        <f ca="1"/>
        <v>1</v>
      </c>
      <c r="E96" s="11">
        <f ca="1"/>
        <v>92.399901235614905</v>
      </c>
      <c r="F96" s="10">
        <f ca="1"/>
        <v>0</v>
      </c>
      <c r="G96" s="7">
        <f ca="1"/>
        <v>0</v>
      </c>
      <c r="H96" s="10">
        <f ca="1"/>
        <v>-92.127810712624992</v>
      </c>
      <c r="I96" s="7">
        <f ca="1"/>
        <v>1</v>
      </c>
      <c r="J96" s="7">
        <f ca="1"/>
        <v>0.2720905229899131</v>
      </c>
      <c r="K96">
        <f ca="1"/>
        <v>0</v>
      </c>
      <c r="L96">
        <f ca="1"/>
        <v>7.6000987643850948</v>
      </c>
    </row>
    <row r="97" spans="2:12" x14ac:dyDescent="0.5">
      <c r="B97">
        <v>8.7000000000000008E-2</v>
      </c>
      <c r="C97">
        <f ca="1"/>
        <v>-0.34537711301757557</v>
      </c>
      <c r="D97">
        <f ca="1"/>
        <v>1</v>
      </c>
      <c r="E97" s="11">
        <f ca="1"/>
        <v>93.163383480644384</v>
      </c>
      <c r="F97" s="10">
        <f ca="1"/>
        <v>0</v>
      </c>
      <c r="G97" s="7">
        <f ca="1"/>
        <v>0</v>
      </c>
      <c r="H97" s="10">
        <f ca="1"/>
        <v>-92.127810712624992</v>
      </c>
      <c r="I97" s="7">
        <f ca="1"/>
        <v>1</v>
      </c>
      <c r="J97" s="7">
        <f ca="1"/>
        <v>1.0355727680193922</v>
      </c>
      <c r="K97">
        <f ca="1"/>
        <v>0</v>
      </c>
      <c r="L97">
        <f ca="1"/>
        <v>6.8366165193556157</v>
      </c>
    </row>
    <row r="98" spans="2:12" x14ac:dyDescent="0.5">
      <c r="B98">
        <v>8.7999999999999995E-2</v>
      </c>
      <c r="C98">
        <f ca="1"/>
        <v>-0.34427527574424238</v>
      </c>
      <c r="D98">
        <f ca="1"/>
        <v>1</v>
      </c>
      <c r="E98" s="11">
        <f ca="1"/>
        <v>93.182052260906062</v>
      </c>
      <c r="F98" s="10">
        <f ca="1"/>
        <v>0</v>
      </c>
      <c r="G98" s="7">
        <f ca="1"/>
        <v>0</v>
      </c>
      <c r="H98" s="10">
        <f ca="1"/>
        <v>-92.127810712624992</v>
      </c>
      <c r="I98" s="7">
        <f ca="1"/>
        <v>1</v>
      </c>
      <c r="J98" s="7">
        <f ca="1"/>
        <v>1.0542415482810696</v>
      </c>
      <c r="K98">
        <f ca="1"/>
        <v>0</v>
      </c>
      <c r="L98">
        <f ca="1"/>
        <v>6.8179477390939383</v>
      </c>
    </row>
    <row r="99" spans="2:12" x14ac:dyDescent="0.5">
      <c r="B99">
        <v>8.8999999999999996E-2</v>
      </c>
      <c r="C99">
        <f ca="1"/>
        <v>-0.37693109879596759</v>
      </c>
      <c r="D99">
        <f ca="1"/>
        <v>1</v>
      </c>
      <c r="E99" s="11">
        <f ca="1"/>
        <v>92.573596520798972</v>
      </c>
      <c r="F99" s="10">
        <f ca="1"/>
        <v>0</v>
      </c>
      <c r="G99" s="7">
        <f ca="1"/>
        <v>0</v>
      </c>
      <c r="H99" s="10">
        <f ca="1"/>
        <v>-92.127810712624992</v>
      </c>
      <c r="I99" s="7">
        <f ca="1"/>
        <v>1</v>
      </c>
      <c r="J99">
        <f ca="1"/>
        <v>0.44578580817398006</v>
      </c>
      <c r="K99">
        <f ca="1"/>
        <v>0</v>
      </c>
      <c r="L99">
        <f ca="1"/>
        <v>7.4264034792010278</v>
      </c>
    </row>
    <row r="100" spans="2:12" x14ac:dyDescent="0.5">
      <c r="B100">
        <v>0.09</v>
      </c>
      <c r="C100">
        <f ca="1"/>
        <v>-0.39267761515869909</v>
      </c>
      <c r="D100">
        <f ca="1"/>
        <v>1</v>
      </c>
      <c r="E100" s="11">
        <f ca="1"/>
        <v>92.280667154587334</v>
      </c>
      <c r="F100" s="10">
        <f ca="1"/>
        <v>0</v>
      </c>
      <c r="G100" s="7">
        <f ca="1"/>
        <v>0</v>
      </c>
      <c r="H100" s="10">
        <f ca="1"/>
        <v>-92.127810712624992</v>
      </c>
      <c r="I100" s="7">
        <f ca="1"/>
        <v>1</v>
      </c>
      <c r="J100">
        <f ca="1"/>
        <v>0.15285644196234216</v>
      </c>
      <c r="K100">
        <f ca="1"/>
        <v>0</v>
      </c>
      <c r="L100">
        <f ca="1"/>
        <v>7.7193328454126657</v>
      </c>
    </row>
    <row r="101" spans="2:12" x14ac:dyDescent="0.5">
      <c r="B101">
        <v>9.0999999999999998E-2</v>
      </c>
      <c r="C101">
        <f ca="1"/>
        <v>-0.34476224946004824</v>
      </c>
      <c r="D101">
        <f ca="1"/>
        <v>1</v>
      </c>
      <c r="E101" s="11">
        <f ca="1"/>
        <v>93.16738704986706</v>
      </c>
      <c r="F101" s="10">
        <f ca="1"/>
        <v>0</v>
      </c>
      <c r="G101" s="7">
        <f ca="1"/>
        <v>0</v>
      </c>
      <c r="H101" s="10">
        <f ca="1"/>
        <v>-92.127810712624992</v>
      </c>
      <c r="I101" s="7">
        <f ca="1"/>
        <v>1</v>
      </c>
      <c r="J101">
        <f ca="1"/>
        <v>1.0395763372420674</v>
      </c>
      <c r="K101">
        <f ca="1"/>
        <v>0</v>
      </c>
      <c r="L101">
        <f ca="1"/>
        <v>6.8326129501329405</v>
      </c>
    </row>
    <row r="102" spans="2:12" x14ac:dyDescent="0.5">
      <c r="B102">
        <v>9.1999999999999998E-2</v>
      </c>
      <c r="C102">
        <f ca="1"/>
        <v>-0.34279339412940596</v>
      </c>
      <c r="D102">
        <f ca="1"/>
        <v>1</v>
      </c>
      <c r="E102" s="11">
        <f ca="1"/>
        <v>93.20221683223005</v>
      </c>
      <c r="F102" s="10">
        <f ca="1"/>
        <v>0</v>
      </c>
      <c r="G102" s="7">
        <f ca="1"/>
        <v>0</v>
      </c>
      <c r="H102" s="10">
        <f ca="1"/>
        <v>-92.127810712624992</v>
      </c>
      <c r="I102" s="7">
        <f ca="1"/>
        <v>1</v>
      </c>
      <c r="J102">
        <f ca="1"/>
        <v>1.0744061196050581</v>
      </c>
      <c r="K102">
        <f ca="1"/>
        <v>0</v>
      </c>
      <c r="L102">
        <f ca="1"/>
        <v>6.7977831677699498</v>
      </c>
    </row>
    <row r="103" spans="2:12" x14ac:dyDescent="0.5">
      <c r="B103">
        <v>9.2999999999999999E-2</v>
      </c>
      <c r="C103">
        <f ca="1"/>
        <v>-0.38441653166067163</v>
      </c>
      <c r="D103">
        <f ca="1"/>
        <v>1</v>
      </c>
      <c r="E103" s="11">
        <f ca="1"/>
        <v>92.427715008840465</v>
      </c>
      <c r="F103" s="10">
        <f ca="1"/>
        <v>0</v>
      </c>
      <c r="G103" s="7">
        <f ca="1"/>
        <v>0</v>
      </c>
      <c r="H103" s="10">
        <f ca="1"/>
        <v>-92.127810712624992</v>
      </c>
      <c r="I103" s="7">
        <f ca="1"/>
        <v>1</v>
      </c>
      <c r="J103">
        <f ca="1"/>
        <v>0.29990429621547321</v>
      </c>
      <c r="K103">
        <f ca="1"/>
        <v>0</v>
      </c>
      <c r="L103">
        <f ca="1"/>
        <v>7.5722849911595347</v>
      </c>
    </row>
    <row r="104" spans="2:12" x14ac:dyDescent="0.5">
      <c r="B104">
        <v>9.4E-2</v>
      </c>
      <c r="C104">
        <f ca="1"/>
        <v>-0.39656385159562185</v>
      </c>
      <c r="D104">
        <f ca="1"/>
        <v>1</v>
      </c>
      <c r="E104" s="11">
        <f ca="1"/>
        <v>92.20159370058542</v>
      </c>
      <c r="F104" s="10">
        <f ca="1"/>
        <v>0</v>
      </c>
      <c r="G104" s="7">
        <f ca="1"/>
        <v>0</v>
      </c>
      <c r="H104" s="10">
        <f ca="1"/>
        <v>-92.127810712624992</v>
      </c>
      <c r="I104" s="7">
        <f ca="1"/>
        <v>1</v>
      </c>
      <c r="J104">
        <f ca="1"/>
        <v>7.3782987960427704E-2</v>
      </c>
      <c r="K104">
        <f ca="1"/>
        <v>0</v>
      </c>
      <c r="L104">
        <f ca="1"/>
        <v>7.7984062994145802</v>
      </c>
    </row>
    <row r="105" spans="2:12" x14ac:dyDescent="0.5">
      <c r="B105">
        <v>9.5000000000000001E-2</v>
      </c>
      <c r="C105">
        <f ca="1"/>
        <v>-0.43912777750181892</v>
      </c>
      <c r="D105">
        <f ca="1"/>
        <v>1</v>
      </c>
      <c r="E105" s="11">
        <f ca="1"/>
        <v>91.418204307977021</v>
      </c>
      <c r="F105" s="10">
        <f ca="1"/>
        <v>0</v>
      </c>
      <c r="G105" s="7">
        <f ca="1"/>
        <v>0</v>
      </c>
      <c r="H105" s="10">
        <f ca="1"/>
        <v>-92.127810712624992</v>
      </c>
      <c r="I105" s="7">
        <f ca="1"/>
        <v>1</v>
      </c>
      <c r="J105">
        <f ca="1"/>
        <v>-0.70960640464797109</v>
      </c>
      <c r="K105">
        <f ca="1"/>
        <v>0</v>
      </c>
      <c r="L105">
        <f ca="1"/>
        <v>8.581795692022979</v>
      </c>
    </row>
    <row r="106" spans="2:12" x14ac:dyDescent="0.5">
      <c r="B106">
        <v>9.6000000000000002E-2</v>
      </c>
      <c r="C106">
        <f ca="1"/>
        <v>-0.40643219005900866</v>
      </c>
      <c r="D106">
        <f ca="1"/>
        <v>1</v>
      </c>
      <c r="E106" s="11">
        <f ca="1"/>
        <v>92.016117136892632</v>
      </c>
      <c r="F106" s="10">
        <f ca="1"/>
        <v>0</v>
      </c>
      <c r="G106" s="7">
        <f ca="1"/>
        <v>0</v>
      </c>
      <c r="H106" s="10">
        <f ca="1"/>
        <v>-92.127810712624992</v>
      </c>
      <c r="I106" s="7">
        <f ca="1"/>
        <v>1</v>
      </c>
      <c r="J106">
        <f ca="1"/>
        <v>-0.11169357573236027</v>
      </c>
      <c r="K106">
        <f ca="1"/>
        <v>0</v>
      </c>
      <c r="L106">
        <f ca="1"/>
        <v>7.9838828631073682</v>
      </c>
    </row>
    <row r="107" spans="2:12" x14ac:dyDescent="0.5">
      <c r="B107">
        <v>9.7000000000000003E-2</v>
      </c>
      <c r="C107">
        <f ca="1"/>
        <v>-0.46493692510246576</v>
      </c>
      <c r="D107">
        <f ca="1"/>
        <v>1</v>
      </c>
      <c r="E107" s="11">
        <f ca="1"/>
        <v>90.943897096282228</v>
      </c>
      <c r="F107" s="10">
        <f ca="1"/>
        <v>0</v>
      </c>
      <c r="G107" s="7">
        <f ca="1"/>
        <v>0</v>
      </c>
      <c r="H107" s="10">
        <f ca="1"/>
        <v>-92.127810712624992</v>
      </c>
      <c r="I107" s="7">
        <f ca="1"/>
        <v>1</v>
      </c>
      <c r="J107">
        <f ca="1"/>
        <v>-1.1839136163427639</v>
      </c>
      <c r="K107">
        <f ca="1"/>
        <v>0</v>
      </c>
      <c r="L107">
        <f ca="1"/>
        <v>9.0561029037177718</v>
      </c>
    </row>
    <row r="108" spans="2:12" x14ac:dyDescent="0.5">
      <c r="B108">
        <v>9.8000000000000004E-2</v>
      </c>
      <c r="C108">
        <f ca="1"/>
        <v>-0.46793339257552491</v>
      </c>
      <c r="D108">
        <f ca="1"/>
        <v>1</v>
      </c>
      <c r="E108" s="11">
        <f ca="1"/>
        <v>90.887593568439584</v>
      </c>
      <c r="F108" s="10">
        <f ca="1"/>
        <v>0</v>
      </c>
      <c r="G108" s="7">
        <f ca="1"/>
        <v>0</v>
      </c>
      <c r="H108" s="10">
        <f ca="1"/>
        <v>-92.127810712624992</v>
      </c>
      <c r="I108" s="7">
        <f ca="1"/>
        <v>1</v>
      </c>
      <c r="J108">
        <f ca="1"/>
        <v>-1.240217144185408</v>
      </c>
      <c r="K108">
        <f ca="1"/>
        <v>0</v>
      </c>
      <c r="L108">
        <f ca="1"/>
        <v>9.1124064315604159</v>
      </c>
    </row>
    <row r="109" spans="2:12" x14ac:dyDescent="0.5">
      <c r="B109">
        <v>9.9000000000000005E-2</v>
      </c>
      <c r="C109">
        <f ca="1"/>
        <v>-0.47647271528042823</v>
      </c>
      <c r="D109">
        <f ca="1"/>
        <v>1</v>
      </c>
      <c r="E109" s="11">
        <f ca="1"/>
        <v>90.730687713366322</v>
      </c>
      <c r="F109" s="10">
        <f ca="1"/>
        <v>0</v>
      </c>
      <c r="G109" s="7">
        <f ca="1"/>
        <v>0</v>
      </c>
      <c r="H109" s="10">
        <f ca="1"/>
        <v>-92.127810712624992</v>
      </c>
      <c r="I109" s="7">
        <f ca="1"/>
        <v>1</v>
      </c>
      <c r="J109">
        <f ca="1"/>
        <v>-1.39712299925867</v>
      </c>
      <c r="K109">
        <f ca="1"/>
        <v>0</v>
      </c>
      <c r="L109">
        <f ca="1"/>
        <v>9.2693122866336779</v>
      </c>
    </row>
    <row r="110" spans="2:12" x14ac:dyDescent="0.5">
      <c r="B110">
        <v>0.1</v>
      </c>
      <c r="C110">
        <f ca="1"/>
        <v>-0.51666880057905806</v>
      </c>
      <c r="D110">
        <f ca="1"/>
        <v>1</v>
      </c>
      <c r="E110" s="11">
        <f ca="1"/>
        <v>90.002408030995269</v>
      </c>
      <c r="F110" s="10">
        <f ca="1"/>
        <v>0</v>
      </c>
      <c r="G110" s="7">
        <f ca="1"/>
        <v>0</v>
      </c>
      <c r="H110" s="10">
        <f ca="1"/>
        <v>-92.127810712624992</v>
      </c>
      <c r="I110" s="7">
        <f ca="1"/>
        <v>1</v>
      </c>
      <c r="J110">
        <f ca="1"/>
        <v>-2.1254026816297227</v>
      </c>
      <c r="K110">
        <f ca="1"/>
        <v>0</v>
      </c>
      <c r="L110">
        <f ca="1"/>
        <v>9.9975919690047306</v>
      </c>
    </row>
    <row r="111" spans="2:12" x14ac:dyDescent="0.5">
      <c r="B111">
        <v>0.10100000000000001</v>
      </c>
      <c r="C111">
        <f ca="1"/>
        <v>-0.48739090838016041</v>
      </c>
      <c r="D111">
        <f ca="1"/>
        <v>1</v>
      </c>
      <c r="E111">
        <f ca="1"/>
        <v>90.529159598041829</v>
      </c>
      <c r="F111" s="10">
        <f ca="1"/>
        <v>0</v>
      </c>
      <c r="G111" s="7">
        <f ca="1"/>
        <v>0</v>
      </c>
      <c r="H111" s="10">
        <f ca="1"/>
        <v>-92.127810712624992</v>
      </c>
      <c r="I111" s="7">
        <f ca="1"/>
        <v>1</v>
      </c>
      <c r="J111">
        <f ca="1"/>
        <v>-1.5986511145831628</v>
      </c>
      <c r="K111">
        <f ca="1"/>
        <v>0</v>
      </c>
      <c r="L111">
        <f ca="1"/>
        <v>9.4708404019581707</v>
      </c>
    </row>
    <row r="112" spans="2:12" x14ac:dyDescent="0.5">
      <c r="B112">
        <v>0.10200000000000001</v>
      </c>
      <c r="C112">
        <f ca="1"/>
        <v>-0.4856135080212286</v>
      </c>
      <c r="D112">
        <f ca="1"/>
        <v>1</v>
      </c>
      <c r="E112">
        <f ca="1"/>
        <v>90.559535421959438</v>
      </c>
      <c r="F112" s="10">
        <f ca="1"/>
        <v>0</v>
      </c>
      <c r="G112" s="7">
        <f ca="1"/>
        <v>0</v>
      </c>
      <c r="H112" s="10">
        <f ca="1"/>
        <v>-92.127810712624992</v>
      </c>
      <c r="I112" s="7">
        <f ca="1"/>
        <v>1</v>
      </c>
      <c r="J112">
        <f ca="1"/>
        <v>-1.5682752906655537</v>
      </c>
      <c r="K112">
        <f ca="1"/>
        <v>0</v>
      </c>
      <c r="L112">
        <f ca="1"/>
        <v>9.4404645780405616</v>
      </c>
    </row>
    <row r="113" spans="2:12" x14ac:dyDescent="0.5">
      <c r="B113">
        <v>0.10300000000000001</v>
      </c>
      <c r="C113">
        <f ca="1"/>
        <v>-0.41523274665325011</v>
      </c>
      <c r="D113">
        <f ca="1"/>
        <v>1</v>
      </c>
      <c r="E113">
        <f ca="1"/>
        <v>91.841442274599999</v>
      </c>
      <c r="F113" s="10">
        <f ca="1"/>
        <v>0</v>
      </c>
      <c r="G113" s="7">
        <f ca="1"/>
        <v>0</v>
      </c>
      <c r="H113" s="10">
        <f ca="1"/>
        <v>-92.127810712624992</v>
      </c>
      <c r="I113" s="7">
        <f ca="1"/>
        <v>1</v>
      </c>
      <c r="J113">
        <f ca="1"/>
        <v>-0.28636843802499357</v>
      </c>
      <c r="K113">
        <f ca="1"/>
        <v>0</v>
      </c>
      <c r="L113">
        <f ca="1"/>
        <v>8.1585577254000015</v>
      </c>
    </row>
    <row r="114" spans="2:12" x14ac:dyDescent="0.5">
      <c r="B114">
        <v>0.10400000000000001</v>
      </c>
      <c r="C114">
        <f ca="1"/>
        <v>-0.38514667610464665</v>
      </c>
      <c r="D114">
        <f ca="1"/>
        <v>1</v>
      </c>
      <c r="E114">
        <f ca="1"/>
        <v>92.393889985867347</v>
      </c>
      <c r="F114" s="10">
        <f ca="1"/>
        <v>0</v>
      </c>
      <c r="G114" s="7">
        <f ca="1"/>
        <v>0</v>
      </c>
      <c r="H114" s="10">
        <f ca="1"/>
        <v>-92.127810712624992</v>
      </c>
      <c r="I114" s="7">
        <f ca="1"/>
        <v>1</v>
      </c>
      <c r="J114">
        <f ca="1"/>
        <v>0.26607927324235447</v>
      </c>
      <c r="K114">
        <f ca="1"/>
        <v>0</v>
      </c>
      <c r="L114">
        <f ca="1"/>
        <v>7.6061100141326534</v>
      </c>
    </row>
    <row r="115" spans="2:12" x14ac:dyDescent="0.5">
      <c r="B115">
        <v>0.105</v>
      </c>
      <c r="C115">
        <f ca="1"/>
        <v>-0.35357727372377534</v>
      </c>
      <c r="D115">
        <f ca="1"/>
        <v>1</v>
      </c>
      <c r="E115">
        <f ca="1"/>
        <v>92.977239927890452</v>
      </c>
      <c r="F115" s="10">
        <f ca="1"/>
        <v>0</v>
      </c>
      <c r="G115" s="7">
        <f ca="1"/>
        <v>0</v>
      </c>
      <c r="H115" s="10">
        <f ca="1"/>
        <v>-92.127810712624992</v>
      </c>
      <c r="I115" s="7">
        <f ca="1"/>
        <v>1</v>
      </c>
      <c r="J115">
        <f ca="1"/>
        <v>0.84942921526545945</v>
      </c>
      <c r="K115">
        <f ca="1"/>
        <v>0</v>
      </c>
      <c r="L115">
        <f ca="1"/>
        <v>7.0227600721095484</v>
      </c>
    </row>
    <row r="116" spans="2:12" x14ac:dyDescent="0.5">
      <c r="B116">
        <v>0.106</v>
      </c>
      <c r="C116">
        <f ca="1"/>
        <v>-0.39363346238863028</v>
      </c>
      <c r="D116">
        <f ca="1"/>
        <v>1</v>
      </c>
      <c r="E116">
        <f ca="1"/>
        <v>92.233508151230367</v>
      </c>
      <c r="F116" s="10">
        <f ca="1"/>
        <v>0</v>
      </c>
      <c r="G116" s="7">
        <f ca="1"/>
        <v>0</v>
      </c>
      <c r="H116" s="10">
        <f ca="1"/>
        <v>-92.127810712624992</v>
      </c>
      <c r="I116" s="7">
        <f ca="1"/>
        <v>1</v>
      </c>
      <c r="J116">
        <f ca="1"/>
        <v>0.10569743860537528</v>
      </c>
      <c r="K116">
        <f ca="1"/>
        <v>0</v>
      </c>
      <c r="L116">
        <f ca="1"/>
        <v>7.7664918487696326</v>
      </c>
    </row>
    <row r="117" spans="2:12" x14ac:dyDescent="0.5">
      <c r="B117">
        <v>0.107</v>
      </c>
      <c r="C117">
        <f ca="1"/>
        <v>-0.3251979670547166</v>
      </c>
      <c r="D117">
        <f ca="1"/>
        <v>1</v>
      </c>
      <c r="E117">
        <f ca="1"/>
        <v>93.502726152156413</v>
      </c>
      <c r="F117" s="10">
        <f ca="1"/>
        <v>0</v>
      </c>
      <c r="G117" s="7">
        <f ca="1"/>
        <v>0</v>
      </c>
      <c r="H117" s="10">
        <f ca="1"/>
        <v>-92.127810712624992</v>
      </c>
      <c r="I117" s="7">
        <f ca="1"/>
        <v>1</v>
      </c>
      <c r="J117">
        <f ca="1"/>
        <v>1.3749154395314207</v>
      </c>
      <c r="K117">
        <f ca="1"/>
        <v>0</v>
      </c>
      <c r="L117">
        <f ca="1"/>
        <v>6.4972738478435872</v>
      </c>
    </row>
    <row r="118" spans="2:12" x14ac:dyDescent="0.5">
      <c r="B118">
        <v>0.108</v>
      </c>
      <c r="C118">
        <f ca="1"/>
        <v>-0.32391846483479975</v>
      </c>
      <c r="D118">
        <f ca="1"/>
        <v>1</v>
      </c>
      <c r="E118">
        <f ca="1"/>
        <v>93.524786088641477</v>
      </c>
      <c r="F118" s="10">
        <f ca="1"/>
        <v>0</v>
      </c>
      <c r="G118" s="7">
        <f ca="1"/>
        <v>0</v>
      </c>
      <c r="H118" s="10">
        <f ca="1"/>
        <v>-92.127810712624992</v>
      </c>
      <c r="I118" s="7">
        <f ca="1"/>
        <v>1</v>
      </c>
      <c r="J118">
        <f ca="1"/>
        <v>1.3969753760164849</v>
      </c>
      <c r="K118">
        <f ca="1"/>
        <v>0</v>
      </c>
      <c r="L118">
        <f ca="1"/>
        <v>6.475213911358523</v>
      </c>
    </row>
    <row r="119" spans="2:12" x14ac:dyDescent="0.5">
      <c r="B119">
        <v>0.109</v>
      </c>
      <c r="C119">
        <f ca="1"/>
        <v>-0.39563643098640533</v>
      </c>
      <c r="D119">
        <f ca="1"/>
        <v>1</v>
      </c>
      <c r="E119">
        <f ca="1"/>
        <v>92.191035758652887</v>
      </c>
      <c r="F119" s="10">
        <f ca="1"/>
        <v>0</v>
      </c>
      <c r="G119" s="7">
        <f ca="1"/>
        <v>0</v>
      </c>
      <c r="H119" s="10">
        <f ca="1"/>
        <v>-92.127810712624992</v>
      </c>
      <c r="I119" s="7">
        <f ca="1"/>
        <v>1</v>
      </c>
      <c r="J119">
        <f ca="1"/>
        <v>6.322504602789536E-2</v>
      </c>
      <c r="K119">
        <f ca="1"/>
        <v>0</v>
      </c>
      <c r="L119">
        <f ca="1"/>
        <v>7.8089642413471125</v>
      </c>
    </row>
    <row r="120" spans="2:12" x14ac:dyDescent="0.5">
      <c r="B120">
        <v>0.11</v>
      </c>
      <c r="C120">
        <f ca="1"/>
        <v>-0.37680720584449712</v>
      </c>
      <c r="D120">
        <f ca="1"/>
        <v>1</v>
      </c>
      <c r="E120">
        <f ca="1"/>
        <v>92.537016682524253</v>
      </c>
      <c r="F120" s="10">
        <f ca="1"/>
        <v>0</v>
      </c>
      <c r="G120" s="7">
        <f ca="1"/>
        <v>0</v>
      </c>
      <c r="H120" s="10">
        <f ca="1"/>
        <v>-92.127810712624992</v>
      </c>
      <c r="I120" s="7">
        <f ca="1"/>
        <v>1</v>
      </c>
      <c r="J120">
        <f ca="1"/>
        <v>0.40920596989926139</v>
      </c>
      <c r="K120">
        <f ca="1"/>
        <v>0</v>
      </c>
      <c r="L120">
        <f ca="1"/>
        <v>7.4629833174757465</v>
      </c>
    </row>
    <row r="121" spans="2:12" x14ac:dyDescent="0.5">
      <c r="B121">
        <v>0.111</v>
      </c>
      <c r="C121">
        <f ca="1"/>
        <v>-0.37471186520916638</v>
      </c>
      <c r="D121">
        <f ca="1"/>
        <v>1</v>
      </c>
      <c r="E121">
        <f ca="1"/>
        <v>92.573952625944727</v>
      </c>
      <c r="F121" s="10">
        <f ca="1"/>
        <v>0</v>
      </c>
      <c r="G121" s="7">
        <f ca="1"/>
        <v>0</v>
      </c>
      <c r="H121" s="10">
        <f ca="1"/>
        <v>-92.127810712624992</v>
      </c>
      <c r="I121" s="7">
        <f ca="1"/>
        <v>1</v>
      </c>
      <c r="J121">
        <f ca="1"/>
        <v>0.44614191331973529</v>
      </c>
      <c r="K121">
        <f ca="1"/>
        <v>0</v>
      </c>
      <c r="L121">
        <f ca="1"/>
        <v>7.4260473740552726</v>
      </c>
    </row>
    <row r="122" spans="2:12" x14ac:dyDescent="0.5">
      <c r="B122">
        <v>0.112</v>
      </c>
      <c r="C122">
        <f ca="1"/>
        <v>-0.38098594946206993</v>
      </c>
      <c r="D122">
        <f ca="1"/>
        <v>1</v>
      </c>
      <c r="E122">
        <f ca="1"/>
        <v>92.456012982907012</v>
      </c>
      <c r="F122" s="10">
        <f ca="1"/>
        <v>0</v>
      </c>
      <c r="G122" s="7">
        <f ca="1"/>
        <v>0</v>
      </c>
      <c r="H122" s="10">
        <f ca="1"/>
        <v>-92.127810712624992</v>
      </c>
      <c r="I122" s="7">
        <f ca="1"/>
        <v>1</v>
      </c>
      <c r="J122">
        <f ca="1"/>
        <v>0.32820227028201998</v>
      </c>
      <c r="K122">
        <f ca="1"/>
        <v>0</v>
      </c>
      <c r="L122">
        <f ca="1"/>
        <v>7.5439870170929879</v>
      </c>
    </row>
    <row r="123" spans="2:12" x14ac:dyDescent="0.5">
      <c r="B123">
        <v>0.113</v>
      </c>
      <c r="C123">
        <f ca="1"/>
        <v>-0.40110681991671554</v>
      </c>
      <c r="D123">
        <f ca="1"/>
        <v>1</v>
      </c>
      <c r="E123">
        <f ca="1"/>
        <v>92.082859827399872</v>
      </c>
      <c r="F123" s="10">
        <f ca="1"/>
        <v>0</v>
      </c>
      <c r="G123" s="7">
        <f ca="1"/>
        <v>0</v>
      </c>
      <c r="H123" s="10">
        <f ca="1"/>
        <v>-92.127810712624992</v>
      </c>
      <c r="I123" s="7">
        <f ca="1"/>
        <v>1</v>
      </c>
      <c r="J123">
        <f ca="1"/>
        <v>-4.4950885225119919E-2</v>
      </c>
      <c r="K123">
        <f ca="1"/>
        <v>0</v>
      </c>
      <c r="L123">
        <f ca="1"/>
        <v>7.9171401726001278</v>
      </c>
    </row>
    <row r="124" spans="2:12" x14ac:dyDescent="0.5">
      <c r="B124">
        <v>0.114</v>
      </c>
      <c r="C124">
        <f ca="1"/>
        <v>-0.42927512772013804</v>
      </c>
      <c r="D124">
        <f ca="1"/>
        <v>1</v>
      </c>
      <c r="E124">
        <f ca="1"/>
        <v>91.563723396040047</v>
      </c>
      <c r="F124" s="10">
        <f ca="1"/>
        <v>0</v>
      </c>
      <c r="G124" s="7">
        <f ca="1"/>
        <v>0</v>
      </c>
      <c r="H124" s="10">
        <f ca="1"/>
        <v>-92.127810712624992</v>
      </c>
      <c r="I124" s="7">
        <f ca="1"/>
        <v>1</v>
      </c>
      <c r="J124">
        <f ca="1"/>
        <v>-0.5640873165849456</v>
      </c>
      <c r="K124">
        <f ca="1"/>
        <v>0</v>
      </c>
      <c r="L124">
        <f ca="1"/>
        <v>8.4362766039599535</v>
      </c>
    </row>
    <row r="125" spans="2:12" x14ac:dyDescent="0.5">
      <c r="B125">
        <v>0.115</v>
      </c>
      <c r="C125">
        <f ca="1"/>
        <v>-0.42503149804401763</v>
      </c>
      <c r="D125">
        <f ca="1"/>
        <v>1</v>
      </c>
      <c r="E125">
        <f ca="1"/>
        <v>91.639636079404127</v>
      </c>
      <c r="F125" s="10">
        <f ca="1"/>
        <v>0</v>
      </c>
      <c r="G125" s="7">
        <f ca="1"/>
        <v>0</v>
      </c>
      <c r="H125" s="10">
        <f ca="1"/>
        <v>-92.127810712624992</v>
      </c>
      <c r="I125" s="7">
        <f ca="1"/>
        <v>1</v>
      </c>
      <c r="J125">
        <f ca="1"/>
        <v>-0.48817463322086496</v>
      </c>
      <c r="K125">
        <f ca="1"/>
        <v>0</v>
      </c>
      <c r="L125">
        <f ca="1"/>
        <v>8.3603639205958729</v>
      </c>
    </row>
    <row r="126" spans="2:12" x14ac:dyDescent="0.5">
      <c r="B126">
        <v>0.11600000000000001</v>
      </c>
      <c r="C126">
        <f ca="1"/>
        <v>-0.41081120990327102</v>
      </c>
      <c r="D126">
        <f ca="1"/>
        <v>1</v>
      </c>
      <c r="E126">
        <f ca="1"/>
        <v>91.898797463816464</v>
      </c>
      <c r="F126" s="10">
        <f ca="1"/>
        <v>0</v>
      </c>
      <c r="G126" s="7">
        <f ca="1"/>
        <v>0</v>
      </c>
      <c r="H126" s="10">
        <f ca="1"/>
        <v>-92.127810712624992</v>
      </c>
      <c r="I126" s="7">
        <f ca="1"/>
        <v>1</v>
      </c>
      <c r="J126">
        <f ca="1"/>
        <v>-0.22901324880852769</v>
      </c>
      <c r="K126">
        <f ca="1"/>
        <v>0</v>
      </c>
      <c r="L126">
        <f ca="1"/>
        <v>8.1012025361835356</v>
      </c>
    </row>
    <row r="127" spans="2:12" x14ac:dyDescent="0.5">
      <c r="B127">
        <v>0.11700000000000001</v>
      </c>
      <c r="C127">
        <f ca="1"/>
        <v>-0.45451949526373858</v>
      </c>
      <c r="D127">
        <f ca="1"/>
        <v>1</v>
      </c>
      <c r="E127">
        <f ca="1"/>
        <v>91.097128816431422</v>
      </c>
      <c r="F127" s="10">
        <f ca="1"/>
        <v>0</v>
      </c>
      <c r="G127" s="7">
        <f ca="1"/>
        <v>0</v>
      </c>
      <c r="H127" s="10">
        <f ca="1"/>
        <v>-92.127810712624992</v>
      </c>
      <c r="I127" s="7">
        <f ca="1"/>
        <v>1</v>
      </c>
      <c r="J127">
        <f ca="1"/>
        <v>-1.0306818961935704</v>
      </c>
      <c r="K127">
        <f ca="1"/>
        <v>0</v>
      </c>
      <c r="L127">
        <f ca="1"/>
        <v>8.9028711835685783</v>
      </c>
    </row>
    <row r="128" spans="2:12" x14ac:dyDescent="0.5">
      <c r="B128">
        <v>0.11800000000000001</v>
      </c>
      <c r="C128">
        <f ca="1"/>
        <v>-0.43839046073492471</v>
      </c>
      <c r="D128">
        <f ca="1"/>
        <v>1</v>
      </c>
      <c r="E128">
        <f ca="1"/>
        <v>91.389637233323867</v>
      </c>
      <c r="F128" s="10">
        <f ca="1"/>
        <v>0</v>
      </c>
      <c r="G128" s="7">
        <f ca="1"/>
        <v>0</v>
      </c>
      <c r="H128" s="10">
        <f ca="1"/>
        <v>-92.127810712624992</v>
      </c>
      <c r="I128" s="7">
        <f ca="1"/>
        <v>1</v>
      </c>
      <c r="J128">
        <f ca="1"/>
        <v>-0.73817347930112476</v>
      </c>
      <c r="K128">
        <f ca="1"/>
        <v>0</v>
      </c>
      <c r="L128">
        <f ca="1"/>
        <v>8.6103627666761327</v>
      </c>
    </row>
    <row r="129" spans="2:12" x14ac:dyDescent="0.5">
      <c r="B129">
        <v>0.11900000000000001</v>
      </c>
      <c r="C129">
        <f ca="1"/>
        <v>-0.45740682707717534</v>
      </c>
      <c r="D129">
        <f ca="1"/>
        <v>1</v>
      </c>
      <c r="E129">
        <f ca="1"/>
        <v>91.040896766136271</v>
      </c>
      <c r="F129" s="10">
        <f ca="1"/>
        <v>0</v>
      </c>
      <c r="G129" s="7">
        <f ca="1"/>
        <v>0</v>
      </c>
      <c r="H129" s="10">
        <f ca="1"/>
        <v>-92.127810712624992</v>
      </c>
      <c r="I129" s="7">
        <f ca="1"/>
        <v>1</v>
      </c>
      <c r="J129">
        <f ca="1"/>
        <v>-1.0869139464887212</v>
      </c>
      <c r="K129">
        <f ca="1"/>
        <v>0</v>
      </c>
      <c r="L129">
        <f ca="1"/>
        <v>8.9591032338637291</v>
      </c>
    </row>
    <row r="130" spans="2:12" x14ac:dyDescent="0.5">
      <c r="B130">
        <v>0.12</v>
      </c>
      <c r="C130">
        <f ca="1"/>
        <v>-0.36053041981864531</v>
      </c>
      <c r="D130">
        <f ca="1"/>
        <v>1</v>
      </c>
      <c r="E130">
        <f ca="1"/>
        <v>92.820182689555679</v>
      </c>
      <c r="F130" s="10">
        <f ca="1"/>
        <v>0</v>
      </c>
      <c r="G130" s="7">
        <f ca="1"/>
        <v>0</v>
      </c>
      <c r="H130" s="10">
        <f ca="1"/>
        <v>-92.127810712624992</v>
      </c>
      <c r="I130" s="7">
        <f ca="1"/>
        <v>1</v>
      </c>
      <c r="J130">
        <f ca="1"/>
        <v>0.69237197693068708</v>
      </c>
      <c r="K130">
        <f ca="1"/>
        <v>0</v>
      </c>
      <c r="L130">
        <f ca="1"/>
        <v>7.1798173104443208</v>
      </c>
    </row>
    <row r="131" spans="2:12" x14ac:dyDescent="0.5">
      <c r="B131">
        <v>0.121</v>
      </c>
      <c r="C131">
        <f ca="1"/>
        <v>-0.31884714819827364</v>
      </c>
      <c r="D131">
        <f ca="1"/>
        <v>1</v>
      </c>
      <c r="E131">
        <f ca="1"/>
        <v>93.595355015413318</v>
      </c>
      <c r="F131" s="10">
        <f ca="1"/>
        <v>0</v>
      </c>
      <c r="G131" s="7">
        <f ca="1"/>
        <v>0</v>
      </c>
      <c r="H131" s="10">
        <f ca="1"/>
        <v>-92.127810712624992</v>
      </c>
      <c r="I131" s="7">
        <f ca="1"/>
        <v>1</v>
      </c>
      <c r="J131">
        <f ca="1"/>
        <v>1.4675443027883261</v>
      </c>
      <c r="K131">
        <f ca="1"/>
        <v>0</v>
      </c>
      <c r="L131">
        <f ca="1"/>
        <v>6.4046449845866817</v>
      </c>
    </row>
    <row r="132" spans="2:12" x14ac:dyDescent="0.5">
      <c r="B132">
        <v>0.122</v>
      </c>
      <c r="C132">
        <f ca="1"/>
        <v>-0.28327456855315924</v>
      </c>
      <c r="D132">
        <f ca="1"/>
        <v>1</v>
      </c>
      <c r="E132">
        <f ca="1"/>
        <v>94.261729760570688</v>
      </c>
      <c r="F132" s="10">
        <f ca="1"/>
        <v>0</v>
      </c>
      <c r="G132" s="7">
        <f ca="1"/>
        <v>0</v>
      </c>
      <c r="H132" s="10">
        <f ca="1"/>
        <v>-92.127810712624992</v>
      </c>
      <c r="I132" s="7">
        <f ca="1"/>
        <v>1</v>
      </c>
      <c r="J132">
        <f ca="1"/>
        <v>2.133919047945696</v>
      </c>
      <c r="K132">
        <f ca="1"/>
        <v>0</v>
      </c>
      <c r="L132">
        <f ca="1"/>
        <v>5.7382702394293119</v>
      </c>
    </row>
    <row r="133" spans="2:12" x14ac:dyDescent="0.5">
      <c r="B133">
        <v>0.123</v>
      </c>
      <c r="C133">
        <f ca="1"/>
        <v>-0.23202737042369748</v>
      </c>
      <c r="D133">
        <f ca="1"/>
        <v>1</v>
      </c>
      <c r="E133">
        <f ca="1"/>
        <v>95.230923135277422</v>
      </c>
      <c r="F133" s="10">
        <f ca="1"/>
        <v>0</v>
      </c>
      <c r="G133" s="7">
        <f ca="1"/>
        <v>0</v>
      </c>
      <c r="H133" s="10">
        <f ca="1"/>
        <v>-92.127810712624992</v>
      </c>
      <c r="I133" s="7">
        <f ca="1"/>
        <v>1</v>
      </c>
      <c r="J133">
        <f ca="1"/>
        <v>3.1031124226524298</v>
      </c>
      <c r="K133">
        <f ca="1"/>
        <v>0</v>
      </c>
      <c r="L133">
        <f ca="1"/>
        <v>4.7690768647225781</v>
      </c>
    </row>
    <row r="134" spans="2:12" x14ac:dyDescent="0.5">
      <c r="B134">
        <v>0.124</v>
      </c>
      <c r="C134">
        <f ca="1"/>
        <v>-0.26846579563797413</v>
      </c>
      <c r="D134">
        <f ca="1"/>
        <v>1</v>
      </c>
      <c r="E134">
        <f ca="1"/>
        <v>94.537542133326269</v>
      </c>
      <c r="F134" s="10">
        <f ca="1"/>
        <v>0</v>
      </c>
      <c r="G134" s="7">
        <f ca="1"/>
        <v>0</v>
      </c>
      <c r="H134" s="10">
        <f ca="1"/>
        <v>-92.127810712624992</v>
      </c>
      <c r="I134" s="7">
        <f ca="1"/>
        <v>1</v>
      </c>
      <c r="J134">
        <f ca="1"/>
        <v>2.4097314207012772</v>
      </c>
      <c r="K134">
        <f ca="1"/>
        <v>0</v>
      </c>
      <c r="L134">
        <f ca="1"/>
        <v>5.4624578666737307</v>
      </c>
    </row>
    <row r="135" spans="2:12" x14ac:dyDescent="0.5">
      <c r="B135">
        <v>0.125</v>
      </c>
      <c r="C135">
        <f ca="1"/>
        <v>-0.25506545060781682</v>
      </c>
      <c r="D135">
        <f ca="1"/>
        <v>1</v>
      </c>
      <c r="E135">
        <f ca="1"/>
        <v>94.78935328810168</v>
      </c>
      <c r="F135" s="10">
        <f ca="1"/>
        <v>0</v>
      </c>
      <c r="G135" s="7">
        <f ca="1"/>
        <v>0</v>
      </c>
      <c r="H135" s="10">
        <f ca="1"/>
        <v>-92.127810712624992</v>
      </c>
      <c r="I135" s="7">
        <f ca="1"/>
        <v>1</v>
      </c>
      <c r="J135">
        <f ca="1"/>
        <v>2.6615425754766875</v>
      </c>
      <c r="K135">
        <f ca="1"/>
        <v>0</v>
      </c>
      <c r="L135">
        <f ca="1"/>
        <v>5.2106467118983204</v>
      </c>
    </row>
    <row r="136" spans="2:12" x14ac:dyDescent="0.5">
      <c r="B136">
        <v>0.126</v>
      </c>
      <c r="C136">
        <f ca="1"/>
        <v>-0.28092451052380718</v>
      </c>
      <c r="D136">
        <f ca="1"/>
        <v>1</v>
      </c>
      <c r="E136">
        <f ca="1"/>
        <v>94.298500099130038</v>
      </c>
      <c r="F136" s="10">
        <f ca="1"/>
        <v>0</v>
      </c>
      <c r="G136" s="7">
        <f ca="1"/>
        <v>0</v>
      </c>
      <c r="H136" s="10">
        <f ca="1"/>
        <v>-92.127810712624992</v>
      </c>
      <c r="I136" s="7">
        <f ca="1"/>
        <v>1</v>
      </c>
      <c r="J136">
        <f ca="1"/>
        <v>2.1706893865050461</v>
      </c>
      <c r="K136">
        <f ca="1"/>
        <v>0</v>
      </c>
      <c r="L136">
        <f ca="1"/>
        <v>5.7014999008699618</v>
      </c>
    </row>
    <row r="137" spans="2:12" x14ac:dyDescent="0.5">
      <c r="B137">
        <v>0.127</v>
      </c>
      <c r="C137">
        <f ca="1"/>
        <v>-0.25693987510544941</v>
      </c>
      <c r="D137">
        <f ca="1"/>
        <v>1</v>
      </c>
      <c r="E137">
        <f ca="1"/>
        <v>94.750034773679516</v>
      </c>
      <c r="F137" s="10">
        <f ca="1"/>
        <v>0</v>
      </c>
      <c r="G137" s="7">
        <f ca="1"/>
        <v>0</v>
      </c>
      <c r="H137" s="10">
        <f ca="1"/>
        <v>-92.127810712624992</v>
      </c>
      <c r="I137" s="7">
        <f ca="1"/>
        <v>1</v>
      </c>
      <c r="J137">
        <f ca="1"/>
        <v>2.6222240610545242</v>
      </c>
      <c r="K137">
        <f ca="1"/>
        <v>0</v>
      </c>
      <c r="L137">
        <f ca="1"/>
        <v>5.2499652263204837</v>
      </c>
    </row>
    <row r="138" spans="2:12" x14ac:dyDescent="0.5">
      <c r="B138">
        <v>0.128</v>
      </c>
      <c r="C138">
        <f ca="1"/>
        <v>-0.32333935225951072</v>
      </c>
      <c r="D138">
        <f ca="1"/>
        <v>1</v>
      </c>
      <c r="E138">
        <f ca="1"/>
        <v>93.498212226176577</v>
      </c>
      <c r="F138" s="10">
        <f ca="1"/>
        <v>0</v>
      </c>
      <c r="G138" s="7">
        <f ca="1"/>
        <v>0</v>
      </c>
      <c r="H138" s="10">
        <f ca="1"/>
        <v>-92.127810712624992</v>
      </c>
      <c r="I138" s="7">
        <f ca="1"/>
        <v>1</v>
      </c>
      <c r="J138">
        <f ca="1"/>
        <v>1.3704015135515846</v>
      </c>
      <c r="K138">
        <f ca="1"/>
        <v>0</v>
      </c>
      <c r="L138">
        <f ca="1"/>
        <v>6.5017877738234233</v>
      </c>
    </row>
    <row r="139" spans="2:12" x14ac:dyDescent="0.5">
      <c r="B139">
        <v>0.129</v>
      </c>
      <c r="C139">
        <f ca="1"/>
        <v>-0.31982545843674565</v>
      </c>
      <c r="D139">
        <f ca="1"/>
        <v>1</v>
      </c>
      <c r="E139">
        <f ca="1"/>
        <v>93.562072618787369</v>
      </c>
      <c r="F139" s="10">
        <f ca="1"/>
        <v>0</v>
      </c>
      <c r="G139" s="7">
        <f ca="1"/>
        <v>0</v>
      </c>
      <c r="H139" s="10">
        <f ca="1"/>
        <v>-92.127810712624992</v>
      </c>
      <c r="I139" s="7">
        <f ca="1"/>
        <v>1</v>
      </c>
      <c r="J139">
        <f ca="1"/>
        <v>1.4342619061623765</v>
      </c>
      <c r="K139">
        <f ca="1"/>
        <v>0</v>
      </c>
      <c r="L139">
        <f ca="1"/>
        <v>6.4379273812126314</v>
      </c>
    </row>
    <row r="140" spans="2:12" x14ac:dyDescent="0.5">
      <c r="B140">
        <v>0.13</v>
      </c>
      <c r="C140">
        <f ca="1"/>
        <v>-0.2923974485127232</v>
      </c>
      <c r="D140">
        <f ca="1"/>
        <v>1</v>
      </c>
      <c r="E140">
        <f ca="1"/>
        <v>94.074845698880296</v>
      </c>
      <c r="F140" s="10">
        <f ca="1"/>
        <v>0</v>
      </c>
      <c r="G140" s="7">
        <f ca="1"/>
        <v>0</v>
      </c>
      <c r="H140" s="10">
        <f ca="1"/>
        <v>-92.127810712624992</v>
      </c>
      <c r="I140" s="7">
        <f ca="1"/>
        <v>1</v>
      </c>
      <c r="J140">
        <f ca="1"/>
        <v>1.9470349862553036</v>
      </c>
      <c r="K140">
        <f ca="1"/>
        <v>0</v>
      </c>
      <c r="L140">
        <f ca="1"/>
        <v>5.9251543011197043</v>
      </c>
    </row>
    <row r="141" spans="2:12" x14ac:dyDescent="0.5">
      <c r="B141">
        <v>0.13100000000000001</v>
      </c>
      <c r="C141">
        <f ca="1"/>
        <v>-0.26747220098964447</v>
      </c>
      <c r="D141">
        <f ca="1"/>
        <v>1</v>
      </c>
      <c r="E141">
        <f ca="1"/>
        <v>94.543093439595367</v>
      </c>
      <c r="F141" s="10">
        <f ca="1"/>
        <v>0</v>
      </c>
      <c r="G141" s="7">
        <f ca="1"/>
        <v>0</v>
      </c>
      <c r="H141" s="10">
        <f ca="1"/>
        <v>-92.127810712624992</v>
      </c>
      <c r="I141" s="7">
        <f ca="1"/>
        <v>1</v>
      </c>
      <c r="J141">
        <f ca="1"/>
        <v>2.4152827269703749</v>
      </c>
      <c r="K141">
        <f ca="1"/>
        <v>0</v>
      </c>
      <c r="L141">
        <f ca="1"/>
        <v>5.456906560404633</v>
      </c>
    </row>
    <row r="142" spans="2:12" x14ac:dyDescent="0.5">
      <c r="B142">
        <v>0.13200000000000001</v>
      </c>
      <c r="C142">
        <f ca="1"/>
        <v>-0.23892919527747764</v>
      </c>
      <c r="D142">
        <f ca="1"/>
        <v>1</v>
      </c>
      <c r="E142">
        <f ca="1"/>
        <v>95.082444009623316</v>
      </c>
      <c r="F142" s="10">
        <f ca="1"/>
        <v>0</v>
      </c>
      <c r="G142" s="7">
        <f ca="1"/>
        <v>0</v>
      </c>
      <c r="H142" s="10">
        <f ca="1"/>
        <v>-92.127810712624992</v>
      </c>
      <c r="I142" s="7">
        <f ca="1"/>
        <v>1</v>
      </c>
      <c r="J142">
        <f ca="1"/>
        <v>2.954633296998324</v>
      </c>
      <c r="K142">
        <f ca="1"/>
        <v>0</v>
      </c>
      <c r="L142">
        <f ca="1"/>
        <v>4.9175559903766839</v>
      </c>
    </row>
    <row r="143" spans="2:12" x14ac:dyDescent="0.5">
      <c r="B143">
        <v>0.13300000000000001</v>
      </c>
      <c r="C143">
        <f ca="1"/>
        <v>-0.21987338565645081</v>
      </c>
      <c r="D143">
        <f ca="1"/>
        <v>1</v>
      </c>
      <c r="E143">
        <f ca="1"/>
        <v>95.443601120984539</v>
      </c>
      <c r="F143" s="10">
        <f ca="1"/>
        <v>0</v>
      </c>
      <c r="G143" s="7">
        <f ca="1"/>
        <v>0</v>
      </c>
      <c r="H143">
        <f ca="1"/>
        <v>-92.127810712624992</v>
      </c>
      <c r="I143" s="7">
        <f ca="1"/>
        <v>1</v>
      </c>
      <c r="J143">
        <f ca="1"/>
        <v>3.3157904083595469</v>
      </c>
      <c r="K143">
        <f ca="1"/>
        <v>0</v>
      </c>
      <c r="L143">
        <f ca="1"/>
        <v>4.556398879015461</v>
      </c>
    </row>
    <row r="144" spans="2:12" x14ac:dyDescent="0.5">
      <c r="B144">
        <v>0.13400000000000001</v>
      </c>
      <c r="C144">
        <f ca="1"/>
        <v>-0.18446422677696711</v>
      </c>
      <c r="D144">
        <f ca="1"/>
        <v>1</v>
      </c>
      <c r="E144">
        <f ca="1"/>
        <v>96.119993248957229</v>
      </c>
      <c r="F144" s="10">
        <f ca="1"/>
        <v>0</v>
      </c>
      <c r="G144" s="7">
        <f ca="1"/>
        <v>0</v>
      </c>
      <c r="H144">
        <f ca="1"/>
        <v>-92.127810712624992</v>
      </c>
      <c r="I144" s="7">
        <f ca="1"/>
        <v>1</v>
      </c>
      <c r="J144">
        <f ca="1"/>
        <v>3.992182536332237</v>
      </c>
      <c r="K144">
        <f ca="1"/>
        <v>0</v>
      </c>
      <c r="L144">
        <f ca="1"/>
        <v>3.8800067510427709</v>
      </c>
    </row>
    <row r="145" spans="2:12" x14ac:dyDescent="0.5">
      <c r="B145">
        <v>0.13500000000000001</v>
      </c>
      <c r="C145">
        <f ca="1"/>
        <v>-0.16336019185422249</v>
      </c>
      <c r="D145">
        <f ca="1"/>
        <v>1</v>
      </c>
      <c r="E145">
        <f ca="1"/>
        <v>96.524624080929058</v>
      </c>
      <c r="F145" s="10">
        <f ca="1"/>
        <v>0</v>
      </c>
      <c r="G145" s="7">
        <f ca="1"/>
        <v>0</v>
      </c>
      <c r="H145">
        <f ca="1"/>
        <v>-92.127810712624992</v>
      </c>
      <c r="I145" s="7">
        <f ca="1"/>
        <v>1</v>
      </c>
      <c r="J145">
        <f ca="1"/>
        <v>4.3968133683040662</v>
      </c>
      <c r="K145">
        <f ca="1"/>
        <v>0</v>
      </c>
      <c r="L145">
        <f ca="1"/>
        <v>3.4753759190709417</v>
      </c>
    </row>
    <row r="146" spans="2:12" x14ac:dyDescent="0.5">
      <c r="B146">
        <v>0.13600000000000001</v>
      </c>
      <c r="C146">
        <f ca="1"/>
        <v>-0.16519229264023005</v>
      </c>
      <c r="D146">
        <f ca="1"/>
        <v>1</v>
      </c>
      <c r="E146">
        <f ca="1"/>
        <v>96.487332226144119</v>
      </c>
      <c r="F146" s="10">
        <f ca="1"/>
        <v>0</v>
      </c>
      <c r="G146" s="7">
        <f ca="1"/>
        <v>0</v>
      </c>
      <c r="H146">
        <f ca="1"/>
        <v>-92.127810712624992</v>
      </c>
      <c r="I146" s="7">
        <f ca="1"/>
        <v>1</v>
      </c>
      <c r="J146">
        <f ca="1"/>
        <v>4.3595215135191268</v>
      </c>
      <c r="K146">
        <f ca="1"/>
        <v>0</v>
      </c>
      <c r="L146">
        <f ca="1"/>
        <v>3.5126677738558811</v>
      </c>
    </row>
    <row r="147" spans="2:12" x14ac:dyDescent="0.5">
      <c r="B147">
        <v>0.13700000000000001</v>
      </c>
      <c r="C147">
        <f ca="1"/>
        <v>-0.16205131034571105</v>
      </c>
      <c r="D147">
        <f ca="1"/>
        <v>1</v>
      </c>
      <c r="E147">
        <f ca="1"/>
        <v>96.546033329025121</v>
      </c>
      <c r="F147" s="10">
        <f ca="1"/>
        <v>0</v>
      </c>
      <c r="G147" s="7">
        <f ca="1"/>
        <v>0</v>
      </c>
      <c r="H147">
        <f ca="1"/>
        <v>-92.127810712624992</v>
      </c>
      <c r="I147" s="7">
        <f ca="1"/>
        <v>1</v>
      </c>
      <c r="J147">
        <f ca="1"/>
        <v>4.4182226164001293</v>
      </c>
      <c r="K147">
        <f ca="1"/>
        <v>0</v>
      </c>
      <c r="L147">
        <f ca="1"/>
        <v>3.4539666709748786</v>
      </c>
    </row>
    <row r="148" spans="2:12" x14ac:dyDescent="0.5">
      <c r="B148">
        <v>0.13800000000000001</v>
      </c>
      <c r="C148">
        <f ca="1"/>
        <v>-0.18546033672395287</v>
      </c>
      <c r="D148">
        <f ca="1"/>
        <v>1</v>
      </c>
      <c r="E148">
        <f ca="1"/>
        <v>96.09315817986645</v>
      </c>
      <c r="F148" s="10">
        <f ca="1"/>
        <v>0</v>
      </c>
      <c r="G148" s="7">
        <f ca="1"/>
        <v>0</v>
      </c>
      <c r="H148">
        <f ca="1"/>
        <v>-92.127810712624992</v>
      </c>
      <c r="I148" s="7">
        <f ca="1"/>
        <v>1</v>
      </c>
      <c r="J148">
        <f ca="1"/>
        <v>3.9653474672414575</v>
      </c>
      <c r="K148">
        <f ca="1"/>
        <v>0</v>
      </c>
      <c r="L148">
        <f ca="1"/>
        <v>3.9068418201335504</v>
      </c>
    </row>
    <row r="149" spans="2:12" x14ac:dyDescent="0.5">
      <c r="B149">
        <v>0.13900000000000001</v>
      </c>
      <c r="C149">
        <f ca="1"/>
        <v>-0.17616698567351091</v>
      </c>
      <c r="D149">
        <f ca="1"/>
        <v>1</v>
      </c>
      <c r="E149">
        <f ca="1"/>
        <v>96.270004338264599</v>
      </c>
      <c r="F149" s="10">
        <f ca="1"/>
        <v>0</v>
      </c>
      <c r="G149" s="7">
        <f ca="1"/>
        <v>0</v>
      </c>
      <c r="H149">
        <f ca="1"/>
        <v>-92.127810712624992</v>
      </c>
      <c r="I149" s="7">
        <f ca="1"/>
        <v>1</v>
      </c>
      <c r="J149">
        <f ca="1"/>
        <v>4.1421936256396066</v>
      </c>
      <c r="K149">
        <f ca="1"/>
        <v>0</v>
      </c>
      <c r="L149">
        <f ca="1"/>
        <v>3.7299956617354013</v>
      </c>
    </row>
    <row r="150" spans="2:12" x14ac:dyDescent="0.5">
      <c r="B150">
        <v>0.14000000000000001</v>
      </c>
      <c r="C150">
        <f ca="1"/>
        <v>-0.18666280459867163</v>
      </c>
      <c r="D150">
        <f ca="1"/>
        <v>1</v>
      </c>
      <c r="E150">
        <f ca="1"/>
        <v>96.066208446191197</v>
      </c>
      <c r="F150" s="10">
        <f ca="1"/>
        <v>0</v>
      </c>
      <c r="G150" s="7">
        <f ca="1"/>
        <v>0</v>
      </c>
      <c r="H150">
        <f ca="1"/>
        <v>-92.127810712624992</v>
      </c>
      <c r="I150" s="7">
        <f ca="1"/>
        <v>1</v>
      </c>
      <c r="J150">
        <f ca="1"/>
        <v>3.9383977335662053</v>
      </c>
      <c r="K150">
        <f ca="1"/>
        <v>0</v>
      </c>
      <c r="L150">
        <f ca="1"/>
        <v>3.9337915538088026</v>
      </c>
    </row>
    <row r="151" spans="2:12" x14ac:dyDescent="0.5">
      <c r="B151">
        <v>0.14100000000000001</v>
      </c>
      <c r="C151">
        <f ca="1"/>
        <v>-0.18506872566668917</v>
      </c>
      <c r="D151">
        <f ca="1"/>
        <v>1</v>
      </c>
      <c r="E151">
        <f ca="1"/>
        <v>96.094918835159277</v>
      </c>
      <c r="F151" s="10">
        <f ca="1"/>
        <v>0</v>
      </c>
      <c r="G151" s="7">
        <f ca="1"/>
        <v>0</v>
      </c>
      <c r="H151">
        <f ca="1"/>
        <v>-92.127810712624992</v>
      </c>
      <c r="I151" s="7">
        <f ca="1"/>
        <v>1</v>
      </c>
      <c r="J151">
        <f ca="1"/>
        <v>3.9671081225342846</v>
      </c>
      <c r="K151">
        <f ca="1"/>
        <v>0</v>
      </c>
      <c r="L151">
        <f ca="1"/>
        <v>3.9050811648407233</v>
      </c>
    </row>
    <row r="152" spans="2:12" x14ac:dyDescent="0.5">
      <c r="B152">
        <v>0.14200000000000002</v>
      </c>
      <c r="C152">
        <f ca="1"/>
        <v>-0.2361230817235126</v>
      </c>
      <c r="D152">
        <f ca="1"/>
        <v>1</v>
      </c>
      <c r="E152">
        <f ca="1"/>
        <v>95.116796151810732</v>
      </c>
      <c r="F152" s="10">
        <f ca="1"/>
        <v>0</v>
      </c>
      <c r="G152" s="7">
        <f ca="1"/>
        <v>0</v>
      </c>
      <c r="H152">
        <f ca="1"/>
        <v>-92.127810712624992</v>
      </c>
      <c r="I152" s="7">
        <f ca="1"/>
        <v>1</v>
      </c>
      <c r="J152">
        <f ca="1"/>
        <v>2.9889854391857398</v>
      </c>
      <c r="K152">
        <f ca="1"/>
        <v>0</v>
      </c>
      <c r="L152">
        <f ca="1"/>
        <v>4.8832038481892681</v>
      </c>
    </row>
    <row r="153" spans="2:12" x14ac:dyDescent="0.5">
      <c r="B153">
        <v>0.14300000000000002</v>
      </c>
      <c r="C153">
        <f ca="1"/>
        <v>-0.23507349184517104</v>
      </c>
      <c r="D153">
        <f ca="1"/>
        <v>1</v>
      </c>
      <c r="E153">
        <f ca="1"/>
        <v>95.134862256672676</v>
      </c>
      <c r="F153" s="10">
        <f ca="1"/>
        <v>0</v>
      </c>
      <c r="G153" s="7">
        <f ca="1"/>
        <v>0</v>
      </c>
      <c r="H153">
        <f ca="1"/>
        <v>-92.127810712624992</v>
      </c>
      <c r="I153" s="7">
        <f ca="1"/>
        <v>1</v>
      </c>
      <c r="J153">
        <f ca="1"/>
        <v>3.0070515440476839</v>
      </c>
      <c r="K153">
        <f ca="1"/>
        <v>0</v>
      </c>
      <c r="L153">
        <f ca="1"/>
        <v>4.865137743327324</v>
      </c>
    </row>
    <row r="154" spans="2:12" x14ac:dyDescent="0.5">
      <c r="B154">
        <v>0.14400000000000002</v>
      </c>
      <c r="C154">
        <f ca="1"/>
        <v>-0.27381809761981607</v>
      </c>
      <c r="D154">
        <f ca="1"/>
        <v>1</v>
      </c>
      <c r="E154">
        <f ca="1"/>
        <v>94.398630578649261</v>
      </c>
      <c r="F154" s="10">
        <f ca="1"/>
        <v>0</v>
      </c>
      <c r="G154" s="7">
        <f ca="1"/>
        <v>0</v>
      </c>
      <c r="H154">
        <f ca="1"/>
        <v>-92.127810712624992</v>
      </c>
      <c r="I154" s="7">
        <f ca="1"/>
        <v>1</v>
      </c>
      <c r="J154">
        <f ca="1"/>
        <v>2.2708198660242687</v>
      </c>
      <c r="K154">
        <f ca="1"/>
        <v>0</v>
      </c>
      <c r="L154">
        <f ca="1"/>
        <v>5.6013694213507392</v>
      </c>
    </row>
    <row r="155" spans="2:12" x14ac:dyDescent="0.5">
      <c r="B155">
        <v>0.14499999999999999</v>
      </c>
      <c r="C155">
        <f ca="1"/>
        <v>-0.30377042027619805</v>
      </c>
      <c r="D155">
        <f ca="1"/>
        <v>1</v>
      </c>
      <c r="E155">
        <f ca="1"/>
        <v>93.832952654262996</v>
      </c>
      <c r="F155" s="10">
        <f ca="1"/>
        <v>0</v>
      </c>
      <c r="G155" s="7">
        <f ca="1"/>
        <v>0</v>
      </c>
      <c r="H155">
        <f ca="1"/>
        <v>-92.127810712624992</v>
      </c>
      <c r="I155" s="7">
        <f ca="1"/>
        <v>1</v>
      </c>
      <c r="J155">
        <f ca="1"/>
        <v>1.7051419416380043</v>
      </c>
      <c r="K155">
        <f ca="1"/>
        <v>0</v>
      </c>
      <c r="L155">
        <f ca="1"/>
        <v>6.1670473457370036</v>
      </c>
    </row>
    <row r="156" spans="2:12" x14ac:dyDescent="0.5">
      <c r="B156">
        <v>0.14599999999999999</v>
      </c>
      <c r="C156">
        <f ca="1"/>
        <v>-0.26850347392271395</v>
      </c>
      <c r="D156">
        <f ca="1"/>
        <v>1</v>
      </c>
      <c r="E156">
        <f ca="1"/>
        <v>94.495242678264603</v>
      </c>
      <c r="F156" s="10">
        <f ca="1"/>
        <v>0</v>
      </c>
      <c r="G156" s="7">
        <f ca="1"/>
        <v>0</v>
      </c>
      <c r="H156">
        <f ca="1"/>
        <v>-92.127810712624992</v>
      </c>
      <c r="I156" s="7">
        <f ca="1"/>
        <v>1</v>
      </c>
      <c r="J156">
        <f ca="1"/>
        <v>2.3674319656396108</v>
      </c>
      <c r="K156">
        <f ca="1"/>
        <v>0</v>
      </c>
      <c r="L156">
        <f ca="1"/>
        <v>5.5047573217353971</v>
      </c>
    </row>
    <row r="157" spans="2:12" x14ac:dyDescent="0.5">
      <c r="B157">
        <v>0.14699999999999999</v>
      </c>
      <c r="C157">
        <f ca="1"/>
        <v>-0.26223302659523579</v>
      </c>
      <c r="D157">
        <f ca="1"/>
        <v>1</v>
      </c>
      <c r="E157">
        <f ca="1"/>
        <v>94.61193024843449</v>
      </c>
      <c r="F157" s="10">
        <f ca="1"/>
        <v>0</v>
      </c>
      <c r="G157" s="7">
        <f ca="1"/>
        <v>0</v>
      </c>
      <c r="H157">
        <f ca="1"/>
        <v>-92.127810712624992</v>
      </c>
      <c r="I157" s="7">
        <f ca="1"/>
        <v>1</v>
      </c>
      <c r="J157">
        <f ca="1"/>
        <v>2.4841195358094978</v>
      </c>
      <c r="K157">
        <f ca="1"/>
        <v>0</v>
      </c>
      <c r="L157">
        <f ca="1"/>
        <v>5.38806975156551</v>
      </c>
    </row>
    <row r="158" spans="2:12" x14ac:dyDescent="0.5">
      <c r="B158">
        <v>0.14799999999999999</v>
      </c>
      <c r="C158">
        <f ca="1"/>
        <v>-0.20681537973255582</v>
      </c>
      <c r="D158">
        <f ca="1"/>
        <v>1</v>
      </c>
      <c r="E158">
        <f ca="1"/>
        <v>95.664483860459271</v>
      </c>
      <c r="F158" s="10">
        <f ca="1"/>
        <v>0</v>
      </c>
      <c r="G158" s="7">
        <f ca="1"/>
        <v>0</v>
      </c>
      <c r="H158">
        <f ca="1"/>
        <v>-92.127810712624992</v>
      </c>
      <c r="I158" s="7">
        <f ca="1"/>
        <v>1</v>
      </c>
      <c r="J158">
        <f ca="1"/>
        <v>3.5366731478342786</v>
      </c>
      <c r="K158">
        <f ca="1"/>
        <v>0</v>
      </c>
      <c r="L158">
        <f ca="1"/>
        <v>4.3355161395407293</v>
      </c>
    </row>
    <row r="159" spans="2:12" x14ac:dyDescent="0.5">
      <c r="B159">
        <v>0.14899999999999999</v>
      </c>
      <c r="C159">
        <f ca="1"/>
        <v>-0.24594045420704436</v>
      </c>
      <c r="D159">
        <f ca="1"/>
        <v>1</v>
      </c>
      <c r="E159">
        <f ca="1"/>
        <v>94.916930676555779</v>
      </c>
      <c r="F159" s="10">
        <f ca="1"/>
        <v>0</v>
      </c>
      <c r="G159" s="7">
        <f ca="1"/>
        <v>0</v>
      </c>
      <c r="H159">
        <f ca="1"/>
        <v>-92.127810712624992</v>
      </c>
      <c r="I159" s="7">
        <f ca="1"/>
        <v>1</v>
      </c>
      <c r="J159">
        <f ca="1"/>
        <v>2.7891199639307871</v>
      </c>
      <c r="K159">
        <f ca="1"/>
        <v>0</v>
      </c>
      <c r="L159">
        <f ca="1"/>
        <v>5.0830693234442208</v>
      </c>
    </row>
    <row r="160" spans="2:12" x14ac:dyDescent="0.5">
      <c r="B160">
        <v>0.15</v>
      </c>
      <c r="C160">
        <f ca="1"/>
        <v>-0.25132788432382208</v>
      </c>
      <c r="D160">
        <f ca="1"/>
        <v>1</v>
      </c>
      <c r="E160">
        <f ca="1"/>
        <v>94.81281781341464</v>
      </c>
      <c r="F160" s="10">
        <f ca="1"/>
        <v>0</v>
      </c>
      <c r="G160" s="7">
        <f ca="1"/>
        <v>0</v>
      </c>
      <c r="H160">
        <f ca="1"/>
        <v>-92.127810712624992</v>
      </c>
      <c r="I160" s="7">
        <f ca="1"/>
        <v>1</v>
      </c>
      <c r="J160">
        <f ca="1"/>
        <v>2.6850071007896474</v>
      </c>
      <c r="K160">
        <f ca="1"/>
        <v>0</v>
      </c>
      <c r="L160">
        <f ca="1"/>
        <v>5.1871821865853605</v>
      </c>
    </row>
    <row r="161" spans="2:12" x14ac:dyDescent="0.5">
      <c r="B161">
        <v>0.151</v>
      </c>
      <c r="C161">
        <f ca="1"/>
        <v>-0.26438289108521779</v>
      </c>
      <c r="D161">
        <f ca="1"/>
        <v>1</v>
      </c>
      <c r="E161">
        <f ca="1"/>
        <v>94.563693029063359</v>
      </c>
      <c r="F161" s="10">
        <f ca="1"/>
        <v>0</v>
      </c>
      <c r="G161" s="7">
        <f ca="1"/>
        <v>0</v>
      </c>
      <c r="H161">
        <f ca="1"/>
        <v>-92.127810712624992</v>
      </c>
      <c r="I161" s="7">
        <f ca="1"/>
        <v>1</v>
      </c>
      <c r="J161">
        <f ca="1"/>
        <v>2.4358823164383665</v>
      </c>
      <c r="K161">
        <f ca="1"/>
        <v>0</v>
      </c>
      <c r="L161">
        <f ca="1"/>
        <v>5.4363069709366414</v>
      </c>
    </row>
    <row r="162" spans="2:12" x14ac:dyDescent="0.5">
      <c r="B162">
        <v>0.152</v>
      </c>
      <c r="C162">
        <f ca="1"/>
        <v>-0.25371082932833344</v>
      </c>
      <c r="D162">
        <f ca="1"/>
        <v>1</v>
      </c>
      <c r="E162">
        <f ca="1"/>
        <v>94.763851203482687</v>
      </c>
      <c r="F162" s="10">
        <f ca="1"/>
        <v>0</v>
      </c>
      <c r="G162" s="7">
        <f ca="1"/>
        <v>0</v>
      </c>
      <c r="H162">
        <f ca="1"/>
        <v>-92.127810712624992</v>
      </c>
      <c r="I162" s="7">
        <f ca="1"/>
        <v>1</v>
      </c>
      <c r="J162">
        <f ca="1"/>
        <v>2.6360404908576953</v>
      </c>
      <c r="K162">
        <f ca="1"/>
        <v>0</v>
      </c>
      <c r="L162">
        <f ca="1"/>
        <v>5.2361487965173126</v>
      </c>
    </row>
    <row r="163" spans="2:12" x14ac:dyDescent="0.5">
      <c r="B163">
        <v>0.153</v>
      </c>
      <c r="C163">
        <f ca="1"/>
        <v>-0.29568383672736609</v>
      </c>
      <c r="D163">
        <f ca="1"/>
        <v>1</v>
      </c>
      <c r="E163">
        <f ca="1"/>
        <v>93.969796672411135</v>
      </c>
      <c r="F163" s="10">
        <f ca="1"/>
        <v>0</v>
      </c>
      <c r="G163" s="7">
        <f ca="1"/>
        <v>0</v>
      </c>
      <c r="H163">
        <f ca="1"/>
        <v>-92.127810712624992</v>
      </c>
      <c r="I163" s="7">
        <f ca="1"/>
        <v>1</v>
      </c>
      <c r="J163">
        <f ca="1"/>
        <v>1.8419859597861432</v>
      </c>
      <c r="K163">
        <f ca="1"/>
        <v>0</v>
      </c>
      <c r="L163">
        <f ca="1"/>
        <v>6.0302033275888647</v>
      </c>
    </row>
    <row r="164" spans="2:12" x14ac:dyDescent="0.5">
      <c r="B164">
        <v>0.154</v>
      </c>
      <c r="C164">
        <f ca="1"/>
        <v>-0.29254309757052521</v>
      </c>
      <c r="D164">
        <f ca="1"/>
        <v>1</v>
      </c>
      <c r="E164">
        <f ca="1"/>
        <v>94.02696158106734</v>
      </c>
      <c r="F164" s="10">
        <f ca="1"/>
        <v>0</v>
      </c>
      <c r="G164" s="7">
        <f ca="1"/>
        <v>0</v>
      </c>
      <c r="H164">
        <f ca="1"/>
        <v>-92.127810712624992</v>
      </c>
      <c r="I164" s="7">
        <f ca="1"/>
        <v>1</v>
      </c>
      <c r="J164">
        <f ca="1"/>
        <v>1.8991508684423479</v>
      </c>
      <c r="K164">
        <f ca="1"/>
        <v>0</v>
      </c>
      <c r="L164">
        <f ca="1"/>
        <v>5.97303841893266</v>
      </c>
    </row>
    <row r="165" spans="2:12" x14ac:dyDescent="0.5">
      <c r="B165">
        <v>0.155</v>
      </c>
      <c r="C165">
        <f ca="1"/>
        <v>-0.28860916950525117</v>
      </c>
      <c r="D165">
        <f ca="1"/>
        <v>1</v>
      </c>
      <c r="E165">
        <f ca="1"/>
        <v>94.09908775156795</v>
      </c>
      <c r="F165" s="10">
        <f ca="1"/>
        <v>0</v>
      </c>
      <c r="G165" s="7">
        <f ca="1"/>
        <v>0</v>
      </c>
      <c r="H165">
        <f ca="1"/>
        <v>-92.127810712624992</v>
      </c>
      <c r="I165">
        <f ca="1"/>
        <v>1</v>
      </c>
      <c r="J165">
        <f ca="1"/>
        <v>1.9712770389429579</v>
      </c>
      <c r="K165">
        <f ca="1"/>
        <v>0</v>
      </c>
      <c r="L165">
        <f ca="1"/>
        <v>5.90091224843205</v>
      </c>
    </row>
    <row r="166" spans="2:12" x14ac:dyDescent="0.5">
      <c r="B166">
        <v>0.156</v>
      </c>
      <c r="C166">
        <f ca="1"/>
        <v>-0.31619523573326835</v>
      </c>
      <c r="D166">
        <f ca="1"/>
        <v>1</v>
      </c>
      <c r="E166">
        <f ca="1"/>
        <v>93.579480950926609</v>
      </c>
      <c r="F166" s="10">
        <f ca="1"/>
        <v>0</v>
      </c>
      <c r="G166" s="7">
        <f ca="1"/>
        <v>0</v>
      </c>
      <c r="H166">
        <f ca="1"/>
        <v>-92.127810712624992</v>
      </c>
      <c r="I166">
        <f ca="1"/>
        <v>1</v>
      </c>
      <c r="J166">
        <f ca="1"/>
        <v>1.4516702383016167</v>
      </c>
      <c r="K166">
        <f ca="1"/>
        <v>0</v>
      </c>
      <c r="L166">
        <f ca="1"/>
        <v>6.4205190490733912</v>
      </c>
    </row>
    <row r="167" spans="2:12" x14ac:dyDescent="0.5">
      <c r="B167">
        <v>0.157</v>
      </c>
      <c r="C167">
        <f ca="1"/>
        <v>-0.28087608067586273</v>
      </c>
      <c r="D167">
        <f ca="1"/>
        <v>1</v>
      </c>
      <c r="E167">
        <f ca="1"/>
        <v>94.240965960204804</v>
      </c>
      <c r="F167" s="10">
        <f ca="1"/>
        <v>0</v>
      </c>
      <c r="G167" s="7">
        <f ca="1"/>
        <v>0</v>
      </c>
      <c r="H167">
        <f ca="1"/>
        <v>-92.127810712624992</v>
      </c>
      <c r="I167">
        <f ca="1"/>
        <v>1</v>
      </c>
      <c r="J167">
        <f ca="1"/>
        <v>2.1131552475798117</v>
      </c>
      <c r="K167">
        <f ca="1"/>
        <v>0</v>
      </c>
      <c r="L167">
        <f ca="1"/>
        <v>5.7590340397951962</v>
      </c>
    </row>
    <row r="168" spans="2:12" x14ac:dyDescent="0.5">
      <c r="B168">
        <v>0.158</v>
      </c>
      <c r="C168">
        <f ca="1"/>
        <v>-0.28133688944829771</v>
      </c>
      <c r="D168">
        <f ca="1"/>
        <v>1</v>
      </c>
      <c r="E168">
        <f ca="1"/>
        <v>94.230396320883884</v>
      </c>
      <c r="F168" s="10">
        <f ca="1"/>
        <v>0</v>
      </c>
      <c r="G168" s="7">
        <f ca="1"/>
        <v>0</v>
      </c>
      <c r="H168">
        <f ca="1"/>
        <v>-92.127810712624992</v>
      </c>
      <c r="I168">
        <f ca="1"/>
        <v>1</v>
      </c>
      <c r="J168">
        <f ca="1"/>
        <v>2.1025856082588916</v>
      </c>
      <c r="K168">
        <f ca="1"/>
        <v>0</v>
      </c>
      <c r="L168">
        <f ca="1"/>
        <v>5.7696036791161163</v>
      </c>
    </row>
    <row r="169" spans="2:12" x14ac:dyDescent="0.5">
      <c r="B169">
        <v>0.159</v>
      </c>
      <c r="C169">
        <f ca="1"/>
        <v>-0.26391666003642711</v>
      </c>
      <c r="D169">
        <f ca="1"/>
        <v>1</v>
      </c>
      <c r="E169">
        <f ca="1"/>
        <v>94.557380754820869</v>
      </c>
      <c r="F169" s="10">
        <f ca="1"/>
        <v>0</v>
      </c>
      <c r="G169" s="7">
        <f ca="1"/>
        <v>0</v>
      </c>
      <c r="H169">
        <f ca="1"/>
        <v>-92.127810712624992</v>
      </c>
      <c r="I169">
        <f ca="1"/>
        <v>1</v>
      </c>
      <c r="J169">
        <f ca="1"/>
        <v>2.429570042195877</v>
      </c>
      <c r="K169">
        <f ca="1"/>
        <v>0</v>
      </c>
      <c r="L169">
        <f ca="1"/>
        <v>5.4426192451791309</v>
      </c>
    </row>
    <row r="170" spans="2:12" x14ac:dyDescent="0.5">
      <c r="B170">
        <v>0.16</v>
      </c>
      <c r="C170">
        <f ca="1"/>
        <v>-0.30250558205115369</v>
      </c>
      <c r="D170">
        <f ca="1"/>
        <v>1</v>
      </c>
      <c r="E170">
        <f ca="1"/>
        <v>93.828539573303516</v>
      </c>
      <c r="F170" s="10">
        <f ca="1"/>
        <v>0</v>
      </c>
      <c r="G170" s="7">
        <f ca="1"/>
        <v>0</v>
      </c>
      <c r="H170">
        <f ca="1"/>
        <v>-92.127810712624992</v>
      </c>
      <c r="I170">
        <f ca="1"/>
        <v>1</v>
      </c>
      <c r="J170">
        <f ca="1"/>
        <v>1.7007288606785238</v>
      </c>
      <c r="K170">
        <f ca="1"/>
        <v>0</v>
      </c>
      <c r="L170">
        <f ca="1"/>
        <v>6.1714604266964841</v>
      </c>
    </row>
    <row r="171" spans="2:12" x14ac:dyDescent="0.5">
      <c r="B171">
        <v>0.161</v>
      </c>
      <c r="C171">
        <f ca="1"/>
        <v>-0.28178066623995901</v>
      </c>
      <c r="D171">
        <f ca="1"/>
        <v>1</v>
      </c>
      <c r="E171">
        <f ca="1"/>
        <v>94.216380087034167</v>
      </c>
      <c r="F171" s="10">
        <f ca="1"/>
        <v>0</v>
      </c>
      <c r="G171" s="7">
        <f ca="1"/>
        <v>0</v>
      </c>
      <c r="H171">
        <f ca="1"/>
        <v>-92.127810712624992</v>
      </c>
      <c r="I171">
        <f ca="1"/>
        <v>1</v>
      </c>
      <c r="J171">
        <f ca="1"/>
        <v>2.0885693744091753</v>
      </c>
      <c r="K171">
        <f ca="1"/>
        <v>0</v>
      </c>
      <c r="L171">
        <f ca="1"/>
        <v>5.7836199129658326</v>
      </c>
    </row>
    <row r="172" spans="2:12" x14ac:dyDescent="0.5">
      <c r="B172">
        <v>0.16200000000000001</v>
      </c>
      <c r="C172">
        <f ca="1"/>
        <v>-0.28521554023299656</v>
      </c>
      <c r="D172">
        <f ca="1"/>
        <v>1</v>
      </c>
      <c r="E172">
        <f ca="1"/>
        <v>94.149795020451961</v>
      </c>
      <c r="F172" s="10">
        <f ca="1"/>
        <v>0</v>
      </c>
      <c r="G172" s="7">
        <f ca="1"/>
        <v>0</v>
      </c>
      <c r="H172">
        <f ca="1"/>
        <v>-92.127810712624992</v>
      </c>
      <c r="I172">
        <f ca="1"/>
        <v>1</v>
      </c>
      <c r="J172">
        <f ca="1"/>
        <v>2.021984307826969</v>
      </c>
      <c r="K172">
        <f ca="1"/>
        <v>0</v>
      </c>
      <c r="L172">
        <f ca="1"/>
        <v>5.8502049795480389</v>
      </c>
    </row>
    <row r="173" spans="2:12" x14ac:dyDescent="0.5">
      <c r="B173">
        <v>0.16300000000000001</v>
      </c>
      <c r="C173">
        <f ca="1"/>
        <v>-0.28540974180552298</v>
      </c>
      <c r="D173">
        <f ca="1"/>
        <v>1</v>
      </c>
      <c r="E173">
        <f ca="1"/>
        <v>94.144255379881045</v>
      </c>
      <c r="F173" s="10">
        <f ca="1"/>
        <v>0</v>
      </c>
      <c r="G173" s="7">
        <f ca="1"/>
        <v>0</v>
      </c>
      <c r="H173">
        <f ca="1"/>
        <v>-92.127810712624992</v>
      </c>
      <c r="I173">
        <f ca="1"/>
        <v>1</v>
      </c>
      <c r="J173">
        <f ca="1"/>
        <v>2.016444667256053</v>
      </c>
      <c r="K173">
        <f ca="1"/>
        <v>0</v>
      </c>
      <c r="L173">
        <f ca="1"/>
        <v>5.8557446201189549</v>
      </c>
    </row>
    <row r="174" spans="2:12" x14ac:dyDescent="0.5">
      <c r="B174">
        <v>0.16400000000000001</v>
      </c>
      <c r="C174">
        <f ca="1"/>
        <v>-0.25751727555017107</v>
      </c>
      <c r="D174">
        <f ca="1"/>
        <v>1</v>
      </c>
      <c r="E174">
        <f ca="1"/>
        <v>94.669012666844736</v>
      </c>
      <c r="F174" s="10">
        <f ca="1"/>
        <v>0</v>
      </c>
      <c r="G174" s="7">
        <f ca="1"/>
        <v>0</v>
      </c>
      <c r="H174">
        <f ca="1"/>
        <v>-92.127810712624992</v>
      </c>
      <c r="I174">
        <f ca="1"/>
        <v>1</v>
      </c>
      <c r="J174">
        <f ca="1"/>
        <v>2.5412019542197442</v>
      </c>
      <c r="K174">
        <f ca="1"/>
        <v>0</v>
      </c>
      <c r="L174">
        <f ca="1"/>
        <v>5.3309873331552637</v>
      </c>
    </row>
    <row r="175" spans="2:12" x14ac:dyDescent="0.5">
      <c r="B175">
        <v>0.16500000000000001</v>
      </c>
      <c r="C175">
        <f ca="1"/>
        <v>-0.22897448127357764</v>
      </c>
      <c r="D175">
        <f ca="1"/>
        <v>1</v>
      </c>
      <c r="E175">
        <f ca="1"/>
        <v>95.209077556268809</v>
      </c>
      <c r="F175" s="10">
        <f ca="1"/>
        <v>0</v>
      </c>
      <c r="G175" s="7">
        <f ca="1"/>
        <v>0</v>
      </c>
      <c r="H175">
        <f ca="1"/>
        <v>-92.127810712624992</v>
      </c>
      <c r="I175">
        <f ca="1"/>
        <v>1</v>
      </c>
      <c r="J175">
        <f ca="1"/>
        <v>3.0812668436438173</v>
      </c>
      <c r="K175">
        <f ca="1"/>
        <v>0</v>
      </c>
      <c r="L175">
        <f ca="1"/>
        <v>4.7909224437311906</v>
      </c>
    </row>
    <row r="176" spans="2:12" x14ac:dyDescent="0.5">
      <c r="B176">
        <v>0.16600000000000001</v>
      </c>
      <c r="C176">
        <f ca="1"/>
        <v>-0.25235390545676584</v>
      </c>
      <c r="D176">
        <f ca="1"/>
        <v>1</v>
      </c>
      <c r="E176">
        <f ca="1"/>
        <v>94.763034795034415</v>
      </c>
      <c r="F176" s="10">
        <f ca="1"/>
        <v>0</v>
      </c>
      <c r="G176" s="7">
        <f ca="1"/>
        <v>0</v>
      </c>
      <c r="H176">
        <f ca="1"/>
        <v>-92.127810712624992</v>
      </c>
      <c r="I176">
        <f ca="1"/>
        <v>1</v>
      </c>
      <c r="J176">
        <f ca="1"/>
        <v>2.6352240824094224</v>
      </c>
      <c r="K176">
        <f ca="1"/>
        <v>0</v>
      </c>
      <c r="L176">
        <f ca="1"/>
        <v>5.2369652049655855</v>
      </c>
    </row>
    <row r="177" spans="2:12" x14ac:dyDescent="0.5">
      <c r="B177">
        <v>0.16700000000000001</v>
      </c>
      <c r="C177">
        <f ca="1"/>
        <v>-0.27890985061474372</v>
      </c>
      <c r="D177">
        <f ca="1"/>
        <v>1</v>
      </c>
      <c r="E177">
        <f ca="1"/>
        <v>94.2591794108464</v>
      </c>
      <c r="F177" s="10">
        <f ca="1"/>
        <v>0</v>
      </c>
      <c r="G177" s="7">
        <f ca="1"/>
        <v>0</v>
      </c>
      <c r="H177">
        <f ca="1"/>
        <v>-92.127810712624992</v>
      </c>
      <c r="I177">
        <f ca="1"/>
        <v>1</v>
      </c>
      <c r="J177">
        <f ca="1"/>
        <v>2.131368698221408</v>
      </c>
      <c r="K177">
        <f ca="1"/>
        <v>0</v>
      </c>
      <c r="L177">
        <f ca="1"/>
        <v>5.7408205891535999</v>
      </c>
    </row>
    <row r="178" spans="2:12" x14ac:dyDescent="0.5">
      <c r="B178">
        <v>0.16800000000000001</v>
      </c>
      <c r="C178">
        <f ca="1"/>
        <v>-0.30744941872516007</v>
      </c>
      <c r="D178">
        <f ca="1"/>
        <v>1</v>
      </c>
      <c r="E178">
        <f ca="1"/>
        <v>93.720814299454247</v>
      </c>
      <c r="F178" s="10">
        <f ca="1"/>
        <v>0</v>
      </c>
      <c r="G178" s="7">
        <f ca="1"/>
        <v>0</v>
      </c>
      <c r="H178">
        <f ca="1"/>
        <v>-92.127810712624992</v>
      </c>
      <c r="I178">
        <f ca="1"/>
        <v>1</v>
      </c>
      <c r="J178">
        <f ca="1"/>
        <v>1.5930035868292549</v>
      </c>
      <c r="K178">
        <f ca="1"/>
        <v>0</v>
      </c>
      <c r="L178">
        <f ca="1"/>
        <v>6.279185700545753</v>
      </c>
    </row>
    <row r="179" spans="2:12" x14ac:dyDescent="0.5">
      <c r="B179">
        <v>0.16900000000000001</v>
      </c>
      <c r="C179">
        <f ca="1"/>
        <v>-0.27016490579819941</v>
      </c>
      <c r="D179">
        <f ca="1"/>
        <v>1</v>
      </c>
      <c r="E179">
        <f ca="1"/>
        <v>94.420405035316293</v>
      </c>
      <c r="F179" s="10">
        <f ca="1"/>
        <v>0</v>
      </c>
      <c r="G179" s="7">
        <f ca="1"/>
        <v>0</v>
      </c>
      <c r="H179">
        <f ca="1"/>
        <v>-92.127810712624992</v>
      </c>
      <c r="I179">
        <f ca="1"/>
        <v>1</v>
      </c>
      <c r="J179">
        <f ca="1"/>
        <v>2.2925943226913006</v>
      </c>
      <c r="K179">
        <f ca="1"/>
        <v>0</v>
      </c>
      <c r="L179">
        <f ca="1"/>
        <v>5.5795949646837073</v>
      </c>
    </row>
    <row r="180" spans="2:12" x14ac:dyDescent="0.5">
      <c r="B180">
        <v>0.17</v>
      </c>
      <c r="C180">
        <f ca="1"/>
        <v>-0.23105589091617568</v>
      </c>
      <c r="D180">
        <f ca="1"/>
        <v>1</v>
      </c>
      <c r="E180">
        <f ca="1"/>
        <v>95.159935516760498</v>
      </c>
      <c r="F180" s="10">
        <f ca="1"/>
        <v>0</v>
      </c>
      <c r="G180" s="7">
        <f ca="1"/>
        <v>0</v>
      </c>
      <c r="H180">
        <f ca="1"/>
        <v>-92.127810712624992</v>
      </c>
      <c r="I180">
        <f ca="1"/>
        <v>1</v>
      </c>
      <c r="J180">
        <f ca="1"/>
        <v>3.0321248041355062</v>
      </c>
      <c r="K180">
        <f ca="1"/>
        <v>0</v>
      </c>
      <c r="L180">
        <f ca="1"/>
        <v>4.8400644832395017</v>
      </c>
    </row>
    <row r="181" spans="2:12" x14ac:dyDescent="0.5">
      <c r="B181">
        <v>0.17100000000000001</v>
      </c>
      <c r="C181">
        <f ca="1"/>
        <v>-0.24904084495133533</v>
      </c>
      <c r="D181">
        <f ca="1"/>
        <v>1</v>
      </c>
      <c r="E181">
        <f ca="1"/>
        <v>94.816364625743091</v>
      </c>
      <c r="F181" s="10">
        <f ca="1"/>
        <v>0</v>
      </c>
      <c r="G181" s="7">
        <f ca="1"/>
        <v>0</v>
      </c>
      <c r="H181">
        <f ca="1"/>
        <v>-92.127810712624992</v>
      </c>
      <c r="I181">
        <f ca="1"/>
        <v>1</v>
      </c>
      <c r="J181">
        <f ca="1"/>
        <v>2.6885539131180991</v>
      </c>
      <c r="K181">
        <f ca="1"/>
        <v>0</v>
      </c>
      <c r="L181">
        <f ca="1"/>
        <v>5.1836353742569088</v>
      </c>
    </row>
    <row r="182" spans="2:12" x14ac:dyDescent="0.5">
      <c r="B182">
        <v>0.17200000000000001</v>
      </c>
      <c r="C182">
        <f ca="1"/>
        <v>-0.30449923305736215</v>
      </c>
      <c r="D182">
        <f ca="1"/>
        <v>1</v>
      </c>
      <c r="E182">
        <f ca="1"/>
        <v>93.768627587174009</v>
      </c>
      <c r="F182" s="10">
        <f ca="1"/>
        <v>0</v>
      </c>
      <c r="G182" s="7">
        <f ca="1"/>
        <v>0</v>
      </c>
      <c r="H182">
        <f ca="1"/>
        <v>-92.127810712624992</v>
      </c>
      <c r="I182">
        <f ca="1"/>
        <v>1</v>
      </c>
      <c r="J182">
        <f ca="1"/>
        <v>1.6408168745490173</v>
      </c>
      <c r="K182">
        <f ca="1"/>
        <v>0</v>
      </c>
      <c r="L182">
        <f ca="1"/>
        <v>6.2313724128259906</v>
      </c>
    </row>
    <row r="183" spans="2:12" x14ac:dyDescent="0.5">
      <c r="B183">
        <v>0.17300000000000001</v>
      </c>
      <c r="C183">
        <f ca="1"/>
        <v>-0.30925853342481596</v>
      </c>
      <c r="D183">
        <f ca="1"/>
        <v>1</v>
      </c>
      <c r="E183">
        <f ca="1"/>
        <v>93.677541870331041</v>
      </c>
      <c r="F183" s="10">
        <f ca="1"/>
        <v>0</v>
      </c>
      <c r="G183" s="7">
        <f ca="1"/>
        <v>0</v>
      </c>
      <c r="H183">
        <f ca="1"/>
        <v>-92.127810712624992</v>
      </c>
      <c r="I183">
        <f ca="1"/>
        <v>1</v>
      </c>
      <c r="J183">
        <f ca="1"/>
        <v>1.5497311577060486</v>
      </c>
      <c r="K183">
        <f ca="1"/>
        <v>0</v>
      </c>
      <c r="L183">
        <f ca="1"/>
        <v>6.3224581296689593</v>
      </c>
    </row>
    <row r="184" spans="2:12" x14ac:dyDescent="0.5">
      <c r="B184">
        <v>0.17400000000000002</v>
      </c>
      <c r="C184">
        <f ca="1"/>
        <v>-0.29605465799394515</v>
      </c>
      <c r="D184">
        <f ca="1"/>
        <v>1</v>
      </c>
      <c r="E184">
        <f ca="1"/>
        <v>93.923371629747294</v>
      </c>
      <c r="F184" s="10">
        <f ca="1"/>
        <v>0</v>
      </c>
      <c r="G184" s="7">
        <f ca="1"/>
        <v>0</v>
      </c>
      <c r="H184">
        <f ca="1"/>
        <v>-92.127810712624992</v>
      </c>
      <c r="I184">
        <f ca="1"/>
        <v>1</v>
      </c>
      <c r="J184">
        <f ca="1"/>
        <v>1.7955609171223017</v>
      </c>
      <c r="K184">
        <f ca="1"/>
        <v>0</v>
      </c>
      <c r="L184">
        <f ca="1"/>
        <v>6.0766283702527062</v>
      </c>
    </row>
    <row r="185" spans="2:12" x14ac:dyDescent="0.5">
      <c r="B185">
        <v>0.17500000000000002</v>
      </c>
      <c r="C185">
        <f ca="1"/>
        <v>-0.27796485301808432</v>
      </c>
      <c r="D185">
        <f ca="1"/>
        <v>1</v>
      </c>
      <c r="E185">
        <f ca="1"/>
        <v>94.26191292137699</v>
      </c>
      <c r="F185" s="10">
        <f ca="1"/>
        <v>0</v>
      </c>
      <c r="G185" s="7">
        <f ca="1"/>
        <v>0</v>
      </c>
      <c r="H185">
        <f ca="1"/>
        <v>-92.127810712624992</v>
      </c>
      <c r="I185">
        <f ca="1"/>
        <v>1</v>
      </c>
      <c r="J185">
        <f ca="1"/>
        <v>2.1341022087519974</v>
      </c>
      <c r="K185">
        <f ca="1"/>
        <v>0</v>
      </c>
      <c r="L185">
        <f ca="1"/>
        <v>5.7380870786230105</v>
      </c>
    </row>
    <row r="186" spans="2:12" x14ac:dyDescent="0.5">
      <c r="B186">
        <v>0.17599999999999999</v>
      </c>
      <c r="C186">
        <f ca="1"/>
        <v>-0.2733477464771587</v>
      </c>
      <c r="D186">
        <f ca="1"/>
        <v>1</v>
      </c>
      <c r="E186">
        <f ca="1"/>
        <v>94.347109620522559</v>
      </c>
      <c r="F186" s="10">
        <f ca="1"/>
        <v>0</v>
      </c>
      <c r="G186" s="7">
        <f ca="1"/>
        <v>0</v>
      </c>
      <c r="H186">
        <f ca="1"/>
        <v>-92.127810712624992</v>
      </c>
      <c r="I186">
        <f ca="1"/>
        <v>1</v>
      </c>
      <c r="J186">
        <f ca="1"/>
        <v>2.2192989078975671</v>
      </c>
      <c r="K186">
        <f ca="1"/>
        <v>0</v>
      </c>
      <c r="L186">
        <f ca="1"/>
        <v>5.6528903794774408</v>
      </c>
    </row>
    <row r="187" spans="2:12" x14ac:dyDescent="0.5">
      <c r="B187">
        <v>0.17699999999999999</v>
      </c>
      <c r="C187">
        <f ca="1"/>
        <v>-0.30322109591280066</v>
      </c>
      <c r="D187">
        <f ca="1"/>
        <v>1</v>
      </c>
      <c r="E187">
        <f ca="1"/>
        <v>93.783221693190171</v>
      </c>
      <c r="F187">
        <f ca="1"/>
        <v>0</v>
      </c>
      <c r="G187" s="7">
        <f ca="1"/>
        <v>0</v>
      </c>
      <c r="H187">
        <f ca="1"/>
        <v>-92.127810712624992</v>
      </c>
      <c r="I187">
        <f ca="1"/>
        <v>1</v>
      </c>
      <c r="J187">
        <f ca="1"/>
        <v>1.6554109805651791</v>
      </c>
      <c r="K187">
        <f ca="1"/>
        <v>0</v>
      </c>
      <c r="L187">
        <f ca="1"/>
        <v>6.2167783068098288</v>
      </c>
    </row>
    <row r="188" spans="2:12" x14ac:dyDescent="0.5">
      <c r="B188">
        <v>0.17799999999999999</v>
      </c>
      <c r="C188">
        <f ca="1"/>
        <v>-0.22312652214139483</v>
      </c>
      <c r="D188">
        <f ca="1"/>
        <v>1</v>
      </c>
      <c r="E188">
        <f ca="1"/>
        <v>95.295718352923203</v>
      </c>
      <c r="F188">
        <f ca="1"/>
        <v>0</v>
      </c>
      <c r="G188" s="7">
        <f ca="1"/>
        <v>0</v>
      </c>
      <c r="H188">
        <f ca="1"/>
        <v>-92.127810712624992</v>
      </c>
      <c r="I188">
        <f ca="1"/>
        <v>1</v>
      </c>
      <c r="J188">
        <f ca="1"/>
        <v>3.1679076402982105</v>
      </c>
      <c r="K188">
        <f ca="1"/>
        <v>0</v>
      </c>
      <c r="L188">
        <f ca="1"/>
        <v>4.7042816470767974</v>
      </c>
    </row>
    <row r="189" spans="2:12" x14ac:dyDescent="0.5">
      <c r="B189">
        <v>0.17899999999999999</v>
      </c>
      <c r="C189">
        <f ca="1"/>
        <v>-0.23011849891226988</v>
      </c>
      <c r="D189">
        <f ca="1"/>
        <v>1</v>
      </c>
      <c r="E189">
        <f ca="1"/>
        <v>95.160647163557584</v>
      </c>
      <c r="F189">
        <f ca="1"/>
        <v>0</v>
      </c>
      <c r="G189" s="7">
        <f ca="1"/>
        <v>0</v>
      </c>
      <c r="H189">
        <f ca="1"/>
        <v>-92.127810712624992</v>
      </c>
      <c r="I189">
        <f ca="1"/>
        <v>1</v>
      </c>
      <c r="J189">
        <f ca="1"/>
        <v>3.0328364509325922</v>
      </c>
      <c r="K189">
        <f ca="1"/>
        <v>0</v>
      </c>
      <c r="L189">
        <f ca="1"/>
        <v>4.8393528364424157</v>
      </c>
    </row>
    <row r="190" spans="2:12" x14ac:dyDescent="0.5">
      <c r="B190">
        <v>0.18</v>
      </c>
      <c r="C190">
        <f ca="1"/>
        <v>-0.23409514998508568</v>
      </c>
      <c r="D190">
        <f ca="1"/>
        <v>1</v>
      </c>
      <c r="E190">
        <f ca="1"/>
        <v>95.083091433749019</v>
      </c>
      <c r="F190">
        <f ca="1"/>
        <v>0</v>
      </c>
      <c r="G190" s="7">
        <f ca="1"/>
        <v>0</v>
      </c>
      <c r="H190">
        <f ca="1"/>
        <v>-92.127810712624992</v>
      </c>
      <c r="I190">
        <f ca="1"/>
        <v>1</v>
      </c>
      <c r="J190">
        <f ca="1"/>
        <v>2.9552807211240264</v>
      </c>
      <c r="K190">
        <f ca="1"/>
        <v>0</v>
      </c>
      <c r="L190">
        <f ca="1"/>
        <v>4.9169085662509815</v>
      </c>
    </row>
    <row r="191" spans="2:12" x14ac:dyDescent="0.5">
      <c r="B191">
        <v>0.18099999999999999</v>
      </c>
      <c r="C191">
        <f ca="1"/>
        <v>-0.18203102404591642</v>
      </c>
      <c r="D191">
        <f ca="1"/>
        <v>1</v>
      </c>
      <c r="E191">
        <f ca="1"/>
        <v>96.076426217828526</v>
      </c>
      <c r="F191">
        <f ca="1"/>
        <v>0</v>
      </c>
      <c r="G191" s="7">
        <f ca="1"/>
        <v>0</v>
      </c>
      <c r="H191">
        <f ca="1"/>
        <v>-92.127810712624992</v>
      </c>
      <c r="I191">
        <f ca="1"/>
        <v>1</v>
      </c>
      <c r="J191">
        <f ca="1"/>
        <v>3.9486155052035343</v>
      </c>
      <c r="K191">
        <f ca="1"/>
        <v>0</v>
      </c>
      <c r="L191">
        <f ca="1"/>
        <v>3.9235737821714736</v>
      </c>
    </row>
    <row r="192" spans="2:12" x14ac:dyDescent="0.5">
      <c r="B192">
        <v>0.182</v>
      </c>
      <c r="C192">
        <f ca="1"/>
        <v>-0.2234022724898834</v>
      </c>
      <c r="D192">
        <f ca="1"/>
        <v>1</v>
      </c>
      <c r="E192">
        <f ca="1"/>
        <v>95.282840000220659</v>
      </c>
      <c r="F192">
        <f ca="1"/>
        <v>0</v>
      </c>
      <c r="G192" s="7">
        <f ca="1"/>
        <v>0</v>
      </c>
      <c r="H192">
        <f ca="1"/>
        <v>-92.127810712624992</v>
      </c>
      <c r="I192">
        <f ca="1"/>
        <v>1</v>
      </c>
      <c r="J192">
        <f ca="1"/>
        <v>3.1550292875956671</v>
      </c>
      <c r="K192">
        <f ca="1"/>
        <v>0</v>
      </c>
      <c r="L192">
        <f ca="1"/>
        <v>4.7171599997793408</v>
      </c>
    </row>
    <row r="193" spans="2:12" x14ac:dyDescent="0.5">
      <c r="B193">
        <v>0.183</v>
      </c>
      <c r="C193">
        <f ca="1"/>
        <v>-0.20508709727087268</v>
      </c>
      <c r="D193">
        <f ca="1"/>
        <v>1</v>
      </c>
      <c r="E193">
        <f ca="1"/>
        <v>95.630591776763879</v>
      </c>
      <c r="F193">
        <f ca="1"/>
        <v>0</v>
      </c>
      <c r="G193" s="7">
        <f ca="1"/>
        <v>0</v>
      </c>
      <c r="H193">
        <f ca="1"/>
        <v>-92.127810712624992</v>
      </c>
      <c r="I193">
        <f ca="1"/>
        <v>1</v>
      </c>
      <c r="J193">
        <f ca="1"/>
        <v>3.5027810641388868</v>
      </c>
      <c r="K193">
        <f ca="1"/>
        <v>0</v>
      </c>
      <c r="L193">
        <f ca="1"/>
        <v>4.3694082232361211</v>
      </c>
    </row>
    <row r="194" spans="2:12" x14ac:dyDescent="0.5">
      <c r="B194">
        <v>0.184</v>
      </c>
      <c r="C194">
        <f ca="1"/>
        <v>-0.24584997867059621</v>
      </c>
      <c r="D194">
        <f ca="1"/>
        <v>1</v>
      </c>
      <c r="E194">
        <f ca="1"/>
        <v>94.852228420026208</v>
      </c>
      <c r="F194">
        <f ca="1"/>
        <v>0</v>
      </c>
      <c r="G194" s="7">
        <f ca="1"/>
        <v>0</v>
      </c>
      <c r="H194">
        <f ca="1"/>
        <v>-92.127810712624992</v>
      </c>
      <c r="I194">
        <f ca="1"/>
        <v>1</v>
      </c>
      <c r="J194">
        <f ca="1"/>
        <v>2.7244177074012157</v>
      </c>
      <c r="K194">
        <f ca="1"/>
        <v>0</v>
      </c>
      <c r="L194">
        <f ca="1"/>
        <v>5.1477715799737922</v>
      </c>
    </row>
    <row r="195" spans="2:12" x14ac:dyDescent="0.5">
      <c r="B195">
        <v>0.185</v>
      </c>
      <c r="C195">
        <f ca="1"/>
        <v>-0.25268143645554769</v>
      </c>
      <c r="D195">
        <f ca="1"/>
        <v>1</v>
      </c>
      <c r="E195">
        <f ca="1"/>
        <v>94.720826678212475</v>
      </c>
      <c r="F195">
        <f ca="1"/>
        <v>0</v>
      </c>
      <c r="G195" s="7">
        <f ca="1"/>
        <v>0</v>
      </c>
      <c r="H195">
        <f ca="1"/>
        <v>-92.127810712624992</v>
      </c>
      <c r="I195">
        <f ca="1"/>
        <v>1</v>
      </c>
      <c r="J195">
        <f ca="1"/>
        <v>2.5930159655874832</v>
      </c>
      <c r="K195">
        <f ca="1"/>
        <v>0</v>
      </c>
      <c r="L195">
        <f ca="1"/>
        <v>5.2791733217875247</v>
      </c>
    </row>
    <row r="196" spans="2:12" x14ac:dyDescent="0.5">
      <c r="B196">
        <v>0.186</v>
      </c>
      <c r="C196">
        <f ca="1"/>
        <v>-0.35112956321036309</v>
      </c>
      <c r="D196">
        <f ca="1"/>
        <v>1</v>
      </c>
      <c r="E196">
        <f ca="1"/>
        <v>92.872192459800118</v>
      </c>
      <c r="F196">
        <f ca="1"/>
        <v>0</v>
      </c>
      <c r="G196" s="7">
        <f ca="1"/>
        <v>0</v>
      </c>
      <c r="H196">
        <f ca="1"/>
        <v>-92.127810712624992</v>
      </c>
      <c r="I196">
        <f ca="1"/>
        <v>1</v>
      </c>
      <c r="J196">
        <f ca="1"/>
        <v>0.74438174717512595</v>
      </c>
      <c r="K196">
        <f ca="1"/>
        <v>0</v>
      </c>
      <c r="L196">
        <f ca="1"/>
        <v>7.1278075401998819</v>
      </c>
    </row>
    <row r="197" spans="2:12" x14ac:dyDescent="0.5">
      <c r="B197">
        <v>0.187</v>
      </c>
      <c r="C197">
        <f ca="1"/>
        <v>-0.35466982142000619</v>
      </c>
      <c r="D197">
        <f ca="1"/>
        <v>1</v>
      </c>
      <c r="E197">
        <f ca="1"/>
        <v>92.804601315497663</v>
      </c>
      <c r="F197">
        <f ca="1"/>
        <v>0</v>
      </c>
      <c r="G197" s="7">
        <f ca="1"/>
        <v>0</v>
      </c>
      <c r="H197">
        <f ca="1"/>
        <v>-92.127810712624992</v>
      </c>
      <c r="I197">
        <f ca="1"/>
        <v>1</v>
      </c>
      <c r="J197">
        <f ca="1"/>
        <v>0.67679060287267134</v>
      </c>
      <c r="K197">
        <f ca="1"/>
        <v>0</v>
      </c>
      <c r="L197">
        <f ca="1"/>
        <v>7.1953986845023366</v>
      </c>
    </row>
    <row r="198" spans="2:12" x14ac:dyDescent="0.5">
      <c r="B198">
        <v>0.188</v>
      </c>
      <c r="C198">
        <f ca="1"/>
        <v>-0.32588933640163981</v>
      </c>
      <c r="D198">
        <f ca="1"/>
        <v>1</v>
      </c>
      <c r="E198">
        <f ca="1"/>
        <v>93.338467200475705</v>
      </c>
      <c r="F198">
        <f ca="1"/>
        <v>0</v>
      </c>
      <c r="G198" s="7">
        <f ca="1"/>
        <v>0</v>
      </c>
      <c r="H198">
        <f ca="1"/>
        <v>-92.127810712624992</v>
      </c>
      <c r="I198">
        <f ca="1"/>
        <v>1</v>
      </c>
      <c r="J198">
        <f ca="1"/>
        <v>1.2106564878507129</v>
      </c>
      <c r="K198">
        <f ca="1"/>
        <v>0</v>
      </c>
      <c r="L198">
        <f ca="1"/>
        <v>6.661532799524295</v>
      </c>
    </row>
    <row r="199" spans="2:12" x14ac:dyDescent="0.5">
      <c r="B199">
        <v>0.189</v>
      </c>
      <c r="C199">
        <f ca="1"/>
        <v>-0.30698228427331264</v>
      </c>
      <c r="D199">
        <f ca="1"/>
        <v>1</v>
      </c>
      <c r="E199">
        <f ca="1"/>
        <v>93.690212598809609</v>
      </c>
      <c r="F199">
        <f ca="1"/>
        <v>0</v>
      </c>
      <c r="G199" s="7">
        <f ca="1"/>
        <v>0</v>
      </c>
      <c r="H199">
        <f ca="1"/>
        <v>-92.127810712624992</v>
      </c>
      <c r="I199">
        <f ca="1"/>
        <v>1</v>
      </c>
      <c r="J199">
        <f ca="1"/>
        <v>1.5624018861846167</v>
      </c>
      <c r="K199">
        <f ca="1"/>
        <v>0</v>
      </c>
      <c r="L199">
        <f ca="1"/>
        <v>6.3097874011903912</v>
      </c>
    </row>
    <row r="200" spans="2:12" x14ac:dyDescent="0.5">
      <c r="B200">
        <v>0.19</v>
      </c>
      <c r="C200">
        <f ca="1"/>
        <v>-0.29349253931953467</v>
      </c>
      <c r="D200">
        <f ca="1"/>
        <v>1</v>
      </c>
      <c r="E200">
        <f ca="1"/>
        <v>93.941446454665893</v>
      </c>
      <c r="F200">
        <f ca="1"/>
        <v>0</v>
      </c>
      <c r="G200" s="7">
        <f ca="1"/>
        <v>0</v>
      </c>
      <c r="H200">
        <f ca="1"/>
        <v>-92.127810712624992</v>
      </c>
      <c r="I200">
        <f ca="1"/>
        <v>1</v>
      </c>
      <c r="J200">
        <f ca="1"/>
        <v>1.8136357420409013</v>
      </c>
      <c r="K200">
        <f ca="1"/>
        <v>0</v>
      </c>
      <c r="L200">
        <f ca="1"/>
        <v>6.0585535453341066</v>
      </c>
    </row>
    <row r="201" spans="2:12" x14ac:dyDescent="0.5">
      <c r="B201">
        <v>0.191</v>
      </c>
      <c r="C201">
        <f ca="1"/>
        <v>-0.27738524294470046</v>
      </c>
      <c r="D201">
        <f ca="1"/>
        <v>1</v>
      </c>
      <c r="E201">
        <f ca="1"/>
        <v>94.242678102863536</v>
      </c>
      <c r="F201">
        <f ca="1"/>
        <v>0</v>
      </c>
      <c r="G201" s="7">
        <f ca="1"/>
        <v>0</v>
      </c>
      <c r="H201">
        <f ca="1"/>
        <v>-92.127810712624992</v>
      </c>
      <c r="I201">
        <f ca="1"/>
        <v>1</v>
      </c>
      <c r="J201">
        <f ca="1"/>
        <v>2.114867390238544</v>
      </c>
      <c r="K201">
        <f ca="1"/>
        <v>0</v>
      </c>
      <c r="L201">
        <f ca="1"/>
        <v>5.7573218971364639</v>
      </c>
    </row>
    <row r="202" spans="2:12" x14ac:dyDescent="0.5">
      <c r="B202">
        <v>0.192</v>
      </c>
      <c r="C202">
        <f ca="1"/>
        <v>-0.29843858195870654</v>
      </c>
      <c r="D202">
        <f ca="1"/>
        <v>1</v>
      </c>
      <c r="E202">
        <f ca="1"/>
        <v>93.844810854479817</v>
      </c>
      <c r="F202">
        <f ca="1"/>
        <v>0</v>
      </c>
      <c r="G202" s="7">
        <f ca="1"/>
        <v>0</v>
      </c>
      <c r="H202">
        <f ca="1"/>
        <v>-92.127810712624992</v>
      </c>
      <c r="I202">
        <f ca="1"/>
        <v>1</v>
      </c>
      <c r="J202">
        <f ca="1"/>
        <v>1.7170001418548253</v>
      </c>
      <c r="K202">
        <f ca="1"/>
        <v>0</v>
      </c>
      <c r="L202">
        <f ca="1"/>
        <v>6.1551891455201826</v>
      </c>
    </row>
    <row r="203" spans="2:12" x14ac:dyDescent="0.5">
      <c r="B203">
        <v>0.193</v>
      </c>
      <c r="C203">
        <f ca="1"/>
        <v>-0.33558322789956385</v>
      </c>
      <c r="D203">
        <f ca="1"/>
        <v>1</v>
      </c>
      <c r="E203">
        <f ca="1"/>
        <v>93.148364613394122</v>
      </c>
      <c r="F203">
        <f ca="1"/>
        <v>0</v>
      </c>
      <c r="G203" s="7">
        <f ca="1"/>
        <v>0</v>
      </c>
      <c r="H203">
        <f ca="1"/>
        <v>-92.127810712624992</v>
      </c>
      <c r="I203">
        <f ca="1"/>
        <v>1</v>
      </c>
      <c r="J203">
        <f ca="1"/>
        <v>1.02055390076913</v>
      </c>
      <c r="K203">
        <f ca="1"/>
        <v>0</v>
      </c>
      <c r="L203">
        <f ca="1"/>
        <v>6.8516353866058779</v>
      </c>
    </row>
    <row r="204" spans="2:12" x14ac:dyDescent="0.5">
      <c r="B204">
        <v>0.19400000000000001</v>
      </c>
      <c r="C204">
        <f ca="1"/>
        <v>-0.34232251922356421</v>
      </c>
      <c r="D204">
        <f ca="1"/>
        <v>1</v>
      </c>
      <c r="E204">
        <f ca="1"/>
        <v>93.021037955268639</v>
      </c>
      <c r="F204">
        <f ca="1"/>
        <v>0</v>
      </c>
      <c r="G204" s="7">
        <f ca="1"/>
        <v>0</v>
      </c>
      <c r="H204">
        <f ca="1"/>
        <v>-92.127810712624992</v>
      </c>
      <c r="I204">
        <f ca="1"/>
        <v>1</v>
      </c>
      <c r="J204">
        <f ca="1"/>
        <v>0.89322724264364695</v>
      </c>
      <c r="K204">
        <f ca="1"/>
        <v>0</v>
      </c>
      <c r="L204">
        <f ca="1"/>
        <v>6.9789620447313609</v>
      </c>
    </row>
    <row r="205" spans="2:12" x14ac:dyDescent="0.5">
      <c r="B205">
        <v>0.19500000000000001</v>
      </c>
      <c r="C205">
        <f ca="1"/>
        <v>-0.3071529290834335</v>
      </c>
      <c r="D205">
        <f ca="1"/>
        <v>1</v>
      </c>
      <c r="E205">
        <f ca="1"/>
        <v>93.675773336372785</v>
      </c>
      <c r="F205">
        <f ca="1"/>
        <v>0</v>
      </c>
      <c r="G205" s="7">
        <f ca="1"/>
        <v>0</v>
      </c>
      <c r="H205">
        <f ca="1"/>
        <v>-92.127810712624992</v>
      </c>
      <c r="I205">
        <f ca="1"/>
        <v>1</v>
      </c>
      <c r="J205">
        <f ca="1"/>
        <v>1.547962623747793</v>
      </c>
      <c r="K205">
        <f ca="1"/>
        <v>0</v>
      </c>
      <c r="L205">
        <f ca="1"/>
        <v>6.3242266636272149</v>
      </c>
    </row>
    <row r="206" spans="2:12" x14ac:dyDescent="0.5">
      <c r="B206">
        <v>0.19600000000000001</v>
      </c>
      <c r="C206">
        <f ca="1"/>
        <v>-0.32320399082424056</v>
      </c>
      <c r="D206">
        <f ca="1"/>
        <v>1</v>
      </c>
      <c r="E206">
        <f ca="1"/>
        <v>93.37366889006114</v>
      </c>
      <c r="F206">
        <f ca="1"/>
        <v>0</v>
      </c>
      <c r="G206" s="7">
        <f ca="1"/>
        <v>0</v>
      </c>
      <c r="H206">
        <f ca="1"/>
        <v>-92.127810712624992</v>
      </c>
      <c r="I206">
        <f ca="1"/>
        <v>1</v>
      </c>
      <c r="J206">
        <f ca="1"/>
        <v>1.2458581774361477</v>
      </c>
      <c r="K206">
        <f ca="1"/>
        <v>0</v>
      </c>
      <c r="L206">
        <f ca="1"/>
        <v>6.6263311099388602</v>
      </c>
    </row>
    <row r="207" spans="2:12" x14ac:dyDescent="0.5">
      <c r="B207">
        <v>0.19700000000000001</v>
      </c>
      <c r="C207">
        <f ca="1"/>
        <v>-0.31667931920826353</v>
      </c>
      <c r="D207">
        <f ca="1"/>
        <v>1</v>
      </c>
      <c r="E207">
        <f ca="1"/>
        <v>93.493725037714782</v>
      </c>
      <c r="F207">
        <f ca="1"/>
        <v>0</v>
      </c>
      <c r="G207" s="7">
        <f ca="1"/>
        <v>0</v>
      </c>
      <c r="H207">
        <f ca="1"/>
        <v>-92.127810712624992</v>
      </c>
      <c r="I207">
        <f ca="1"/>
        <v>1</v>
      </c>
      <c r="J207">
        <f ca="1"/>
        <v>1.3659143250897898</v>
      </c>
      <c r="K207">
        <f ca="1"/>
        <v>0</v>
      </c>
      <c r="L207">
        <f ca="1"/>
        <v>6.5062749622852181</v>
      </c>
    </row>
    <row r="208" spans="2:12" x14ac:dyDescent="0.5">
      <c r="B208">
        <v>0.19800000000000001</v>
      </c>
      <c r="C208">
        <f ca="1"/>
        <v>-0.30950092162780712</v>
      </c>
      <c r="D208">
        <f ca="1"/>
        <v>1</v>
      </c>
      <c r="E208">
        <f ca="1"/>
        <v>93.626175921013996</v>
      </c>
      <c r="F208">
        <f ca="1"/>
        <v>0</v>
      </c>
      <c r="G208" s="7">
        <f ca="1"/>
        <v>0</v>
      </c>
      <c r="H208">
        <f ca="1"/>
        <v>-92.127810712624992</v>
      </c>
      <c r="I208">
        <f ca="1"/>
        <v>1</v>
      </c>
      <c r="J208">
        <f ca="1"/>
        <v>1.4983652083890036</v>
      </c>
      <c r="K208">
        <f ca="1"/>
        <v>0</v>
      </c>
      <c r="L208">
        <f ca="1"/>
        <v>6.3738240789860043</v>
      </c>
    </row>
    <row r="209" spans="2:12" x14ac:dyDescent="0.5">
      <c r="B209">
        <v>0.19900000000000001</v>
      </c>
      <c r="C209">
        <f ca="1"/>
        <v>-0.35384299391458407</v>
      </c>
      <c r="D209">
        <f ca="1"/>
        <v>1</v>
      </c>
      <c r="E209">
        <f ca="1"/>
        <v>92.797675149050107</v>
      </c>
      <c r="F209">
        <f ca="1"/>
        <v>0</v>
      </c>
      <c r="G209">
        <f ca="1"/>
        <v>0</v>
      </c>
      <c r="H209">
        <f ca="1"/>
        <v>-92.127810712624992</v>
      </c>
      <c r="I209">
        <f ca="1"/>
        <v>1</v>
      </c>
      <c r="J209">
        <f ca="1"/>
        <v>0.66986443642511517</v>
      </c>
      <c r="K209">
        <f ca="1"/>
        <v>0</v>
      </c>
      <c r="L209">
        <f ca="1"/>
        <v>7.2023248509498927</v>
      </c>
    </row>
    <row r="210" spans="2:12" x14ac:dyDescent="0.5">
      <c r="B210">
        <v>0.2</v>
      </c>
      <c r="C210">
        <f ca="1"/>
        <v>-0.37230766872093524</v>
      </c>
      <c r="D210">
        <f ca="1"/>
        <v>1</v>
      </c>
      <c r="E210">
        <f ca="1"/>
        <v>92.453762274826985</v>
      </c>
      <c r="F210">
        <f ca="1"/>
        <v>0</v>
      </c>
      <c r="G210">
        <f ca="1"/>
        <v>0</v>
      </c>
      <c r="H210">
        <f ca="1"/>
        <v>-92.127810712624992</v>
      </c>
      <c r="I210">
        <f ca="1"/>
        <v>1</v>
      </c>
      <c r="J210">
        <f ca="1"/>
        <v>0.32595156220199328</v>
      </c>
      <c r="K210">
        <f ca="1"/>
        <v>0</v>
      </c>
      <c r="L210">
        <f ca="1"/>
        <v>7.5462377251730146</v>
      </c>
    </row>
    <row r="211" spans="2:12" x14ac:dyDescent="0.5">
      <c r="B211">
        <v>0.20100000000000001</v>
      </c>
      <c r="C211">
        <f ca="1"/>
        <v>-0.41854259542142402</v>
      </c>
      <c r="D211">
        <f ca="1"/>
        <v>1</v>
      </c>
      <c r="E211">
        <f ca="1"/>
        <v>91.600952207442134</v>
      </c>
      <c r="F211">
        <f ca="1"/>
        <v>0</v>
      </c>
      <c r="G211">
        <f ca="1"/>
        <v>0</v>
      </c>
      <c r="H211">
        <f ca="1"/>
        <v>-92.127810712624992</v>
      </c>
      <c r="I211">
        <f ca="1"/>
        <v>1</v>
      </c>
      <c r="J211">
        <f ca="1"/>
        <v>-0.52685850518285804</v>
      </c>
      <c r="K211">
        <f ca="1"/>
        <v>0</v>
      </c>
      <c r="L211">
        <f ca="1"/>
        <v>8.3990477925578659</v>
      </c>
    </row>
    <row r="212" spans="2:12" x14ac:dyDescent="0.5">
      <c r="B212">
        <v>0.20200000000000001</v>
      </c>
      <c r="C212">
        <f ca="1"/>
        <v>-0.40877564988500209</v>
      </c>
      <c r="D212">
        <f ca="1"/>
        <v>1</v>
      </c>
      <c r="E212">
        <f ca="1"/>
        <v>91.778223802922739</v>
      </c>
      <c r="F212">
        <f ca="1"/>
        <v>0</v>
      </c>
      <c r="G212">
        <f ca="1"/>
        <v>0</v>
      </c>
      <c r="H212">
        <f ca="1"/>
        <v>-92.127810712624992</v>
      </c>
      <c r="I212">
        <f ca="1"/>
        <v>1</v>
      </c>
      <c r="J212">
        <f ca="1"/>
        <v>-0.34958690970225348</v>
      </c>
      <c r="K212">
        <f ca="1"/>
        <v>0</v>
      </c>
      <c r="L212">
        <f ca="1"/>
        <v>8.2217761970772614</v>
      </c>
    </row>
    <row r="213" spans="2:12" x14ac:dyDescent="0.5">
      <c r="B213">
        <v>0.20300000000000001</v>
      </c>
      <c r="C213">
        <f ca="1"/>
        <v>-0.46257127077651922</v>
      </c>
      <c r="D213">
        <f ca="1"/>
        <v>1</v>
      </c>
      <c r="E213">
        <f ca="1"/>
        <v>90.794247659497188</v>
      </c>
      <c r="F213">
        <f ca="1"/>
        <v>0</v>
      </c>
      <c r="G213">
        <f ca="1"/>
        <v>0</v>
      </c>
      <c r="H213">
        <f ca="1"/>
        <v>-92.127810712624992</v>
      </c>
      <c r="I213">
        <f ca="1"/>
        <v>1</v>
      </c>
      <c r="J213">
        <f ca="1"/>
        <v>-1.3335630531278042</v>
      </c>
      <c r="K213">
        <f ca="1"/>
        <v>0</v>
      </c>
      <c r="L213">
        <f ca="1"/>
        <v>9.2057523405028121</v>
      </c>
    </row>
    <row r="214" spans="2:12" x14ac:dyDescent="0.5">
      <c r="B214">
        <v>0.20400000000000001</v>
      </c>
      <c r="C214">
        <f ca="1"/>
        <v>-0.4473946653328385</v>
      </c>
      <c r="D214">
        <f ca="1"/>
        <v>1</v>
      </c>
      <c r="E214">
        <f ca="1"/>
        <v>91.068434642350638</v>
      </c>
      <c r="F214">
        <f ca="1"/>
        <v>0</v>
      </c>
      <c r="G214">
        <f ca="1"/>
        <v>0</v>
      </c>
      <c r="H214">
        <f ca="1"/>
        <v>-92.127810712624992</v>
      </c>
      <c r="I214">
        <f ca="1"/>
        <v>1</v>
      </c>
      <c r="J214">
        <f ca="1"/>
        <v>-1.0593760702743538</v>
      </c>
      <c r="K214">
        <f ca="1"/>
        <v>0</v>
      </c>
      <c r="L214">
        <f ca="1"/>
        <v>8.9315653576493617</v>
      </c>
    </row>
    <row r="215" spans="2:12" x14ac:dyDescent="0.5">
      <c r="B215">
        <v>0.20500000000000002</v>
      </c>
      <c r="C215">
        <f ca="1"/>
        <v>-0.47274171923924418</v>
      </c>
      <c r="D215">
        <f ca="1"/>
        <v>1</v>
      </c>
      <c r="E215">
        <f ca="1"/>
        <v>90.606127402865582</v>
      </c>
      <c r="F215">
        <f ca="1"/>
        <v>0</v>
      </c>
      <c r="G215">
        <f ca="1"/>
        <v>0</v>
      </c>
      <c r="H215">
        <f ca="1"/>
        <v>-92.127810712624992</v>
      </c>
      <c r="I215">
        <f ca="1"/>
        <v>1</v>
      </c>
      <c r="J215">
        <f ca="1"/>
        <v>-1.5216833097594105</v>
      </c>
      <c r="K215">
        <f ca="1"/>
        <v>0</v>
      </c>
      <c r="L215">
        <f ca="1"/>
        <v>9.3938725971344184</v>
      </c>
    </row>
    <row r="216" spans="2:12" x14ac:dyDescent="0.5">
      <c r="B216">
        <v>0.20600000000000002</v>
      </c>
      <c r="C216">
        <f ca="1"/>
        <v>-0.45620509176946183</v>
      </c>
      <c r="D216">
        <f ca="1"/>
        <v>1</v>
      </c>
      <c r="E216">
        <f ca="1"/>
        <v>90.904469340244503</v>
      </c>
      <c r="F216">
        <f ca="1"/>
        <v>0</v>
      </c>
      <c r="G216">
        <f ca="1"/>
        <v>0</v>
      </c>
      <c r="H216">
        <f ca="1"/>
        <v>-92.127810712624992</v>
      </c>
      <c r="I216">
        <f ca="1"/>
        <v>1</v>
      </c>
      <c r="J216">
        <f ca="1"/>
        <v>-1.2233413723804887</v>
      </c>
      <c r="K216">
        <f ca="1"/>
        <v>0</v>
      </c>
      <c r="L216">
        <f ca="1"/>
        <v>9.0955306597554966</v>
      </c>
    </row>
    <row r="217" spans="2:12" x14ac:dyDescent="0.5">
      <c r="B217">
        <v>0.20700000000000002</v>
      </c>
      <c r="C217">
        <f ca="1"/>
        <v>-0.46695416649734967</v>
      </c>
      <c r="D217">
        <f ca="1"/>
        <v>1</v>
      </c>
      <c r="E217">
        <f ca="1"/>
        <v>90.70743730288379</v>
      </c>
      <c r="F217">
        <f ca="1"/>
        <v>0</v>
      </c>
      <c r="G217">
        <f ca="1"/>
        <v>0</v>
      </c>
      <c r="H217">
        <f ca="1"/>
        <v>-92.127810712624992</v>
      </c>
      <c r="I217">
        <f ca="1"/>
        <v>1</v>
      </c>
      <c r="J217">
        <f ca="1"/>
        <v>-1.4203734097412024</v>
      </c>
      <c r="K217">
        <f ca="1"/>
        <v>0</v>
      </c>
      <c r="L217">
        <f ca="1"/>
        <v>9.2925626971162103</v>
      </c>
    </row>
    <row r="218" spans="2:12" x14ac:dyDescent="0.5">
      <c r="B218">
        <v>0.20800000000000002</v>
      </c>
      <c r="C218">
        <f ca="1"/>
        <v>-0.44220086178123219</v>
      </c>
      <c r="D218">
        <f ca="1"/>
        <v>1</v>
      </c>
      <c r="E218">
        <f ca="1"/>
        <v>91.15578934887489</v>
      </c>
      <c r="F218">
        <f ca="1"/>
        <v>0</v>
      </c>
      <c r="G218">
        <f ca="1"/>
        <v>0</v>
      </c>
      <c r="H218">
        <f ca="1"/>
        <v>-92.127810712624992</v>
      </c>
      <c r="I218">
        <f ca="1"/>
        <v>1</v>
      </c>
      <c r="J218">
        <f ca="1"/>
        <v>-0.97202136375010184</v>
      </c>
      <c r="K218">
        <f ca="1"/>
        <v>0</v>
      </c>
      <c r="L218">
        <f ca="1"/>
        <v>8.8442106511251097</v>
      </c>
    </row>
    <row r="219" spans="2:12" x14ac:dyDescent="0.5">
      <c r="B219">
        <v>0.20899999999999999</v>
      </c>
      <c r="C219">
        <f ca="1"/>
        <v>-0.41526641901526684</v>
      </c>
      <c r="D219">
        <f ca="1"/>
        <v>1</v>
      </c>
      <c r="E219">
        <f ca="1"/>
        <v>91.646327465556624</v>
      </c>
      <c r="F219">
        <f ca="1"/>
        <v>0</v>
      </c>
      <c r="G219">
        <f ca="1"/>
        <v>0</v>
      </c>
      <c r="H219">
        <f ca="1"/>
        <v>-92.127810712624992</v>
      </c>
      <c r="I219">
        <f ca="1"/>
        <v>1</v>
      </c>
      <c r="J219">
        <f ca="1"/>
        <v>-0.48148324706836831</v>
      </c>
      <c r="K219">
        <f ca="1"/>
        <v>0</v>
      </c>
      <c r="L219">
        <f ca="1"/>
        <v>8.3536725344433762</v>
      </c>
    </row>
    <row r="220" spans="2:12" x14ac:dyDescent="0.5">
      <c r="B220">
        <v>0.21</v>
      </c>
      <c r="C220">
        <f ca="1"/>
        <v>-0.44392047834541021</v>
      </c>
      <c r="D220">
        <f ca="1"/>
        <v>1</v>
      </c>
      <c r="E220">
        <f ca="1"/>
        <v>91.120799233434241</v>
      </c>
      <c r="F220">
        <f ca="1"/>
        <v>0</v>
      </c>
      <c r="G220">
        <f ca="1"/>
        <v>0</v>
      </c>
      <c r="H220">
        <f ca="1"/>
        <v>-92.127810712624992</v>
      </c>
      <c r="I220">
        <f ca="1"/>
        <v>1</v>
      </c>
      <c r="J220">
        <f ca="1"/>
        <v>-1.0070114791907514</v>
      </c>
      <c r="K220">
        <f ca="1"/>
        <v>0</v>
      </c>
      <c r="L220">
        <f ca="1"/>
        <v>8.8792007665657593</v>
      </c>
    </row>
    <row r="221" spans="2:12" x14ac:dyDescent="0.5">
      <c r="B221">
        <v>0.21099999999999999</v>
      </c>
      <c r="C221">
        <f ca="1"/>
        <v>-0.46446735976896081</v>
      </c>
      <c r="D221">
        <f ca="1"/>
        <v>1</v>
      </c>
      <c r="E221">
        <f ca="1"/>
        <v>90.745302982265301</v>
      </c>
      <c r="F221">
        <f ca="1"/>
        <v>0</v>
      </c>
      <c r="G221">
        <f ca="1"/>
        <v>0</v>
      </c>
      <c r="H221">
        <f ca="1"/>
        <v>-92.127810712624992</v>
      </c>
      <c r="I221">
        <f ca="1"/>
        <v>1</v>
      </c>
      <c r="J221">
        <f ca="1"/>
        <v>-1.3825077303596913</v>
      </c>
      <c r="K221">
        <f ca="1"/>
        <v>0</v>
      </c>
      <c r="L221">
        <f ca="1"/>
        <v>9.2546970177346992</v>
      </c>
    </row>
    <row r="222" spans="2:12" x14ac:dyDescent="0.5">
      <c r="B222">
        <v>0.21199999999999999</v>
      </c>
      <c r="C222">
        <f ca="1"/>
        <v>-0.50911533788652918</v>
      </c>
      <c r="D222">
        <f ca="1"/>
        <v>1</v>
      </c>
      <c r="E222">
        <f ca="1"/>
        <v>89.93679253311025</v>
      </c>
      <c r="F222">
        <f ca="1"/>
        <v>0</v>
      </c>
      <c r="G222">
        <f ca="1"/>
        <v>0</v>
      </c>
      <c r="H222">
        <f ca="1"/>
        <v>-92.127810712624992</v>
      </c>
      <c r="I222">
        <f ca="1"/>
        <v>1</v>
      </c>
      <c r="J222">
        <f ca="1"/>
        <v>-2.1910181795147423</v>
      </c>
      <c r="K222">
        <f ca="1"/>
        <v>0</v>
      </c>
      <c r="L222">
        <f ca="1"/>
        <v>10.06320746688975</v>
      </c>
    </row>
    <row r="223" spans="2:12" x14ac:dyDescent="0.5">
      <c r="B223">
        <v>0.21299999999999999</v>
      </c>
      <c r="C223">
        <f ca="1"/>
        <v>-0.51756250603985632</v>
      </c>
      <c r="D223">
        <f ca="1"/>
        <v>1</v>
      </c>
      <c r="E223">
        <f ca="1"/>
        <v>89.783182885474858</v>
      </c>
      <c r="F223">
        <f ca="1"/>
        <v>0</v>
      </c>
      <c r="G223">
        <f ca="1"/>
        <v>0</v>
      </c>
      <c r="H223">
        <f ca="1"/>
        <v>-92.127810712624992</v>
      </c>
      <c r="I223">
        <f ca="1"/>
        <v>1</v>
      </c>
      <c r="J223">
        <f ca="1"/>
        <v>-2.3446278271501342</v>
      </c>
      <c r="K223">
        <f ca="1"/>
        <v>0</v>
      </c>
      <c r="L223">
        <f ca="1"/>
        <v>10.216817114525142</v>
      </c>
    </row>
    <row r="224" spans="2:12" x14ac:dyDescent="0.5">
      <c r="B224">
        <v>0.214</v>
      </c>
      <c r="C224">
        <f ca="1"/>
        <v>-0.52799480179511338</v>
      </c>
      <c r="D224">
        <f ca="1"/>
        <v>1</v>
      </c>
      <c r="E224">
        <f ca="1"/>
        <v>89.594257330115596</v>
      </c>
      <c r="F224">
        <f ca="1"/>
        <v>0</v>
      </c>
      <c r="G224">
        <f ca="1"/>
        <v>0</v>
      </c>
      <c r="H224">
        <f ca="1"/>
        <v>-92.127810712624992</v>
      </c>
      <c r="I224">
        <f ca="1"/>
        <v>1</v>
      </c>
      <c r="J224">
        <f ca="1"/>
        <v>-2.5335533825093961</v>
      </c>
      <c r="K224">
        <f ca="1"/>
        <v>0</v>
      </c>
      <c r="L224">
        <f ca="1"/>
        <v>10.405742669884404</v>
      </c>
    </row>
    <row r="225" spans="2:12" x14ac:dyDescent="0.5">
      <c r="B225">
        <v>0.215</v>
      </c>
      <c r="C225">
        <f ca="1"/>
        <v>-0.56422245931031978</v>
      </c>
      <c r="D225">
        <f ca="1"/>
        <v>1</v>
      </c>
      <c r="E225">
        <f ca="1"/>
        <v>88.94566646282739</v>
      </c>
      <c r="F225">
        <f ca="1"/>
        <v>0</v>
      </c>
      <c r="G225">
        <f ca="1"/>
        <v>0</v>
      </c>
      <c r="H225">
        <f ca="1"/>
        <v>-92.127810712624992</v>
      </c>
      <c r="I225">
        <f ca="1"/>
        <v>1</v>
      </c>
      <c r="J225">
        <f ca="1"/>
        <v>-3.1821442497976022</v>
      </c>
      <c r="K225">
        <f ca="1"/>
        <v>0</v>
      </c>
      <c r="L225">
        <f ca="1"/>
        <v>11.05433353717261</v>
      </c>
    </row>
    <row r="226" spans="2:12" x14ac:dyDescent="0.5">
      <c r="B226">
        <v>0.216</v>
      </c>
      <c r="C226">
        <f ca="1"/>
        <v>-0.59591832140364642</v>
      </c>
      <c r="D226">
        <f ca="1"/>
        <v>1</v>
      </c>
      <c r="E226">
        <f ca="1"/>
        <v>88.381840267940376</v>
      </c>
      <c r="F226">
        <f ca="1"/>
        <v>0</v>
      </c>
      <c r="G226">
        <f ca="1"/>
        <v>0</v>
      </c>
      <c r="H226">
        <f ca="1"/>
        <v>-92.127810712624992</v>
      </c>
      <c r="I226">
        <f ca="1"/>
        <v>1</v>
      </c>
      <c r="J226">
        <f ca="1"/>
        <v>-3.745970444684616</v>
      </c>
      <c r="K226">
        <f ca="1"/>
        <v>0</v>
      </c>
      <c r="L226">
        <f ca="1"/>
        <v>11.618159732059624</v>
      </c>
    </row>
    <row r="227" spans="2:12" x14ac:dyDescent="0.5">
      <c r="B227">
        <v>0.217</v>
      </c>
      <c r="C227">
        <f ca="1"/>
        <v>-0.58859158501855879</v>
      </c>
      <c r="D227">
        <f ca="1"/>
        <v>1</v>
      </c>
      <c r="E227">
        <f ca="1"/>
        <v>88.509675080704497</v>
      </c>
      <c r="F227">
        <f ca="1"/>
        <v>0</v>
      </c>
      <c r="G227">
        <f ca="1"/>
        <v>0</v>
      </c>
      <c r="H227">
        <f ca="1"/>
        <v>-92.127810712624992</v>
      </c>
      <c r="I227">
        <f ca="1"/>
        <v>1</v>
      </c>
      <c r="J227">
        <f ca="1"/>
        <v>-3.6181356319204951</v>
      </c>
      <c r="K227">
        <f ca="1"/>
        <v>0</v>
      </c>
      <c r="L227">
        <f ca="1"/>
        <v>11.490324919295503</v>
      </c>
    </row>
    <row r="228" spans="2:12" x14ac:dyDescent="0.5">
      <c r="B228">
        <v>0.218</v>
      </c>
      <c r="C228">
        <f ca="1"/>
        <v>-0.63348253599747484</v>
      </c>
      <c r="D228">
        <f ca="1"/>
        <v>1</v>
      </c>
      <c r="E228">
        <f ca="1"/>
        <v>87.716820667174517</v>
      </c>
      <c r="F228">
        <f ca="1"/>
        <v>0</v>
      </c>
      <c r="G228">
        <f ca="1"/>
        <v>0</v>
      </c>
      <c r="H228">
        <f ca="1"/>
        <v>-92.127810712624992</v>
      </c>
      <c r="I228">
        <f ca="1"/>
        <v>1</v>
      </c>
      <c r="J228">
        <f ca="1"/>
        <v>-4.4109900454504753</v>
      </c>
      <c r="K228">
        <f ca="1"/>
        <v>0</v>
      </c>
      <c r="L228">
        <f ca="1"/>
        <v>12.283179332825483</v>
      </c>
    </row>
    <row r="229" spans="2:12" x14ac:dyDescent="0.5">
      <c r="B229">
        <v>0.219</v>
      </c>
      <c r="C229">
        <f ca="1"/>
        <v>-0.66721532742827949</v>
      </c>
      <c r="D229">
        <f ca="1"/>
        <v>1</v>
      </c>
      <c r="E229">
        <f ca="1"/>
        <v>87.125283280580277</v>
      </c>
      <c r="F229">
        <f ca="1"/>
        <v>0</v>
      </c>
      <c r="G229">
        <f ca="1"/>
        <v>0</v>
      </c>
      <c r="H229">
        <f ca="1"/>
        <v>-92.127810712624992</v>
      </c>
      <c r="I229">
        <f ca="1"/>
        <v>1</v>
      </c>
      <c r="J229">
        <f ca="1"/>
        <v>-5.0025274320447153</v>
      </c>
      <c r="K229">
        <f ca="1"/>
        <v>0</v>
      </c>
      <c r="L229">
        <f ca="1"/>
        <v>12.874716719419723</v>
      </c>
    </row>
    <row r="230" spans="2:12" x14ac:dyDescent="0.5">
      <c r="B230">
        <v>0.22</v>
      </c>
      <c r="C230">
        <f ca="1"/>
        <v>-0.64799282401517655</v>
      </c>
      <c r="D230">
        <f ca="1"/>
        <v>1</v>
      </c>
      <c r="E230">
        <f ca="1"/>
        <v>87.459131981324091</v>
      </c>
      <c r="F230">
        <f ca="1"/>
        <v>0</v>
      </c>
      <c r="G230">
        <f ca="1"/>
        <v>0</v>
      </c>
      <c r="H230">
        <f ca="1"/>
        <v>-92.127810712624992</v>
      </c>
      <c r="I230">
        <f ca="1"/>
        <v>1</v>
      </c>
      <c r="J230">
        <f ca="1"/>
        <v>-4.6686787313009006</v>
      </c>
      <c r="K230">
        <f ca="1"/>
        <v>0</v>
      </c>
      <c r="L230">
        <f ca="1"/>
        <v>12.540868018675909</v>
      </c>
    </row>
    <row r="231" spans="2:12" x14ac:dyDescent="0.5">
      <c r="B231">
        <v>0.221</v>
      </c>
      <c r="C231">
        <f ca="1"/>
        <v>-0.61193699491146747</v>
      </c>
      <c r="D231">
        <f ca="1"/>
        <v>1</v>
      </c>
      <c r="E231">
        <f ca="1"/>
        <v>88.090331913535096</v>
      </c>
      <c r="F231">
        <f ca="1"/>
        <v>0</v>
      </c>
      <c r="G231">
        <f ca="1"/>
        <v>0</v>
      </c>
      <c r="H231">
        <f ca="1"/>
        <v>-92.127810712624992</v>
      </c>
      <c r="I231">
        <f ca="1"/>
        <v>1</v>
      </c>
      <c r="J231">
        <f ca="1"/>
        <v>-4.0374787990898966</v>
      </c>
      <c r="K231">
        <f ca="1"/>
        <v>0</v>
      </c>
      <c r="L231">
        <f ca="1"/>
        <v>11.909668086464904</v>
      </c>
    </row>
    <row r="232" spans="2:12" x14ac:dyDescent="0.5">
      <c r="B232">
        <v>0.222</v>
      </c>
      <c r="C232">
        <f ca="1"/>
        <v>-0.5699592360333442</v>
      </c>
      <c r="D232">
        <f ca="1"/>
        <v>1</v>
      </c>
      <c r="E232">
        <f ca="1"/>
        <v>88.831235456214728</v>
      </c>
      <c r="F232">
        <f ca="1"/>
        <v>0</v>
      </c>
      <c r="G232">
        <f ca="1"/>
        <v>0</v>
      </c>
      <c r="H232">
        <f ca="1"/>
        <v>-92.127810712624992</v>
      </c>
      <c r="I232">
        <f ca="1"/>
        <v>1</v>
      </c>
      <c r="J232">
        <f ca="1"/>
        <v>-3.2965752564102644</v>
      </c>
      <c r="K232">
        <f ca="1"/>
        <v>0</v>
      </c>
      <c r="L232">
        <f ca="1"/>
        <v>11.168764543785272</v>
      </c>
    </row>
    <row r="233" spans="2:12" x14ac:dyDescent="0.5">
      <c r="B233">
        <v>0.223</v>
      </c>
      <c r="C233">
        <f ca="1"/>
        <v>-0.56704902940021851</v>
      </c>
      <c r="D233">
        <f ca="1"/>
        <v>1</v>
      </c>
      <c r="E233">
        <f ca="1"/>
        <v>88.881176314734816</v>
      </c>
      <c r="F233">
        <f ca="1"/>
        <v>0</v>
      </c>
      <c r="G233">
        <f ca="1"/>
        <v>0</v>
      </c>
      <c r="H233">
        <f ca="1"/>
        <v>-92.127810712624992</v>
      </c>
      <c r="I233">
        <f ca="1"/>
        <v>1</v>
      </c>
      <c r="J233">
        <f ca="1"/>
        <v>-3.2466343978901762</v>
      </c>
      <c r="K233">
        <f ca="1"/>
        <v>0</v>
      </c>
      <c r="L233">
        <f ca="1"/>
        <v>11.118823685265184</v>
      </c>
    </row>
    <row r="234" spans="2:12" x14ac:dyDescent="0.5">
      <c r="B234">
        <v>0.224</v>
      </c>
      <c r="C234">
        <f ca="1"/>
        <v>-0.57385785364448716</v>
      </c>
      <c r="D234">
        <f ca="1"/>
        <v>1</v>
      </c>
      <c r="E234">
        <f ca="1"/>
        <v>88.758448239775106</v>
      </c>
      <c r="F234">
        <f ca="1"/>
        <v>0</v>
      </c>
      <c r="G234">
        <f ca="1"/>
        <v>0</v>
      </c>
      <c r="H234">
        <f ca="1"/>
        <v>-92.127810712624992</v>
      </c>
      <c r="I234">
        <f ca="1"/>
        <v>1</v>
      </c>
      <c r="J234">
        <f ca="1"/>
        <v>-3.3693624728498861</v>
      </c>
      <c r="K234">
        <f ca="1"/>
        <v>0</v>
      </c>
      <c r="L234">
        <f ca="1"/>
        <v>11.241551760224894</v>
      </c>
    </row>
    <row r="235" spans="2:12" x14ac:dyDescent="0.5">
      <c r="B235">
        <v>0.22500000000000001</v>
      </c>
      <c r="C235">
        <f ca="1"/>
        <v>-0.60499310890705493</v>
      </c>
      <c r="D235">
        <f ca="1"/>
        <v>1</v>
      </c>
      <c r="E235">
        <f ca="1"/>
        <v>88.205698009352162</v>
      </c>
      <c r="F235">
        <f ca="1"/>
        <v>0</v>
      </c>
      <c r="G235">
        <f ca="1"/>
        <v>0</v>
      </c>
      <c r="H235">
        <f ca="1"/>
        <v>-92.127810712624992</v>
      </c>
      <c r="I235">
        <f ca="1"/>
        <v>1</v>
      </c>
      <c r="J235">
        <f ca="1"/>
        <v>-3.9221127032728305</v>
      </c>
      <c r="K235">
        <f ca="1"/>
        <v>0</v>
      </c>
      <c r="L235">
        <f ca="1"/>
        <v>11.794301990647838</v>
      </c>
    </row>
    <row r="236" spans="2:12" x14ac:dyDescent="0.5">
      <c r="B236">
        <v>0.22600000000000001</v>
      </c>
      <c r="C236">
        <f ca="1"/>
        <v>-0.58743923368206619</v>
      </c>
      <c r="D236">
        <f ca="1"/>
        <v>1</v>
      </c>
      <c r="E236">
        <f ca="1"/>
        <v>88.514142300394255</v>
      </c>
      <c r="F236">
        <f ca="1"/>
        <v>0</v>
      </c>
      <c r="G236">
        <f ca="1"/>
        <v>0</v>
      </c>
      <c r="H236">
        <f ca="1"/>
        <v>-92.127810712624992</v>
      </c>
      <c r="I236">
        <f ca="1"/>
        <v>1</v>
      </c>
      <c r="J236">
        <f ca="1"/>
        <v>-3.6136684122307372</v>
      </c>
      <c r="K236">
        <f ca="1"/>
        <v>0</v>
      </c>
      <c r="L236">
        <f ca="1"/>
        <v>11.485857699605745</v>
      </c>
    </row>
    <row r="237" spans="2:12" x14ac:dyDescent="0.5">
      <c r="B237">
        <v>0.22700000000000001</v>
      </c>
      <c r="C237">
        <f ca="1"/>
        <v>-0.60936051904587951</v>
      </c>
      <c r="D237">
        <f ca="1"/>
        <v>1</v>
      </c>
      <c r="E237">
        <f ca="1"/>
        <v>88.125160479867418</v>
      </c>
      <c r="F237">
        <f ca="1"/>
        <v>0</v>
      </c>
      <c r="G237">
        <f ca="1"/>
        <v>0</v>
      </c>
      <c r="H237">
        <f ca="1"/>
        <v>-92.127810712624992</v>
      </c>
      <c r="I237">
        <f ca="1"/>
        <v>1</v>
      </c>
      <c r="J237">
        <f ca="1"/>
        <v>-4.0026502327575741</v>
      </c>
      <c r="K237">
        <f ca="1"/>
        <v>0</v>
      </c>
      <c r="L237">
        <f ca="1"/>
        <v>11.874839520132582</v>
      </c>
    </row>
    <row r="238" spans="2:12" x14ac:dyDescent="0.5">
      <c r="B238">
        <v>0.22800000000000001</v>
      </c>
      <c r="C238">
        <f ca="1"/>
        <v>-0.63829076100690163</v>
      </c>
      <c r="D238">
        <f ca="1"/>
        <v>1</v>
      </c>
      <c r="E238">
        <f ca="1"/>
        <v>87.614984021332248</v>
      </c>
      <c r="F238">
        <f ca="1"/>
        <v>0</v>
      </c>
      <c r="G238">
        <f ca="1"/>
        <v>0</v>
      </c>
      <c r="H238">
        <f ca="1"/>
        <v>-92.127810712624992</v>
      </c>
      <c r="I238">
        <f ca="1"/>
        <v>1</v>
      </c>
      <c r="J238">
        <f ca="1"/>
        <v>-4.5128266912927444</v>
      </c>
      <c r="K238">
        <f ca="1"/>
        <v>0</v>
      </c>
      <c r="L238">
        <f ca="1"/>
        <v>12.385015978667752</v>
      </c>
    </row>
    <row r="239" spans="2:12" x14ac:dyDescent="0.5">
      <c r="B239">
        <v>0.22900000000000001</v>
      </c>
      <c r="C239">
        <f ca="1"/>
        <v>-0.64761337973096123</v>
      </c>
      <c r="D239">
        <f ca="1"/>
        <v>1</v>
      </c>
      <c r="E239">
        <f ca="1"/>
        <v>87.450026985088002</v>
      </c>
      <c r="F239">
        <f ca="1"/>
        <v>0</v>
      </c>
      <c r="G239">
        <f ca="1"/>
        <v>0</v>
      </c>
      <c r="H239">
        <f ca="1"/>
        <v>-92.127810712624992</v>
      </c>
      <c r="I239">
        <f ca="1"/>
        <v>1</v>
      </c>
      <c r="J239">
        <f ca="1"/>
        <v>-4.6777837275369905</v>
      </c>
      <c r="K239">
        <f ca="1"/>
        <v>0</v>
      </c>
      <c r="L239">
        <f ca="1"/>
        <v>12.549973014911998</v>
      </c>
    </row>
    <row r="240" spans="2:12" x14ac:dyDescent="0.5">
      <c r="B240">
        <v>0.23</v>
      </c>
      <c r="C240">
        <f ca="1"/>
        <v>-0.68360267278836984</v>
      </c>
      <c r="D240">
        <f ca="1"/>
        <v>1</v>
      </c>
      <c r="E240">
        <f ca="1"/>
        <v>86.821097547087106</v>
      </c>
      <c r="F240">
        <f ca="1"/>
        <v>0</v>
      </c>
      <c r="G240">
        <f ca="1"/>
        <v>0</v>
      </c>
      <c r="H240">
        <f ca="1"/>
        <v>-92.127810712624992</v>
      </c>
      <c r="I240">
        <f ca="1"/>
        <v>1</v>
      </c>
      <c r="J240">
        <f ca="1"/>
        <v>-5.3067131655378859</v>
      </c>
      <c r="K240">
        <f ca="1"/>
        <v>0</v>
      </c>
      <c r="L240">
        <f ca="1"/>
        <v>13.178902452912894</v>
      </c>
    </row>
    <row r="241" spans="2:12" x14ac:dyDescent="0.5">
      <c r="B241">
        <v>0.23100000000000001</v>
      </c>
      <c r="C241">
        <f ca="1"/>
        <v>-0.71136628178019368</v>
      </c>
      <c r="D241">
        <f ca="1"/>
        <v>1</v>
      </c>
      <c r="E241">
        <f ca="1"/>
        <v>86.33861334797281</v>
      </c>
      <c r="F241">
        <f ca="1"/>
        <v>0</v>
      </c>
      <c r="G241">
        <f ca="1"/>
        <v>0</v>
      </c>
      <c r="H241">
        <f ca="1"/>
        <v>-92.127810712624992</v>
      </c>
      <c r="I241">
        <f ca="1"/>
        <v>1</v>
      </c>
      <c r="J241">
        <f ca="1"/>
        <v>-5.7891973646521819</v>
      </c>
      <c r="K241">
        <f ca="1"/>
        <v>0</v>
      </c>
      <c r="L241">
        <f ca="1"/>
        <v>13.66138665202719</v>
      </c>
    </row>
    <row r="242" spans="2:12" x14ac:dyDescent="0.5">
      <c r="B242">
        <v>0.23200000000000001</v>
      </c>
      <c r="C242">
        <f ca="1"/>
        <v>-0.74965601980298013</v>
      </c>
      <c r="D242">
        <f ca="1"/>
        <v>1</v>
      </c>
      <c r="E242">
        <f ca="1"/>
        <v>85.678248366389369</v>
      </c>
      <c r="F242">
        <f ca="1"/>
        <v>0</v>
      </c>
      <c r="G242">
        <f ca="1"/>
        <v>0</v>
      </c>
      <c r="H242">
        <f ca="1"/>
        <v>-92.127810712624992</v>
      </c>
      <c r="I242">
        <f ca="1"/>
        <v>1</v>
      </c>
      <c r="J242">
        <f ca="1"/>
        <v>-6.4495623462356235</v>
      </c>
      <c r="K242">
        <f ca="1"/>
        <v>0</v>
      </c>
      <c r="L242">
        <f ca="1"/>
        <v>14.321751633610631</v>
      </c>
    </row>
    <row r="243" spans="2:12" x14ac:dyDescent="0.5">
      <c r="B243">
        <v>0.23300000000000001</v>
      </c>
      <c r="C243">
        <f ca="1"/>
        <v>-0.68224168853699296</v>
      </c>
      <c r="D243">
        <f ca="1"/>
        <v>1</v>
      </c>
      <c r="E243">
        <f ca="1"/>
        <v>86.839522665330932</v>
      </c>
      <c r="F243">
        <f ca="1"/>
        <v>0</v>
      </c>
      <c r="G243">
        <f ca="1"/>
        <v>0</v>
      </c>
      <c r="H243">
        <f ca="1"/>
        <v>-92.127810712624992</v>
      </c>
      <c r="I243">
        <f ca="1"/>
        <v>1</v>
      </c>
      <c r="J243">
        <f ca="1"/>
        <v>-5.2882880472940599</v>
      </c>
      <c r="K243">
        <f ca="1"/>
        <v>0</v>
      </c>
      <c r="L243">
        <f ca="1"/>
        <v>13.160477334669068</v>
      </c>
    </row>
    <row r="244" spans="2:12" x14ac:dyDescent="0.5">
      <c r="B244">
        <v>0.23400000000000001</v>
      </c>
      <c r="C244">
        <f ca="1"/>
        <v>-0.65309633604054806</v>
      </c>
      <c r="D244">
        <f ca="1"/>
        <v>1</v>
      </c>
      <c r="E244">
        <f ca="1"/>
        <v>87.345447628793494</v>
      </c>
      <c r="F244">
        <f ca="1"/>
        <v>0</v>
      </c>
      <c r="G244">
        <f ca="1"/>
        <v>0</v>
      </c>
      <c r="H244">
        <f ca="1"/>
        <v>-92.127810712624992</v>
      </c>
      <c r="I244">
        <f ca="1"/>
        <v>1</v>
      </c>
      <c r="J244">
        <f ca="1"/>
        <v>-4.7823630838314983</v>
      </c>
      <c r="K244">
        <f ca="1"/>
        <v>0</v>
      </c>
      <c r="L244">
        <f ca="1"/>
        <v>12.654552371206506</v>
      </c>
    </row>
    <row r="245" spans="2:12" x14ac:dyDescent="0.5">
      <c r="B245">
        <v>0.23500000000000001</v>
      </c>
      <c r="C245">
        <f ca="1"/>
        <v>-0.64170886600418842</v>
      </c>
      <c r="D245">
        <f ca="1"/>
        <v>1</v>
      </c>
      <c r="E245">
        <f ca="1"/>
        <v>87.54285218934848</v>
      </c>
      <c r="F245">
        <f ca="1"/>
        <v>0</v>
      </c>
      <c r="G245">
        <f ca="1"/>
        <v>0</v>
      </c>
      <c r="H245">
        <f ca="1"/>
        <v>-92.127810712624992</v>
      </c>
      <c r="I245">
        <f ca="1"/>
        <v>1</v>
      </c>
      <c r="J245">
        <f ca="1"/>
        <v>-4.5849585232765122</v>
      </c>
      <c r="K245">
        <f ca="1"/>
        <v>0</v>
      </c>
      <c r="L245">
        <f ca="1"/>
        <v>12.45714781065152</v>
      </c>
    </row>
    <row r="246" spans="2:12" x14ac:dyDescent="0.5">
      <c r="B246">
        <v>0.23600000000000002</v>
      </c>
      <c r="C246">
        <f ca="1"/>
        <v>-0.68269284814773323</v>
      </c>
      <c r="D246">
        <f ca="1"/>
        <v>1</v>
      </c>
      <c r="E246">
        <f ca="1"/>
        <v>86.826477576841398</v>
      </c>
      <c r="F246">
        <f ca="1"/>
        <v>0</v>
      </c>
      <c r="G246">
        <f ca="1"/>
        <v>0</v>
      </c>
      <c r="H246">
        <f ca="1"/>
        <v>-92.127810712624992</v>
      </c>
      <c r="I246">
        <f ca="1"/>
        <v>1</v>
      </c>
      <c r="J246">
        <f ca="1"/>
        <v>-5.3013331357835938</v>
      </c>
      <c r="K246">
        <f ca="1"/>
        <v>0</v>
      </c>
      <c r="L246">
        <f ca="1"/>
        <v>13.173522423158602</v>
      </c>
    </row>
    <row r="247" spans="2:12" x14ac:dyDescent="0.5">
      <c r="B247">
        <v>0.23700000000000002</v>
      </c>
      <c r="C247">
        <f ca="1"/>
        <v>-0.65766335228923634</v>
      </c>
      <c r="D247">
        <f ca="1"/>
        <v>1</v>
      </c>
      <c r="E247">
        <f ca="1"/>
        <v>87.260466653310743</v>
      </c>
      <c r="F247">
        <f ca="1"/>
        <v>0</v>
      </c>
      <c r="G247">
        <f ca="1"/>
        <v>0</v>
      </c>
      <c r="H247">
        <f ca="1"/>
        <v>-92.127810712624992</v>
      </c>
      <c r="I247">
        <f ca="1"/>
        <v>1</v>
      </c>
      <c r="J247">
        <f ca="1"/>
        <v>-4.8673440593142487</v>
      </c>
      <c r="K247">
        <f ca="1"/>
        <v>0</v>
      </c>
      <c r="L247">
        <f ca="1"/>
        <v>12.739533346689257</v>
      </c>
    </row>
    <row r="248" spans="2:12" x14ac:dyDescent="0.5">
      <c r="B248">
        <v>0.23800000000000002</v>
      </c>
      <c r="C248">
        <f ca="1"/>
        <v>-0.63203474861039588</v>
      </c>
      <c r="D248">
        <f ca="1"/>
        <v>1</v>
      </c>
      <c r="E248">
        <f ca="1"/>
        <v>87.70713353517246</v>
      </c>
      <c r="F248">
        <f ca="1"/>
        <v>0</v>
      </c>
      <c r="G248">
        <f ca="1"/>
        <v>0</v>
      </c>
      <c r="H248">
        <f ca="1"/>
        <v>-92.127810712624992</v>
      </c>
      <c r="I248">
        <f ca="1"/>
        <v>1</v>
      </c>
      <c r="J248">
        <f ca="1"/>
        <v>-4.4206771774525322</v>
      </c>
      <c r="K248">
        <f ca="1"/>
        <v>0</v>
      </c>
      <c r="L248">
        <f ca="1"/>
        <v>12.29286646482754</v>
      </c>
    </row>
    <row r="249" spans="2:12" x14ac:dyDescent="0.5">
      <c r="B249">
        <v>0.23900000000000002</v>
      </c>
      <c r="C249">
        <f ca="1"/>
        <v>-0.69494942703154927</v>
      </c>
      <c r="D249">
        <f ca="1"/>
        <v>1</v>
      </c>
      <c r="E249">
        <f ca="1"/>
        <v>86.6087024393848</v>
      </c>
      <c r="F249">
        <f ca="1"/>
        <v>0</v>
      </c>
      <c r="G249">
        <f ca="1"/>
        <v>0</v>
      </c>
      <c r="H249">
        <f ca="1"/>
        <v>-92.127810712624992</v>
      </c>
      <c r="I249">
        <f ca="1"/>
        <v>1</v>
      </c>
      <c r="J249">
        <f ca="1"/>
        <v>-5.5191082732401924</v>
      </c>
      <c r="K249">
        <f ca="1"/>
        <v>0</v>
      </c>
      <c r="L249">
        <f ca="1"/>
        <v>13.3912975606152</v>
      </c>
    </row>
    <row r="250" spans="2:12" x14ac:dyDescent="0.5">
      <c r="B250">
        <v>0.24</v>
      </c>
      <c r="C250">
        <f ca="1"/>
        <v>-0.69535860416012285</v>
      </c>
      <c r="D250">
        <f ca="1"/>
        <v>1</v>
      </c>
      <c r="E250">
        <f ca="1"/>
        <v>86.599883054371816</v>
      </c>
      <c r="F250">
        <f ca="1"/>
        <v>0</v>
      </c>
      <c r="G250">
        <f ca="1"/>
        <v>0</v>
      </c>
      <c r="H250">
        <f ca="1"/>
        <v>-92.127810712624992</v>
      </c>
      <c r="I250">
        <f ca="1"/>
        <v>1</v>
      </c>
      <c r="J250">
        <f ca="1"/>
        <v>-5.5279276582531764</v>
      </c>
      <c r="K250">
        <f ca="1"/>
        <v>0</v>
      </c>
      <c r="L250">
        <f ca="1"/>
        <v>13.400116945628184</v>
      </c>
    </row>
    <row r="251" spans="2:12" x14ac:dyDescent="0.5">
      <c r="B251">
        <v>0.24099999999999999</v>
      </c>
      <c r="C251">
        <f ca="1"/>
        <v>-0.6612029844439713</v>
      </c>
      <c r="D251">
        <f ca="1"/>
        <v>1</v>
      </c>
      <c r="E251">
        <f ca="1"/>
        <v>87.191738905018212</v>
      </c>
      <c r="F251">
        <f ca="1"/>
        <v>0</v>
      </c>
      <c r="G251">
        <f ca="1"/>
        <v>0</v>
      </c>
      <c r="H251">
        <f ca="1"/>
        <v>-92.127810712624992</v>
      </c>
      <c r="I251">
        <f ca="1"/>
        <v>1</v>
      </c>
      <c r="J251">
        <f ca="1"/>
        <v>-4.9360718076067798</v>
      </c>
      <c r="K251">
        <f ca="1"/>
        <v>0</v>
      </c>
      <c r="L251">
        <f ca="1"/>
        <v>12.808261094981788</v>
      </c>
    </row>
    <row r="252" spans="2:12" x14ac:dyDescent="0.5">
      <c r="B252">
        <v>0.24199999999999999</v>
      </c>
      <c r="C252">
        <f ca="1"/>
        <v>-0.67597551228608221</v>
      </c>
      <c r="D252">
        <f ca="1"/>
        <v>1</v>
      </c>
      <c r="E252">
        <f ca="1"/>
        <v>86.932771932413971</v>
      </c>
      <c r="F252">
        <f ca="1"/>
        <v>0</v>
      </c>
      <c r="G252">
        <f ca="1"/>
        <v>0</v>
      </c>
      <c r="H252">
        <f ca="1"/>
        <v>-92.127810712624992</v>
      </c>
      <c r="I252">
        <f ca="1"/>
        <v>1</v>
      </c>
      <c r="J252">
        <f ca="1"/>
        <v>-5.1950387802110214</v>
      </c>
      <c r="K252">
        <f ca="1"/>
        <v>0</v>
      </c>
      <c r="L252">
        <f ca="1"/>
        <v>13.067228067586029</v>
      </c>
    </row>
    <row r="253" spans="2:12" x14ac:dyDescent="0.5">
      <c r="B253">
        <v>0.24299999999999999</v>
      </c>
      <c r="C253">
        <f ca="1"/>
        <v>-0.66585551695045753</v>
      </c>
      <c r="D253">
        <f ca="1"/>
        <v>1</v>
      </c>
      <c r="E253">
        <f ca="1"/>
        <v>87.107159804473596</v>
      </c>
      <c r="F253">
        <f ca="1"/>
        <v>0</v>
      </c>
      <c r="G253">
        <f ca="1"/>
        <v>0</v>
      </c>
      <c r="H253">
        <f ca="1"/>
        <v>-92.127810712624992</v>
      </c>
      <c r="I253">
        <f ca="1"/>
        <v>1</v>
      </c>
      <c r="J253">
        <f ca="1"/>
        <v>-5.0206509081513957</v>
      </c>
      <c r="K253">
        <f ca="1"/>
        <v>0</v>
      </c>
      <c r="L253">
        <f ca="1"/>
        <v>12.892840195526404</v>
      </c>
    </row>
    <row r="254" spans="2:12" x14ac:dyDescent="0.5">
      <c r="B254">
        <v>0.24399999999999999</v>
      </c>
      <c r="C254">
        <f ca="1"/>
        <v>-0.66468121720653106</v>
      </c>
      <c r="D254">
        <f ca="1"/>
        <v>1</v>
      </c>
      <c r="E254">
        <f ca="1"/>
        <v>87.125877655154227</v>
      </c>
      <c r="F254">
        <f ca="1"/>
        <v>0</v>
      </c>
      <c r="G254">
        <f ca="1"/>
        <v>0</v>
      </c>
      <c r="H254">
        <f ca="1"/>
        <v>-92.127810712624992</v>
      </c>
      <c r="I254">
        <f ca="1"/>
        <v>1</v>
      </c>
      <c r="J254">
        <f ca="1"/>
        <v>-5.0019330574707652</v>
      </c>
      <c r="K254">
        <f ca="1"/>
        <v>0</v>
      </c>
      <c r="L254">
        <f ca="1"/>
        <v>12.874122344845773</v>
      </c>
    </row>
    <row r="255" spans="2:12" x14ac:dyDescent="0.5">
      <c r="B255">
        <v>0.245</v>
      </c>
      <c r="C255">
        <f ca="1"/>
        <v>-0.66572600719702757</v>
      </c>
      <c r="D255">
        <f ca="1"/>
        <v>1</v>
      </c>
      <c r="E255">
        <f ca="1"/>
        <v>87.105931772095516</v>
      </c>
      <c r="F255">
        <f ca="1"/>
        <v>0</v>
      </c>
      <c r="G255">
        <f ca="1"/>
        <v>0</v>
      </c>
      <c r="H255">
        <f ca="1"/>
        <v>-92.127810712624992</v>
      </c>
      <c r="I255">
        <f ca="1"/>
        <v>1</v>
      </c>
      <c r="J255">
        <f ca="1"/>
        <v>-5.0218789405294757</v>
      </c>
      <c r="K255">
        <f ca="1"/>
        <v>0</v>
      </c>
      <c r="L255">
        <f ca="1"/>
        <v>12.894068227904484</v>
      </c>
    </row>
    <row r="256" spans="2:12" x14ac:dyDescent="0.5">
      <c r="B256">
        <v>0.246</v>
      </c>
      <c r="C256">
        <f ca="1"/>
        <v>-0.65713835684365973</v>
      </c>
      <c r="D256">
        <f ca="1"/>
        <v>1</v>
      </c>
      <c r="E256">
        <f ca="1"/>
        <v>87.253922284247409</v>
      </c>
      <c r="F256">
        <f ca="1"/>
        <v>0</v>
      </c>
      <c r="G256">
        <f ca="1"/>
        <v>0</v>
      </c>
      <c r="H256">
        <f ca="1"/>
        <v>-92.127810712624992</v>
      </c>
      <c r="I256">
        <f ca="1"/>
        <v>1</v>
      </c>
      <c r="J256">
        <f ca="1"/>
        <v>-4.8738884283775832</v>
      </c>
      <c r="K256">
        <f ca="1"/>
        <v>0</v>
      </c>
      <c r="L256">
        <f ca="1"/>
        <v>12.746077715752591</v>
      </c>
    </row>
    <row r="257" spans="2:12" x14ac:dyDescent="0.5">
      <c r="B257">
        <v>0.247</v>
      </c>
      <c r="C257">
        <f ca="1"/>
        <v>-0.75739624283336127</v>
      </c>
      <c r="D257">
        <f ca="1"/>
        <v>1</v>
      </c>
      <c r="E257">
        <f ca="1"/>
        <v>85.520057358679139</v>
      </c>
      <c r="F257">
        <f ca="1"/>
        <v>0</v>
      </c>
      <c r="G257">
        <f ca="1"/>
        <v>0</v>
      </c>
      <c r="H257">
        <f ca="1"/>
        <v>-92.127810712624992</v>
      </c>
      <c r="I257">
        <f ca="1"/>
        <v>1</v>
      </c>
      <c r="J257">
        <f ca="1"/>
        <v>-6.6077533539458528</v>
      </c>
      <c r="K257">
        <f ca="1"/>
        <v>0</v>
      </c>
      <c r="L257">
        <f ca="1"/>
        <v>14.479942641320861</v>
      </c>
    </row>
    <row r="258" spans="2:12" x14ac:dyDescent="0.5">
      <c r="B258">
        <v>0.248</v>
      </c>
      <c r="C258">
        <f ca="1"/>
        <v>-0.7083553028583347</v>
      </c>
      <c r="D258">
        <f ca="1"/>
        <v>1</v>
      </c>
      <c r="E258">
        <f ca="1"/>
        <v>86.361253936424873</v>
      </c>
      <c r="F258">
        <f ca="1"/>
        <v>0</v>
      </c>
      <c r="G258">
        <f ca="1"/>
        <v>0</v>
      </c>
      <c r="H258">
        <f ca="1"/>
        <v>-92.127810712624992</v>
      </c>
      <c r="I258">
        <f ca="1"/>
        <v>1</v>
      </c>
      <c r="J258">
        <f ca="1"/>
        <v>-5.7665567762001189</v>
      </c>
      <c r="K258">
        <f ca="1"/>
        <v>0</v>
      </c>
      <c r="L258">
        <f ca="1"/>
        <v>13.638746063575127</v>
      </c>
    </row>
    <row r="259" spans="2:12" x14ac:dyDescent="0.5">
      <c r="B259">
        <v>0.249</v>
      </c>
      <c r="C259">
        <f ca="1"/>
        <v>-0.74695268875396437</v>
      </c>
      <c r="D259">
        <f ca="1"/>
        <v>1</v>
      </c>
      <c r="E259">
        <f ca="1"/>
        <v>85.69544282086693</v>
      </c>
      <c r="F259">
        <f ca="1"/>
        <v>0</v>
      </c>
      <c r="G259">
        <f ca="1"/>
        <v>0</v>
      </c>
      <c r="H259">
        <f ca="1"/>
        <v>-92.127810712624992</v>
      </c>
      <c r="I259">
        <f ca="1"/>
        <v>1</v>
      </c>
      <c r="J259">
        <f ca="1"/>
        <v>-6.4323678917580622</v>
      </c>
      <c r="K259">
        <f ca="1"/>
        <v>0</v>
      </c>
      <c r="L259">
        <f ca="1"/>
        <v>14.30455717913307</v>
      </c>
    </row>
    <row r="260" spans="2:12" x14ac:dyDescent="0.5">
      <c r="B260">
        <v>0.25</v>
      </c>
      <c r="C260">
        <f ca="1"/>
        <v>-0.73023812815966671</v>
      </c>
      <c r="D260">
        <f ca="1"/>
        <v>1</v>
      </c>
      <c r="E260">
        <f ca="1"/>
        <v>85.980674884432844</v>
      </c>
      <c r="F260">
        <f ca="1"/>
        <v>92.127810712624992</v>
      </c>
      <c r="G260">
        <f ca="1"/>
        <v>-1</v>
      </c>
      <c r="H260">
        <f ca="1"/>
        <v>0</v>
      </c>
      <c r="I260">
        <f ca="1"/>
        <v>1</v>
      </c>
      <c r="J260">
        <f ca="1"/>
        <v>85.980674884432844</v>
      </c>
      <c r="K260">
        <f ca="1"/>
        <v>-6.1471358281921482</v>
      </c>
      <c r="L260">
        <f ca="1"/>
        <v>14.019325115567156</v>
      </c>
    </row>
  </sheetData>
  <mergeCells count="3">
    <mergeCell ref="D8:E8"/>
    <mergeCell ref="F8:G8"/>
    <mergeCell ref="H8:I8"/>
  </mergeCells>
  <phoneticPr fontId="13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5951B-AE0D-41B6-898E-F5F71BAC45C7}">
  <dimension ref="B3:H25"/>
  <sheetViews>
    <sheetView workbookViewId="0">
      <selection activeCell="J22" sqref="J22"/>
    </sheetView>
  </sheetViews>
  <sheetFormatPr defaultRowHeight="17.649999999999999" x14ac:dyDescent="0.5"/>
  <sheetData>
    <row r="3" spans="2:5" x14ac:dyDescent="0.5">
      <c r="B3" t="s">
        <v>33</v>
      </c>
      <c r="C3" t="s">
        <v>32</v>
      </c>
      <c r="D3" t="s">
        <v>34</v>
      </c>
      <c r="E3" t="s">
        <v>35</v>
      </c>
    </row>
    <row r="4" spans="2:5" x14ac:dyDescent="0.5">
      <c r="B4">
        <f>LN(C4)</f>
        <v>-6.9077552789821368</v>
      </c>
      <c r="C4" cm="1">
        <f t="array" ref="C4:C13">_xlfn.SEQUENCE(10,1,0.001,0.001)</f>
        <v>1E-3</v>
      </c>
      <c r="D4" s="20">
        <v>2.79</v>
      </c>
      <c r="E4">
        <f>LN(D4)</f>
        <v>1.0260415958332743</v>
      </c>
    </row>
    <row r="5" spans="2:5" x14ac:dyDescent="0.5">
      <c r="B5">
        <f t="shared" ref="B5:B13" si="0">LN(C5)</f>
        <v>-6.2146080984221914</v>
      </c>
      <c r="C5">
        <v>2E-3</v>
      </c>
      <c r="D5" s="20">
        <v>2.8780000000000001</v>
      </c>
      <c r="E5">
        <f t="shared" ref="E5:E13" si="1">LN(D5)</f>
        <v>1.0570956084651761</v>
      </c>
    </row>
    <row r="6" spans="2:5" x14ac:dyDescent="0.5">
      <c r="B6">
        <f t="shared" si="0"/>
        <v>-5.8091429903140277</v>
      </c>
      <c r="C6">
        <v>3.0000000000000001E-3</v>
      </c>
      <c r="D6" s="20">
        <v>2.8180000000000001</v>
      </c>
      <c r="E6">
        <f t="shared" si="1"/>
        <v>1.0360274134764884</v>
      </c>
    </row>
    <row r="7" spans="2:5" x14ac:dyDescent="0.5">
      <c r="B7">
        <f t="shared" si="0"/>
        <v>-5.521460917862246</v>
      </c>
      <c r="C7">
        <v>4.0000000000000001E-3</v>
      </c>
      <c r="D7" s="20">
        <v>3.0590000000000002</v>
      </c>
      <c r="E7">
        <f t="shared" si="1"/>
        <v>1.1180880651687664</v>
      </c>
    </row>
    <row r="8" spans="2:5" x14ac:dyDescent="0.5">
      <c r="B8">
        <f t="shared" si="0"/>
        <v>-5.2983173665480363</v>
      </c>
      <c r="C8">
        <v>5.0000000000000001E-3</v>
      </c>
      <c r="D8" s="20">
        <v>3.0339999999999998</v>
      </c>
      <c r="E8">
        <f t="shared" si="1"/>
        <v>1.1098818809263404</v>
      </c>
    </row>
    <row r="9" spans="2:5" x14ac:dyDescent="0.5">
      <c r="B9">
        <f t="shared" si="0"/>
        <v>-5.1159958097540823</v>
      </c>
      <c r="C9">
        <v>6.0000000000000001E-3</v>
      </c>
      <c r="D9" s="20">
        <v>3.06</v>
      </c>
      <c r="E9">
        <f t="shared" si="1"/>
        <v>1.1184149159642893</v>
      </c>
    </row>
    <row r="10" spans="2:5" x14ac:dyDescent="0.5">
      <c r="B10">
        <f t="shared" si="0"/>
        <v>-4.9618451299268234</v>
      </c>
      <c r="C10">
        <v>7.0000000000000001E-3</v>
      </c>
      <c r="D10" s="20">
        <v>2.9998999999999998</v>
      </c>
      <c r="E10">
        <f t="shared" si="1"/>
        <v>1.0985789547792084</v>
      </c>
    </row>
    <row r="11" spans="2:5" x14ac:dyDescent="0.5">
      <c r="B11">
        <f t="shared" si="0"/>
        <v>-4.8283137373023015</v>
      </c>
      <c r="C11">
        <v>8.0000000000000002E-3</v>
      </c>
      <c r="D11" s="20">
        <v>3.1640000000000001</v>
      </c>
      <c r="E11">
        <f t="shared" si="1"/>
        <v>1.1518370499054076</v>
      </c>
    </row>
    <row r="12" spans="2:5" x14ac:dyDescent="0.5">
      <c r="B12">
        <f t="shared" si="0"/>
        <v>-4.7105307016459177</v>
      </c>
      <c r="C12">
        <v>9.0000000000000011E-3</v>
      </c>
      <c r="D12" s="20">
        <v>3.004</v>
      </c>
      <c r="E12">
        <f t="shared" si="1"/>
        <v>1.0999447339018884</v>
      </c>
    </row>
    <row r="13" spans="2:5" x14ac:dyDescent="0.5">
      <c r="B13">
        <f t="shared" si="0"/>
        <v>-4.6051701859880909</v>
      </c>
      <c r="C13">
        <v>1.0000000000000002E-2</v>
      </c>
      <c r="D13" s="20">
        <v>3.0169999999999999</v>
      </c>
      <c r="E13">
        <f t="shared" si="1"/>
        <v>1.104262960176924</v>
      </c>
    </row>
    <row r="23" spans="3:8" x14ac:dyDescent="0.5">
      <c r="C23" t="s">
        <v>36</v>
      </c>
    </row>
    <row r="24" spans="3:8" x14ac:dyDescent="0.5">
      <c r="C24" t="s">
        <v>38</v>
      </c>
    </row>
    <row r="25" spans="3:8" x14ac:dyDescent="0.5">
      <c r="C25" s="21"/>
      <c r="D25" s="21"/>
      <c r="E25" s="21"/>
      <c r="F25" s="21"/>
      <c r="G25" s="21"/>
      <c r="H25" s="21"/>
    </row>
  </sheetData>
  <phoneticPr fontId="1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22</vt:i4>
      </vt:variant>
    </vt:vector>
  </HeadingPairs>
  <TitlesOfParts>
    <vt:vector size="27" baseType="lpstr">
      <vt:lpstr>Elementary</vt:lpstr>
      <vt:lpstr>Simulation</vt:lpstr>
      <vt:lpstr>log-log</vt:lpstr>
      <vt:lpstr>Simulation (2)</vt:lpstr>
      <vt:lpstr>log-log (2)</vt:lpstr>
      <vt:lpstr>'Simulation (2)'!dt</vt:lpstr>
      <vt:lpstr>dt</vt:lpstr>
      <vt:lpstr>'Simulation (2)'!error</vt:lpstr>
      <vt:lpstr>error</vt:lpstr>
      <vt:lpstr>'Simulation (2)'!f</vt:lpstr>
      <vt:lpstr>f</vt:lpstr>
      <vt:lpstr>'Simulation (2)'!hedge</vt:lpstr>
      <vt:lpstr>hedge</vt:lpstr>
      <vt:lpstr>'Simulation (2)'!k</vt:lpstr>
      <vt:lpstr>k</vt:lpstr>
      <vt:lpstr>'Simulation (2)'!last</vt:lpstr>
      <vt:lpstr>last</vt:lpstr>
      <vt:lpstr>'Simulation (2)'!mu</vt:lpstr>
      <vt:lpstr>mu</vt:lpstr>
      <vt:lpstr>'Simulation (2)'!payoff</vt:lpstr>
      <vt:lpstr>payoff</vt:lpstr>
      <vt:lpstr>'Simulation (2)'!put</vt:lpstr>
      <vt:lpstr>put</vt:lpstr>
      <vt:lpstr>'Simulation (2)'!sigma</vt:lpstr>
      <vt:lpstr>sigma</vt:lpstr>
      <vt:lpstr>'Simulation (2)'!t</vt:lpstr>
      <vt:lpstr>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Lewis Wang</cp:lastModifiedBy>
  <dcterms:created xsi:type="dcterms:W3CDTF">2026-02-23T20:58:14Z</dcterms:created>
  <dcterms:modified xsi:type="dcterms:W3CDTF">2026-03-02T18:26:57Z</dcterms:modified>
</cp:coreProperties>
</file>