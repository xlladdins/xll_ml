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7861\source\repos\6491-hw4\xlsx\"/>
    </mc:Choice>
  </mc:AlternateContent>
  <xr:revisionPtr revIDLastSave="0" documentId="13_ncr:1_{5EF3DCAF-7AE4-44F5-8549-DFC643339F74}" xr6:coauthVersionLast="47" xr6:coauthVersionMax="47" xr10:uidLastSave="{00000000-0000-0000-0000-000000000000}"/>
  <bookViews>
    <workbookView xWindow="4290" yWindow="2685" windowWidth="31740" windowHeight="15570" activeTab="2" xr2:uid="{5E38A752-04D7-4C78-952F-E31FCF3159F7}"/>
  </bookViews>
  <sheets>
    <sheet name="Elementary" sheetId="1" r:id="rId1"/>
    <sheet name="Simulation" sheetId="4" r:id="rId2"/>
    <sheet name="Simulation copy" sheetId="5" r:id="rId3"/>
  </sheets>
  <definedNames>
    <definedName name="_M" localSheetId="2">_xlfn.ANCHORARRAY('Simulation copy'!$H$10)</definedName>
    <definedName name="_M">_xlfn.ANCHORARRAY(Simulation!$H$10)</definedName>
    <definedName name="_N" localSheetId="2">_xlfn.ANCHORARRAY('Simulation copy'!$I$10)</definedName>
    <definedName name="_N">_xlfn.ANCHORARRAY(Simulation!$I$10)</definedName>
    <definedName name="A" localSheetId="2">_xlfn.ANCHORARRAY('Simulation copy'!$K$10)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2">_xlfn.ANCHORARRAY('Simulation copy'!$C$10)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2">'Simulation copy'!$C$6</definedName>
    <definedName name="dt">Simulation!$C$6</definedName>
    <definedName name="error" localSheetId="2">'Simulation copy'!$G$6</definedName>
    <definedName name="error">Simulation!$G$6</definedName>
    <definedName name="f" localSheetId="2">'Simulation copy'!$C$3</definedName>
    <definedName name="f">Simulation!$C$3</definedName>
    <definedName name="hedge" localSheetId="2">'Simulation copy'!$G$5</definedName>
    <definedName name="hedge">Simulation!$G$5</definedName>
    <definedName name="k" localSheetId="2">'Simulation copy'!$C$7</definedName>
    <definedName name="k">Simulation!$C$7</definedName>
    <definedName name="last" localSheetId="2">'Simulation copy'!$G$3</definedName>
    <definedName name="last">Simulation!$G$3</definedName>
    <definedName name="M" localSheetId="2">_xlfn.ANCHORARRAY('Simulation copy'!$F$10)</definedName>
    <definedName name="M">_xlfn.ANCHORARRAY(Simulation!$F$10)</definedName>
    <definedName name="mu" localSheetId="2">'Simulation copy'!$C$2</definedName>
    <definedName name="mu">Simulation!$C$2</definedName>
    <definedName name="N" localSheetId="2">_xlfn.ANCHORARRAY('Simulation copy'!$G$10)</definedName>
    <definedName name="N">_xlfn.ANCHORARRAY(Simulation!$G$10)</definedName>
    <definedName name="payoff" localSheetId="2">'Simulation copy'!$G$4</definedName>
    <definedName name="payoff">Simulation!$G$4</definedName>
    <definedName name="put" localSheetId="2">'Simulation copy'!$G$2</definedName>
    <definedName name="put">Simulation!$G$2</definedName>
    <definedName name="R_" localSheetId="2">_xlfn.ANCHORARRAY('Simulation copy'!$D$10)</definedName>
    <definedName name="R_">_xlfn.ANCHORARRAY(Simulation!$D$10)</definedName>
    <definedName name="S_" localSheetId="2">_xlfn.ANCHORARRAY('Simulation copy'!$E$10)</definedName>
    <definedName name="S_">_xlfn.ANCHORARRAY(Simulation!$E$10)</definedName>
    <definedName name="sigma" localSheetId="2">'Simulation copy'!$C$4</definedName>
    <definedName name="sigma">Simulation!$C$4</definedName>
    <definedName name="t" localSheetId="2">'Simulation copy'!$C$5</definedName>
    <definedName name="t">Simulation!$C$5</definedName>
    <definedName name="t_" localSheetId="2">_xlfn.ANCHORARRAY('Simulation copy'!$B$10)</definedName>
    <definedName name="t_">_xlfn.ANCHORARRAY(Simulation!$B$10)</definedName>
    <definedName name="V" localSheetId="2">_xlfn.ANCHORARRAY('Simulation copy'!$J$10)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/>
  <c r="B1" i="4" a="1"/>
  <c r="B1" i="4" s="1"/>
  <c r="B1" i="5" a="1"/>
  <c r="B1" i="5" s="1"/>
  <c r="B10" i="5" a="1"/>
  <c r="O3" i="5" a="1"/>
  <c r="K2" i="5" a="1"/>
  <c r="K2" i="5" s="1"/>
  <c r="J2" i="5" a="1"/>
  <c r="J2" i="5" s="1"/>
  <c r="L2" i="5" s="1"/>
  <c r="I2" i="5" a="1"/>
  <c r="I2" i="5" s="1"/>
  <c r="M2" i="5" s="1"/>
  <c r="G2" i="5" a="1"/>
  <c r="G2" i="5" s="1"/>
  <c r="C6" i="4"/>
  <c r="O3" i="4" a="1"/>
  <c r="H4" i="1"/>
  <c r="F5" i="1"/>
  <c r="D5" i="1"/>
  <c r="D4" i="1"/>
  <c r="K2" i="4" a="1"/>
  <c r="J2" i="4" a="1"/>
  <c r="G2" i="4" a="1"/>
  <c r="I2" i="4" a="1"/>
  <c r="B10" i="4" a="1"/>
  <c r="C10" i="5" l="1" a="1"/>
  <c r="B10" i="5"/>
  <c r="N21" i="5"/>
  <c r="P20" i="5"/>
  <c r="O3" i="5"/>
  <c r="P3" i="5" a="1"/>
  <c r="P3" i="5" s="1"/>
  <c r="O3" i="4"/>
  <c r="P3" i="4" a="1"/>
  <c r="P3" i="4" s="1"/>
  <c r="N21" i="4"/>
  <c r="P20" i="4"/>
  <c r="K2" i="4"/>
  <c r="J2" i="4"/>
  <c r="I2" i="4"/>
  <c r="G2" i="4"/>
  <c r="B10" i="4"/>
  <c r="K5" i="1"/>
  <c r="E4" i="1"/>
  <c r="C10" i="4" a="1"/>
  <c r="C10" i="5" l="1"/>
  <c r="M20" i="5" a="1"/>
  <c r="M14" i="5"/>
  <c r="M14" i="4"/>
  <c r="C10" i="4"/>
  <c r="L2" i="4"/>
  <c r="M2" i="4" s="1"/>
  <c r="G4" i="1"/>
  <c r="E5" i="1"/>
  <c r="J5" i="1" s="1"/>
  <c r="L5" i="1" s="1"/>
  <c r="J4" i="1"/>
  <c r="M20" i="4" a="1"/>
  <c r="D10" i="5" l="1" a="1"/>
  <c r="E10" i="5" a="1"/>
  <c r="M20" i="5"/>
  <c r="M21" i="5"/>
  <c r="M16" i="5" a="1"/>
  <c r="M16" i="5" s="1"/>
  <c r="O20" i="5" a="1"/>
  <c r="M21" i="4"/>
  <c r="M20" i="4"/>
  <c r="E10" i="4" a="1"/>
  <c r="D10" i="4" a="1"/>
  <c r="G5" i="1" a="1"/>
  <c r="G5" i="1" s="1"/>
  <c r="I5" i="1" s="1"/>
  <c r="I4" i="1"/>
  <c r="M16" i="4" a="1"/>
  <c r="O20" i="4" a="1"/>
  <c r="D10" i="5" l="1"/>
  <c r="N14" i="5"/>
  <c r="E10" i="5"/>
  <c r="G3" i="5" a="1"/>
  <c r="G3" i="5" s="1"/>
  <c r="G4" i="5" s="1"/>
  <c r="O21" i="5"/>
  <c r="O20" i="5"/>
  <c r="H4" i="5" a="1"/>
  <c r="D10" i="4"/>
  <c r="M16" i="4"/>
  <c r="N14" i="4"/>
  <c r="O20" i="4"/>
  <c r="O21" i="4"/>
  <c r="E10" i="4"/>
  <c r="I10" i="4" a="1"/>
  <c r="I10" i="5" l="1" a="1"/>
  <c r="L10" i="5" a="1"/>
  <c r="H4" i="5"/>
  <c r="I4" i="5"/>
  <c r="N16" i="4"/>
  <c r="I10" i="4"/>
  <c r="L10" i="4" a="1"/>
  <c r="G3" i="4" a="1"/>
  <c r="G3" i="4" s="1"/>
  <c r="G4" i="4" s="1"/>
  <c r="H4" i="4" a="1"/>
  <c r="L10" i="5" l="1"/>
  <c r="I10" i="5"/>
  <c r="G10" i="5" s="1" a="1"/>
  <c r="N16" i="5"/>
  <c r="L10" i="4"/>
  <c r="G10" i="4" a="1"/>
  <c r="H4" i="4"/>
  <c r="I4" i="4"/>
  <c r="G10" i="5" l="1"/>
  <c r="M11" i="5"/>
  <c r="G10" i="4"/>
  <c r="M11" i="4"/>
  <c r="M10" i="5" l="1"/>
  <c r="F10" i="5" a="1"/>
  <c r="F10" i="4" a="1"/>
  <c r="N11" i="4" s="1"/>
  <c r="M10" i="4"/>
  <c r="N11" i="5" l="1"/>
  <c r="F10" i="5"/>
  <c r="H10" i="5" s="1" a="1"/>
  <c r="F10" i="4"/>
  <c r="H10" i="5" l="1"/>
  <c r="J10" i="5" s="1" a="1"/>
  <c r="N10" i="5"/>
  <c r="K10" i="5" a="1"/>
  <c r="H10" i="4" a="1"/>
  <c r="N10" i="4"/>
  <c r="K10" i="4" a="1"/>
  <c r="J10" i="5" l="1"/>
  <c r="K10" i="5"/>
  <c r="G5" i="5" a="1"/>
  <c r="G5" i="5" s="1"/>
  <c r="G6" i="5" s="1"/>
  <c r="H6" i="5" s="1" a="1"/>
  <c r="K10" i="4"/>
  <c r="G5" i="4" s="1" a="1"/>
  <c r="G5" i="4" s="1"/>
  <c r="G6" i="4" s="1"/>
  <c r="H6" i="4" s="1" a="1"/>
  <c r="H10" i="4"/>
  <c r="J10" i="4" s="1" a="1"/>
  <c r="I6" i="5" l="1"/>
  <c r="J6" i="5" s="1"/>
  <c r="H6" i="5"/>
  <c r="J10" i="4"/>
  <c r="I6" i="4"/>
  <c r="J6" i="4" s="1"/>
  <c r="H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FDAF6E73-C2C7-47A4-955B-A21E6E36D8D2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<sst xmlns="http://schemas.openxmlformats.org/spreadsheetml/2006/main" count="72" uniqueCount="34">
  <si>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</si>
  <si>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</si>
  <si>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</si>
  <si>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</si>
  <si>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</si>
  <si>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</si>
  <si>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</si>
  <si>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</si>
  <si>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</si>
  <si>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</si>
  <si>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</si>
  <si>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</si>
  <si>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</si>
  <si>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</si>
  <si>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</si>
  <si>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</si>
  <si>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</si>
  <si>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</si>
  <si>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</si>
  <si>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</si>
  <si>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</si>
  <si>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</si>
  <si>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</si>
  <si>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</si>
  <si>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</si>
  <si>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</si>
  <si>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</si>
  <si>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</si>
  <si>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</si>
  <si>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</si>
  <si>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</si>
  <si>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</si>
  <si>
    <t>The accuracy and dt seems have positive relationship</t>
  </si>
  <si>
    <t>The accuracy and dt seems have negative relationship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</si>
</sst>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&quot;0x&quot;#"/>
    <numFmt numFmtId="166" formatCode="0.0000"/>
    <numFmt numFmtId="167" formatCode="0.000"/>
    <numFmt numFmtId="168" formatCode="0.0%"/>
    <numFmt numFmtId="169" formatCode="_(* #,##0_);_(* \(#,##0\);_(* &quot;-&quot;??_);_(@_)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5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164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6" fontId="0" fillId="0" borderId="0" xfId="0" applyNumberFormat="1"/>
    <xf numFmtId="166" fontId="5" fillId="0" borderId="0" xfId="0" applyNumberFormat="1" applyFont="1"/>
    <xf numFmtId="0" fontId="5" fillId="0" borderId="0" xfId="0" applyFont="1" applyAlignment="1">
      <alignment horizontal="right"/>
    </xf>
    <xf numFmtId="167" fontId="0" fillId="0" borderId="0" xfId="0" applyNumberFormat="1"/>
    <xf numFmtId="2" fontId="0" fillId="0" borderId="0" xfId="0" applyNumberFormat="1"/>
    <xf numFmtId="166" fontId="7" fillId="3" borderId="3" xfId="4" applyNumberFormat="1"/>
    <xf numFmtId="0" fontId="0" fillId="0" borderId="0" xfId="0" applyAlignment="1">
      <alignment horizontal="center"/>
    </xf>
    <xf numFmtId="0" fontId="10" fillId="0" borderId="0" xfId="0" applyFont="1"/>
    <xf numFmtId="168" fontId="0" fillId="0" borderId="0" xfId="3" applyNumberFormat="1" applyFont="1" applyAlignment="1">
      <alignment horizontal="center"/>
    </xf>
    <xf numFmtId="169" fontId="11" fillId="0" borderId="0" xfId="5" applyNumberFormat="1" applyFont="1"/>
    <xf numFmtId="0" fontId="8" fillId="4" borderId="4" xfId="6"/>
    <xf numFmtId="0" fontId="9" fillId="3" borderId="4" xfId="7"/>
    <xf numFmtId="0" fontId="12" fillId="0" borderId="0" xfId="0" applyFon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/>
  </sheetViews>
  <sheetFormatPr defaultRowHeight="18.75" x14ac:dyDescent="0.3"/>
  <cols>
    <col min="1" max="1" width="3.59765625" customWidth="1"/>
  </cols>
  <sheetData>
    <row r="2" spans="2:12" x14ac:dyDescent="0.3">
      <c r="C2" s="22" t="s">
        <v>0</v>
      </c>
      <c r="D2" s="22"/>
      <c r="E2" s="23" t="s">
        <v>10</v>
      </c>
      <c r="F2" s="23"/>
      <c r="G2" s="23" t="s">
        <v>13</v>
      </c>
      <c r="H2" s="23"/>
      <c r="I2" s="1" t="s">
        <v>11</v>
      </c>
      <c r="J2" s="2" t="s">
        <v>12</v>
      </c>
    </row>
    <row r="3" spans="2:12" x14ac:dyDescent="0.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</row>
    <row r="4" spans="2:12" ht="19.5" thickBot="1" x14ac:dyDescent="0.35">
      <c r="B4">
        <v>0</v>
      </c>
      <c r="C4">
        <v>1</v>
      </c>
      <c r="D4">
        <f ca="1">RAND()</f>
        <v>0.5629566438860083</v>
      </c>
      <c r="E4">
        <f ca="1">-F4*D4</f>
        <v>-1.6888699316580249</v>
      </c>
      <c r="F4" s="17">
        <v>3</v>
      </c>
      <c r="G4">
        <f ca="1">E4</f>
        <v>-1.6888699316580249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20.25" thickTop="1" thickBot="1" x14ac:dyDescent="0.35">
      <c r="B5">
        <v>1</v>
      </c>
      <c r="C5">
        <v>1</v>
      </c>
      <c r="D5">
        <f ca="1">RAND()</f>
        <v>0.671383196191225</v>
      </c>
      <c r="E5">
        <f ca="1">-E4</f>
        <v>1.6888699316580249</v>
      </c>
      <c r="F5" s="18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0.32527965691564997</v>
      </c>
      <c r="K5">
        <f ca="1">F4*(D5-D4)</f>
        <v>0.32527965691565008</v>
      </c>
      <c r="L5" s="5">
        <f ca="1">J5-K5</f>
        <v>0</v>
      </c>
    </row>
    <row r="6" spans="2:12" ht="19.5" thickTop="1" x14ac:dyDescent="0.3"/>
  </sheetData>
  <mergeCells count="3">
    <mergeCell ref="C2:D2"/>
    <mergeCell ref="E2:F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60"/>
  <sheetViews>
    <sheetView workbookViewId="0">
      <selection activeCell="B2" sqref="B2"/>
    </sheetView>
  </sheetViews>
  <sheetFormatPr defaultRowHeight="18.75" x14ac:dyDescent="0.3"/>
  <cols>
    <col min="1" max="1" width="3.59765625" customWidth="1"/>
    <col min="2" max="2" width="9.8984375" bestFit="1" customWidth="1"/>
    <col min="7" max="7" width="11.69921875" bestFit="1" customWidth="1"/>
    <col min="10" max="10" width="10.19921875" bestFit="1" customWidth="1"/>
    <col min="13" max="13" width="11.69921875" bestFit="1" customWidth="1"/>
  </cols>
  <sheetData>
    <row r="1" spans="2:16" x14ac:dyDescent="0.3">
      <c r="B1" s="16" cm="1">
        <f t="array" aca="1" ref="B1" ca="1">_xll.MONTE.COUNT()</f>
        <v>12500</v>
      </c>
    </row>
    <row r="2" spans="2:16" x14ac:dyDescent="0.3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6" x14ac:dyDescent="0.3">
      <c r="B3" s="3" t="s">
        <v>16</v>
      </c>
      <c r="C3">
        <v>100</v>
      </c>
      <c r="F3" s="3" t="s">
        <v>28</v>
      </c>
      <c r="G3" s="7" cm="1">
        <f t="array" aca="1" ref="G3" ca="1">_xlfn.TAKE(S_,-1)</f>
        <v>103.36206698354209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3">
      <c r="B4" s="3" t="s">
        <v>14</v>
      </c>
      <c r="C4">
        <v>0.2</v>
      </c>
      <c r="F4" s="3" t="s">
        <v>24</v>
      </c>
      <c r="G4" s="10">
        <f ca="1">MAX(k - last,0)</f>
        <v>0</v>
      </c>
      <c r="H4" s="10">
        <f t="array" aca="1" ref="H4:I4" ca="1">_xll.MONTE.STDEV(G4)</f>
        <v>4.0019952015769604</v>
      </c>
      <c r="I4" s="10">
        <f ca="1"/>
        <v>5.516924068629609</v>
      </c>
      <c r="M4">
        <v>1E-3</v>
      </c>
      <c r="N4" s="6">
        <v>2</v>
      </c>
      <c r="O4" s="6">
        <v>1</v>
      </c>
      <c r="P4" s="6">
        <v>2</v>
      </c>
    </row>
    <row r="5" spans="2:16" x14ac:dyDescent="0.3">
      <c r="B5" s="3" t="s">
        <v>1</v>
      </c>
      <c r="C5">
        <v>0.25</v>
      </c>
      <c r="F5" s="3" t="s">
        <v>25</v>
      </c>
      <c r="G5" s="10" cm="1">
        <f t="array" aca="1" ref="G5" ca="1">_xlfn.TAKE(A,-1)</f>
        <v>0.13315799333495942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3">
      <c r="B6" s="3" t="s">
        <v>21</v>
      </c>
      <c r="C6">
        <f>0.001</f>
        <v>1E-3</v>
      </c>
      <c r="F6" s="3" t="s">
        <v>29</v>
      </c>
      <c r="G6" s="10">
        <f ca="1">payoff-hedge</f>
        <v>-0.13315799333495942</v>
      </c>
      <c r="H6" s="7">
        <f t="array" aca="1" ref="H6:I6" ca="1">_xll.MONTE.STDEV(error)</f>
        <v>-2.2247891762756768E-3</v>
      </c>
      <c r="I6" s="12">
        <f ca="1"/>
        <v>0.26322312790289104</v>
      </c>
      <c r="J6" s="15">
        <f ca="1">I6/put</f>
        <v>6.6007746410849527E-2</v>
      </c>
      <c r="K6" s="14" t="s">
        <v>30</v>
      </c>
      <c r="M6">
        <v>0.1</v>
      </c>
    </row>
    <row r="7" spans="2:16" x14ac:dyDescent="0.3">
      <c r="B7" s="3" t="s">
        <v>17</v>
      </c>
      <c r="C7">
        <v>100</v>
      </c>
      <c r="K7" t="s">
        <v>32</v>
      </c>
    </row>
    <row r="8" spans="2:16" x14ac:dyDescent="0.3">
      <c r="D8" s="20" t="s">
        <v>0</v>
      </c>
      <c r="E8" s="20"/>
      <c r="F8" s="21" t="s">
        <v>10</v>
      </c>
      <c r="G8" s="21"/>
      <c r="H8" s="21" t="s">
        <v>13</v>
      </c>
      <c r="I8" s="21"/>
      <c r="J8" s="1" t="s">
        <v>11</v>
      </c>
      <c r="K8" s="2" t="s">
        <v>12</v>
      </c>
    </row>
    <row r="9" spans="2:16" x14ac:dyDescent="0.3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3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51.993880583837246</v>
      </c>
      <c r="G10" s="7" cm="1">
        <f t="array" aca="1" ref="G10:G260" ca="1">co(ad(_N))</f>
        <v>-0.48006119416162751</v>
      </c>
      <c r="H10" s="10" cm="1">
        <f t="array" aca="1" ref="H10:H260" ca="1">_xlfn.SCAN(0,M,_xlfn.LAMBDA(_xlpm.a,_xlpm.b,_xlpm.a+_xlpm.b))</f>
        <v>51.993880583837246</v>
      </c>
      <c r="I10" s="7" cm="1">
        <f t="array" aca="1" ref="I10:I260" ca="1">_xlfn.VSTACK(_xlfn.DROP(_xlfn.MAP(t_,S_,_xlfn.LAMBDA(_xlpm._t,_xlpm._S,_xll.OPTION.BLACK.PUT_DELTA(_xlpm._S,sigma*SQRT(t - _xlpm._t),k))),-1),0)</f>
        <v>-0.48006119416162751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51.993880583837246</v>
      </c>
      <c r="N10" s="19">
        <f ca="1">F10-M10</f>
        <v>0</v>
      </c>
    </row>
    <row r="11" spans="2:16" x14ac:dyDescent="0.3">
      <c r="B11">
        <v>1E-3</v>
      </c>
      <c r="C11">
        <f ca="1"/>
        <v>1.4217587904940746E-2</v>
      </c>
      <c r="D11">
        <f ca="1"/>
        <v>1</v>
      </c>
      <c r="E11" s="11">
        <f ca="1"/>
        <v>100.28275074610349</v>
      </c>
      <c r="F11" s="10">
        <f ca="1"/>
        <v>-1.125515267748608</v>
      </c>
      <c r="G11" s="7">
        <f ca="1"/>
        <v>1.1223418378283168E-2</v>
      </c>
      <c r="H11" s="10">
        <f ca="1"/>
        <v>50.868365316088635</v>
      </c>
      <c r="I11" s="7">
        <f ca="1"/>
        <v>-0.46883777578334435</v>
      </c>
      <c r="J11" s="7">
        <f ca="1"/>
        <v>3.8520235068499602</v>
      </c>
      <c r="K11">
        <f ca="1"/>
        <v>0</v>
      </c>
      <c r="L11">
        <f ca="1"/>
        <v>0</v>
      </c>
      <c r="M11" s="19">
        <f ca="1" xml:space="preserve"> - G11*E11</f>
        <v>-1.125515267748608</v>
      </c>
      <c r="N11" s="19">
        <f ca="1">F11-M11</f>
        <v>0</v>
      </c>
    </row>
    <row r="12" spans="2:16" x14ac:dyDescent="0.3">
      <c r="B12">
        <v>2E-3</v>
      </c>
      <c r="C12">
        <f ca="1"/>
        <v>-2.2909161817184526E-2</v>
      </c>
      <c r="D12">
        <f ca="1"/>
        <v>1</v>
      </c>
      <c r="E12" s="11">
        <f ca="1"/>
        <v>99.538883186800504</v>
      </c>
      <c r="F12" s="10">
        <f ca="1"/>
        <v>2.9670255832351349</v>
      </c>
      <c r="G12" s="7">
        <f ca="1"/>
        <v>-2.9807704167898297E-2</v>
      </c>
      <c r="H12" s="10">
        <f ca="1"/>
        <v>53.83539089932377</v>
      </c>
      <c r="I12" s="7">
        <f ca="1"/>
        <v>-0.49864547995124264</v>
      </c>
      <c r="J12" s="7">
        <f ca="1"/>
        <v>4.2007767188309586</v>
      </c>
      <c r="K12">
        <f ca="1"/>
        <v>0</v>
      </c>
      <c r="L12">
        <f ca="1"/>
        <v>0.46111681319949582</v>
      </c>
    </row>
    <row r="13" spans="2:16" x14ac:dyDescent="0.3">
      <c r="B13">
        <v>3.0000000000000001E-3</v>
      </c>
      <c r="C13">
        <f ca="1"/>
        <v>3.8094708306431309E-2</v>
      </c>
      <c r="D13">
        <f ca="1"/>
        <v>1</v>
      </c>
      <c r="E13" s="11">
        <f ca="1"/>
        <v>100.75875825803374</v>
      </c>
      <c r="F13" s="10">
        <f ca="1"/>
        <v>-4.904840982263357</v>
      </c>
      <c r="G13" s="7">
        <f ca="1"/>
        <v>4.8679053484388113E-2</v>
      </c>
      <c r="H13" s="10">
        <f ca="1"/>
        <v>48.930549917060411</v>
      </c>
      <c r="I13" s="7">
        <f ca="1"/>
        <v>-0.44996642646685453</v>
      </c>
      <c r="J13" s="7">
        <f ca="1"/>
        <v>3.5924915284553052</v>
      </c>
      <c r="K13">
        <f ca="1"/>
        <v>0</v>
      </c>
      <c r="L13">
        <f ca="1"/>
        <v>0</v>
      </c>
    </row>
    <row r="14" spans="2:16" x14ac:dyDescent="0.3">
      <c r="B14">
        <v>4.0000000000000001E-3</v>
      </c>
      <c r="C14">
        <f ca="1"/>
        <v>5.3753280203810837E-2</v>
      </c>
      <c r="D14">
        <f ca="1"/>
        <v>1</v>
      </c>
      <c r="E14" s="11">
        <f ca="1"/>
        <v>101.07277905309265</v>
      </c>
      <c r="F14" s="10">
        <f ca="1"/>
        <v>-1.2543728185155019</v>
      </c>
      <c r="G14" s="7">
        <f ca="1"/>
        <v>1.2410589975532293E-2</v>
      </c>
      <c r="H14" s="10">
        <f ca="1"/>
        <v>47.676177098544912</v>
      </c>
      <c r="I14" s="7">
        <f ca="1"/>
        <v>-0.43755583649132224</v>
      </c>
      <c r="J14" s="7">
        <f ca="1"/>
        <v>3.4511927134663694</v>
      </c>
      <c r="K14">
        <f ca="1"/>
        <v>0</v>
      </c>
      <c r="L14">
        <f ca="1"/>
        <v>0</v>
      </c>
      <c r="M14" s="19">
        <f ca="1">f*EXP(sigma*C14-sigma^2*B14/2)</f>
        <v>101.07277905309265</v>
      </c>
      <c r="N14" s="19">
        <f ca="1">E14-M14</f>
        <v>0</v>
      </c>
    </row>
    <row r="15" spans="2:16" x14ac:dyDescent="0.3">
      <c r="B15">
        <v>5.0000000000000001E-3</v>
      </c>
      <c r="C15">
        <f ca="1"/>
        <v>5.8489197730025068E-2</v>
      </c>
      <c r="D15">
        <f ca="1"/>
        <v>1</v>
      </c>
      <c r="E15" s="11">
        <f ca="1"/>
        <v>101.16653552467008</v>
      </c>
      <c r="F15" s="10">
        <f ca="1"/>
        <v>-0.37779916369958738</v>
      </c>
      <c r="G15" s="7">
        <f ca="1"/>
        <v>3.7344282053373146E-3</v>
      </c>
      <c r="H15" s="10">
        <f ca="1"/>
        <v>47.298377934845327</v>
      </c>
      <c r="I15" s="7">
        <f ca="1"/>
        <v>-0.43382140828598492</v>
      </c>
      <c r="J15" s="7">
        <f ca="1"/>
        <v>3.4101690221188292</v>
      </c>
      <c r="K15">
        <f ca="1"/>
        <v>0</v>
      </c>
      <c r="L15">
        <f ca="1"/>
        <v>0</v>
      </c>
    </row>
    <row r="16" spans="2:16" x14ac:dyDescent="0.3">
      <c r="B16">
        <v>6.0000000000000001E-3</v>
      </c>
      <c r="C16">
        <f ca="1"/>
        <v>0.10685132518789188</v>
      </c>
      <c r="D16">
        <f ca="1"/>
        <v>1</v>
      </c>
      <c r="E16" s="11">
        <f ca="1"/>
        <v>102.14776597962162</v>
      </c>
      <c r="F16" s="10">
        <f ca="1"/>
        <v>-3.89412692482823</v>
      </c>
      <c r="G16" s="7">
        <f ca="1"/>
        <v>3.8122487432618979E-2</v>
      </c>
      <c r="H16" s="10">
        <f ca="1"/>
        <v>43.404251010017099</v>
      </c>
      <c r="I16" s="7">
        <f ca="1"/>
        <v>-0.39569892085336594</v>
      </c>
      <c r="J16" s="7">
        <f ca="1"/>
        <v>2.9844902442986552</v>
      </c>
      <c r="K16">
        <f ca="1"/>
        <v>0</v>
      </c>
      <c r="L16">
        <f ca="1"/>
        <v>0</v>
      </c>
      <c r="M16" s="19" cm="1">
        <f t="array" aca="1" ref="M16" ca="1">_xll.OPTION.BLACK.PUT_DELTA(E16,sigma*SQRT(t - B16),k)</f>
        <v>-0.39569892085336594</v>
      </c>
      <c r="N16" s="19">
        <f ca="1">I16-M16</f>
        <v>0</v>
      </c>
    </row>
    <row r="17" spans="2:16" x14ac:dyDescent="0.3">
      <c r="B17">
        <v>7.0000000000000001E-3</v>
      </c>
      <c r="C17">
        <f ca="1"/>
        <v>4.6983868040506888E-2</v>
      </c>
      <c r="D17">
        <f ca="1"/>
        <v>1</v>
      </c>
      <c r="E17" s="11">
        <f ca="1"/>
        <v>100.9299750042268</v>
      </c>
      <c r="F17" s="10">
        <f ca="1"/>
        <v>4.7813045421816751</v>
      </c>
      <c r="G17" s="7">
        <f ca="1"/>
        <v>-4.7372493077318611E-2</v>
      </c>
      <c r="H17" s="10">
        <f ca="1"/>
        <v>48.185555552198771</v>
      </c>
      <c r="I17" s="7">
        <f ca="1"/>
        <v>-0.44307141393068455</v>
      </c>
      <c r="J17" s="7">
        <f ca="1"/>
        <v>3.4663688190873501</v>
      </c>
      <c r="K17">
        <f ca="1"/>
        <v>0</v>
      </c>
      <c r="L17">
        <f ca="1"/>
        <v>0</v>
      </c>
    </row>
    <row r="18" spans="2:16" x14ac:dyDescent="0.3">
      <c r="B18">
        <v>8.0000000000000002E-3</v>
      </c>
      <c r="C18">
        <f ca="1"/>
        <v>7.3950565229862417E-2</v>
      </c>
      <c r="D18">
        <f ca="1"/>
        <v>1</v>
      </c>
      <c r="E18" s="11">
        <f ca="1"/>
        <v>101.47376569697302</v>
      </c>
      <c r="F18" s="10">
        <f ca="1"/>
        <v>-2.1824052031999641</v>
      </c>
      <c r="G18" s="7">
        <f ca="1"/>
        <v>2.1507087947412851E-2</v>
      </c>
      <c r="H18" s="10">
        <f ca="1"/>
        <v>46.003150348998808</v>
      </c>
      <c r="I18" s="7">
        <f ca="1"/>
        <v>-0.4215643259832717</v>
      </c>
      <c r="J18" s="7">
        <f ca="1"/>
        <v>3.2254307079699416</v>
      </c>
      <c r="K18">
        <f ca="1"/>
        <v>0</v>
      </c>
      <c r="L18">
        <f ca="1"/>
        <v>0</v>
      </c>
    </row>
    <row r="19" spans="2:16" x14ac:dyDescent="0.3">
      <c r="B19">
        <v>9.0000000000000011E-3</v>
      </c>
      <c r="C19">
        <f ca="1"/>
        <v>0.13579947396215786</v>
      </c>
      <c r="D19">
        <f ca="1"/>
        <v>1</v>
      </c>
      <c r="E19" s="11">
        <f ca="1"/>
        <v>102.73471475282052</v>
      </c>
      <c r="F19" s="10">
        <f ca="1"/>
        <v>-4.9878464105963349</v>
      </c>
      <c r="G19" s="7">
        <f ca="1"/>
        <v>4.855073986039754E-2</v>
      </c>
      <c r="H19" s="10">
        <f ca="1"/>
        <v>41.015303938402475</v>
      </c>
      <c r="I19" s="7">
        <f ca="1"/>
        <v>-0.37301358612287416</v>
      </c>
      <c r="J19" s="7">
        <f ca="1"/>
        <v>2.6938595691423473</v>
      </c>
      <c r="K19">
        <f ca="1"/>
        <v>0</v>
      </c>
      <c r="L19">
        <f ca="1"/>
        <v>0</v>
      </c>
    </row>
    <row r="20" spans="2:16" x14ac:dyDescent="0.3">
      <c r="B20">
        <v>0.01</v>
      </c>
      <c r="C20">
        <f ca="1"/>
        <v>5.8041281498499839E-2</v>
      </c>
      <c r="D20">
        <f ca="1"/>
        <v>1</v>
      </c>
      <c r="E20" s="11">
        <f ca="1"/>
        <v>101.14735786238704</v>
      </c>
      <c r="F20" s="10">
        <f ca="1"/>
        <v>6.1994451927602041</v>
      </c>
      <c r="G20" s="7">
        <f ca="1"/>
        <v>-6.1291222269934831E-2</v>
      </c>
      <c r="H20" s="10">
        <f ca="1"/>
        <v>47.214749131162677</v>
      </c>
      <c r="I20" s="7">
        <f ca="1"/>
        <v>-0.43430480839280899</v>
      </c>
      <c r="J20" s="7">
        <f ca="1"/>
        <v>3.2859652552997929</v>
      </c>
      <c r="K20">
        <f ca="1"/>
        <v>0</v>
      </c>
      <c r="L20">
        <f ca="1"/>
        <v>0</v>
      </c>
      <c r="M20" s="6">
        <f t="array" aca="1" ref="M20:M21" ca="1">_xll.MONTE.STDEV(C20)</f>
        <v>-4.1494785870722407E-4</v>
      </c>
      <c r="N20" s="6">
        <v>0</v>
      </c>
      <c r="O20" s="6">
        <f t="array" aca="1" ref="O20:O21" ca="1">_xll.MONTE.STDEV(E20)</f>
        <v>99.991445585041063</v>
      </c>
      <c r="P20" s="6">
        <f>f*EXP(mu*B20)</f>
        <v>100</v>
      </c>
    </row>
    <row r="21" spans="2:16" x14ac:dyDescent="0.3">
      <c r="B21">
        <v>1.0999999999999999E-2</v>
      </c>
      <c r="C21">
        <f ca="1"/>
        <v>-2.6640045671492404E-2</v>
      </c>
      <c r="D21">
        <f ca="1"/>
        <v>1</v>
      </c>
      <c r="E21" s="11">
        <f ca="1"/>
        <v>99.446735264614958</v>
      </c>
      <c r="F21" s="10">
        <f ca="1"/>
        <v>6.8447982448545686</v>
      </c>
      <c r="G21" s="7">
        <f ca="1"/>
        <v>-6.8828787859565643E-2</v>
      </c>
      <c r="H21" s="10">
        <f ca="1"/>
        <v>54.059547376017242</v>
      </c>
      <c r="I21" s="7">
        <f ca="1"/>
        <v>-0.50313359625237464</v>
      </c>
      <c r="J21" s="7">
        <f ca="1"/>
        <v>4.0245538267736762</v>
      </c>
      <c r="K21">
        <f ca="1"/>
        <v>0</v>
      </c>
      <c r="L21">
        <f ca="1"/>
        <v>0.55326473538504217</v>
      </c>
      <c r="M21" s="6">
        <f ca="1"/>
        <v>0.11980656443947259</v>
      </c>
      <c r="N21" s="6">
        <f>SQRT(B20)</f>
        <v>0.1</v>
      </c>
      <c r="O21" s="6">
        <f ca="1"/>
        <v>2.3961198573913403</v>
      </c>
      <c r="P21" s="6"/>
    </row>
    <row r="22" spans="2:16" x14ac:dyDescent="0.3">
      <c r="B22">
        <v>1.2E-2</v>
      </c>
      <c r="C22">
        <f ca="1"/>
        <v>-1.1670730363842302E-2</v>
      </c>
      <c r="D22">
        <f ca="1"/>
        <v>1</v>
      </c>
      <c r="E22" s="11">
        <f ca="1"/>
        <v>99.742916420024883</v>
      </c>
      <c r="F22" s="10">
        <f ca="1"/>
        <v>-1.2039249538400651</v>
      </c>
      <c r="G22" s="7">
        <f ca="1"/>
        <v>1.2070280246972598E-2</v>
      </c>
      <c r="H22" s="10">
        <f ca="1"/>
        <v>52.855622422177177</v>
      </c>
      <c r="I22" s="7">
        <f ca="1"/>
        <v>-0.49106331600540204</v>
      </c>
      <c r="J22" s="7">
        <f ca="1"/>
        <v>3.875535136910095</v>
      </c>
      <c r="K22">
        <f ca="1"/>
        <v>0</v>
      </c>
      <c r="L22">
        <f ca="1"/>
        <v>0.25708357997511655</v>
      </c>
    </row>
    <row r="23" spans="2:16" x14ac:dyDescent="0.3">
      <c r="B23">
        <v>1.3000000000000001E-2</v>
      </c>
      <c r="C23">
        <f ca="1"/>
        <v>-2.5711124930132986E-2</v>
      </c>
      <c r="D23">
        <f ca="1"/>
        <v>1</v>
      </c>
      <c r="E23" s="11">
        <f ca="1"/>
        <v>99.461234079036913</v>
      </c>
      <c r="F23" s="10">
        <f ca="1"/>
        <v>1.1587281835462682</v>
      </c>
      <c r="G23" s="7">
        <f ca="1"/>
        <v>-1.1650048325616835E-2</v>
      </c>
      <c r="H23" s="10">
        <f ca="1"/>
        <v>54.014350605723443</v>
      </c>
      <c r="I23" s="7">
        <f ca="1"/>
        <v>-0.50271336433101887</v>
      </c>
      <c r="J23" s="7">
        <f ca="1"/>
        <v>4.0138590013358098</v>
      </c>
      <c r="K23">
        <f ca="1"/>
        <v>0</v>
      </c>
      <c r="L23">
        <f ca="1"/>
        <v>0.53876592096308684</v>
      </c>
    </row>
    <row r="24" spans="2:16" x14ac:dyDescent="0.3">
      <c r="B24">
        <v>1.4E-2</v>
      </c>
      <c r="C24">
        <f ca="1"/>
        <v>-2.4526819372805139E-2</v>
      </c>
      <c r="D24">
        <f ca="1"/>
        <v>1</v>
      </c>
      <c r="E24" s="11">
        <f ca="1"/>
        <v>99.482805691744431</v>
      </c>
      <c r="F24" s="10">
        <f ca="1"/>
        <v>-7.9841420458081236E-2</v>
      </c>
      <c r="G24" s="7">
        <f ca="1"/>
        <v>8.0256502521125483E-4</v>
      </c>
      <c r="H24" s="10">
        <f ca="1"/>
        <v>53.934509185265362</v>
      </c>
      <c r="I24" s="7">
        <f ca="1"/>
        <v>-0.50191079930580762</v>
      </c>
      <c r="J24" s="7">
        <f ca="1"/>
        <v>4.0030146633375665</v>
      </c>
      <c r="K24">
        <f ca="1"/>
        <v>0</v>
      </c>
      <c r="L24">
        <f ca="1"/>
        <v>0.51719430825556856</v>
      </c>
    </row>
    <row r="25" spans="2:16" x14ac:dyDescent="0.3">
      <c r="B25">
        <v>1.4999999999999999E-2</v>
      </c>
      <c r="C25">
        <f ca="1"/>
        <v>2.7304747256459053E-2</v>
      </c>
      <c r="D25">
        <f ca="1"/>
        <v>1</v>
      </c>
      <c r="E25" s="11">
        <f ca="1"/>
        <v>100.51742900911603</v>
      </c>
      <c r="F25" s="10">
        <f ca="1"/>
        <v>-4.2636020127972021</v>
      </c>
      <c r="G25" s="7">
        <f ca="1"/>
        <v>4.241654462143607E-2</v>
      </c>
      <c r="H25" s="10">
        <f ca="1"/>
        <v>49.670907172468162</v>
      </c>
      <c r="I25" s="7">
        <f ca="1"/>
        <v>-0.45949425468437155</v>
      </c>
      <c r="J25" s="7">
        <f ca="1"/>
        <v>3.4837260471351641</v>
      </c>
      <c r="K25">
        <f ca="1"/>
        <v>0</v>
      </c>
      <c r="L25">
        <f ca="1"/>
        <v>0</v>
      </c>
    </row>
    <row r="26" spans="2:16" x14ac:dyDescent="0.3">
      <c r="B26">
        <v>1.6E-2</v>
      </c>
      <c r="C26">
        <f ca="1"/>
        <v>2.9941659103158758E-2</v>
      </c>
      <c r="D26">
        <f ca="1"/>
        <v>1</v>
      </c>
      <c r="E26" s="11">
        <f ca="1"/>
        <v>100.56844272104122</v>
      </c>
      <c r="F26" s="10">
        <f ca="1"/>
        <v>-0.20968273690359474</v>
      </c>
      <c r="G26" s="7">
        <f ca="1"/>
        <v>2.0849754776974816E-3</v>
      </c>
      <c r="H26" s="10">
        <f ca="1"/>
        <v>49.461224435564567</v>
      </c>
      <c r="I26" s="7">
        <f ca="1"/>
        <v>-0.45740927920667407</v>
      </c>
      <c r="J26" s="7">
        <f ca="1"/>
        <v>3.4602855395954109</v>
      </c>
      <c r="K26">
        <f ca="1"/>
        <v>0</v>
      </c>
      <c r="L26">
        <f ca="1"/>
        <v>0</v>
      </c>
    </row>
    <row r="27" spans="2:16" x14ac:dyDescent="0.3">
      <c r="B27">
        <v>1.7000000000000001E-2</v>
      </c>
      <c r="C27">
        <f ca="1"/>
        <v>6.8505373753465978E-2</v>
      </c>
      <c r="D27">
        <f ca="1"/>
        <v>1</v>
      </c>
      <c r="E27" s="11">
        <f ca="1"/>
        <v>101.34507327741289</v>
      </c>
      <c r="F27" s="10">
        <f ca="1"/>
        <v>-3.187230302040561</v>
      </c>
      <c r="G27" s="7">
        <f ca="1"/>
        <v>3.1449287064168607E-2</v>
      </c>
      <c r="H27" s="10">
        <f ca="1"/>
        <v>46.273994133524006</v>
      </c>
      <c r="I27" s="7">
        <f ca="1"/>
        <v>-0.42595999214250546</v>
      </c>
      <c r="J27" s="7">
        <f ca="1"/>
        <v>3.1050475165955689</v>
      </c>
      <c r="K27">
        <f ca="1"/>
        <v>0</v>
      </c>
      <c r="L27">
        <f ca="1"/>
        <v>0</v>
      </c>
    </row>
    <row r="28" spans="2:16" x14ac:dyDescent="0.3">
      <c r="B28">
        <v>1.8000000000000002E-2</v>
      </c>
      <c r="C28">
        <f ca="1"/>
        <v>3.6476456613506118E-2</v>
      </c>
      <c r="D28">
        <f ca="1"/>
        <v>1</v>
      </c>
      <c r="E28" s="11">
        <f ca="1"/>
        <v>100.69593961480081</v>
      </c>
      <c r="F28" s="10">
        <f ca="1"/>
        <v>2.6400890760863645</v>
      </c>
      <c r="G28" s="7">
        <f ca="1"/>
        <v>-2.6218426345547607E-2</v>
      </c>
      <c r="H28" s="10">
        <f ca="1"/>
        <v>48.914083209610368</v>
      </c>
      <c r="I28" s="7">
        <f ca="1"/>
        <v>-0.45217841848805307</v>
      </c>
      <c r="J28" s="7">
        <f ca="1"/>
        <v>3.3815524864212492</v>
      </c>
      <c r="K28">
        <f ca="1"/>
        <v>0</v>
      </c>
      <c r="L28">
        <f ca="1"/>
        <v>0</v>
      </c>
    </row>
    <row r="29" spans="2:16" x14ac:dyDescent="0.3">
      <c r="B29">
        <v>1.9E-2</v>
      </c>
      <c r="C29">
        <f ca="1"/>
        <v>-6.471780728535638E-3</v>
      </c>
      <c r="D29">
        <f ca="1"/>
        <v>1</v>
      </c>
      <c r="E29" s="11">
        <f ca="1"/>
        <v>99.832704480653746</v>
      </c>
      <c r="F29" s="10">
        <f ca="1"/>
        <v>3.5538786755351999</v>
      </c>
      <c r="G29" s="7">
        <f ca="1"/>
        <v>-3.5598341185116289E-2</v>
      </c>
      <c r="H29" s="10">
        <f ca="1"/>
        <v>52.46796188514557</v>
      </c>
      <c r="I29" s="7">
        <f ca="1"/>
        <v>-0.48777675967316936</v>
      </c>
      <c r="J29" s="7">
        <f ca="1"/>
        <v>3.7718887841631883</v>
      </c>
      <c r="K29">
        <f ca="1"/>
        <v>0</v>
      </c>
      <c r="L29">
        <f ca="1"/>
        <v>0.1672955193462542</v>
      </c>
    </row>
    <row r="30" spans="2:16" x14ac:dyDescent="0.3">
      <c r="B30">
        <v>0.02</v>
      </c>
      <c r="C30">
        <f ca="1"/>
        <v>-6.3310499990699796E-3</v>
      </c>
      <c r="D30">
        <f ca="1"/>
        <v>1</v>
      </c>
      <c r="E30" s="11">
        <f ca="1"/>
        <v>99.833517735741793</v>
      </c>
      <c r="F30" s="10">
        <f ca="1"/>
        <v>2.2707146590713015E-3</v>
      </c>
      <c r="G30" s="7">
        <f ca="1"/>
        <v>-2.2745013003366843E-5</v>
      </c>
      <c r="H30" s="10">
        <f ca="1"/>
        <v>52.470232599804639</v>
      </c>
      <c r="I30" s="7">
        <f ca="1"/>
        <v>-0.48779950468617272</v>
      </c>
      <c r="J30" s="7">
        <f ca="1"/>
        <v>3.7714920972315511</v>
      </c>
      <c r="K30">
        <f ca="1"/>
        <v>0</v>
      </c>
      <c r="L30">
        <f ca="1"/>
        <v>0.16648226425820667</v>
      </c>
    </row>
    <row r="31" spans="2:16" x14ac:dyDescent="0.3">
      <c r="B31">
        <v>2.1000000000000001E-2</v>
      </c>
      <c r="C31">
        <f ca="1"/>
        <v>-4.630807703495169E-2</v>
      </c>
      <c r="D31">
        <f ca="1"/>
        <v>1</v>
      </c>
      <c r="E31" s="11">
        <f ca="1"/>
        <v>99.036510054792799</v>
      </c>
      <c r="F31" s="10">
        <f ca="1"/>
        <v>3.3133315546623652</v>
      </c>
      <c r="G31" s="7">
        <f ca="1"/>
        <v>-3.3455657442182041E-2</v>
      </c>
      <c r="H31" s="10">
        <f ca="1"/>
        <v>55.783564154467001</v>
      </c>
      <c r="I31" s="7">
        <f ca="1"/>
        <v>-0.52125516212835477</v>
      </c>
      <c r="J31" s="7">
        <f ca="1"/>
        <v>4.1602720492295404</v>
      </c>
      <c r="K31">
        <f ca="1"/>
        <v>0</v>
      </c>
      <c r="L31">
        <f ca="1"/>
        <v>0.96348994520720055</v>
      </c>
    </row>
    <row r="32" spans="2:16" x14ac:dyDescent="0.3">
      <c r="B32">
        <v>2.1999999999999999E-2</v>
      </c>
      <c r="C32">
        <f ca="1"/>
        <v>-3.0810133726275134E-2</v>
      </c>
      <c r="D32">
        <f ca="1"/>
        <v>1</v>
      </c>
      <c r="E32" s="11">
        <f ca="1"/>
        <v>99.34197187522156</v>
      </c>
      <c r="F32" s="10">
        <f ca="1"/>
        <v>-1.2641584099655023</v>
      </c>
      <c r="G32" s="7">
        <f ca="1"/>
        <v>1.2725320286105735E-2</v>
      </c>
      <c r="H32" s="10">
        <f ca="1"/>
        <v>54.519405744501498</v>
      </c>
      <c r="I32" s="7">
        <f ca="1"/>
        <v>-0.50852984184224903</v>
      </c>
      <c r="J32" s="7">
        <f ca="1"/>
        <v>4.0010484984979229</v>
      </c>
      <c r="K32">
        <f ca="1"/>
        <v>0</v>
      </c>
      <c r="L32">
        <f ca="1"/>
        <v>0.65802812477843986</v>
      </c>
    </row>
    <row r="33" spans="2:12" x14ac:dyDescent="0.3">
      <c r="B33">
        <v>2.3E-2</v>
      </c>
      <c r="C33">
        <f ca="1"/>
        <v>-3.854783162308266E-2</v>
      </c>
      <c r="D33">
        <f ca="1"/>
        <v>1</v>
      </c>
      <c r="E33" s="11">
        <f ca="1"/>
        <v>99.186371389237038</v>
      </c>
      <c r="F33" s="10">
        <f ca="1"/>
        <v>0.6608019569121889</v>
      </c>
      <c r="G33" s="7">
        <f ca="1"/>
        <v>-6.6622253406065646E-3</v>
      </c>
      <c r="H33" s="10">
        <f ca="1"/>
        <v>55.180207701413686</v>
      </c>
      <c r="I33" s="7">
        <f ca="1"/>
        <v>-0.5151920671828556</v>
      </c>
      <c r="J33" s="7">
        <f ca="1"/>
        <v>4.080175989026209</v>
      </c>
      <c r="K33">
        <f ca="1"/>
        <v>0</v>
      </c>
      <c r="L33">
        <f ca="1"/>
        <v>0.81362861076296156</v>
      </c>
    </row>
    <row r="34" spans="2:12" x14ac:dyDescent="0.3">
      <c r="B34">
        <v>2.4E-2</v>
      </c>
      <c r="C34">
        <f ca="1"/>
        <v>-8.1719509167469007E-2</v>
      </c>
      <c r="D34">
        <f ca="1"/>
        <v>1</v>
      </c>
      <c r="E34" s="11">
        <f ca="1"/>
        <v>98.331682968000095</v>
      </c>
      <c r="F34" s="10">
        <f ca="1"/>
        <v>3.5684795092196304</v>
      </c>
      <c r="G34" s="7">
        <f ca="1"/>
        <v>-3.6290231200262424E-2</v>
      </c>
      <c r="H34" s="10">
        <f ca="1"/>
        <v>58.748687210633314</v>
      </c>
      <c r="I34" s="7">
        <f ca="1"/>
        <v>-0.55148229838311802</v>
      </c>
      <c r="J34" s="7">
        <f ca="1"/>
        <v>4.5205046835605245</v>
      </c>
      <c r="K34">
        <f ca="1"/>
        <v>0</v>
      </c>
      <c r="L34">
        <f ca="1"/>
        <v>1.668317031999905</v>
      </c>
    </row>
    <row r="35" spans="2:12" x14ac:dyDescent="0.3">
      <c r="B35">
        <v>2.5000000000000001E-2</v>
      </c>
      <c r="C35">
        <f ca="1"/>
        <v>-8.9009406067129843E-2</v>
      </c>
      <c r="D35">
        <f ca="1"/>
        <v>1</v>
      </c>
      <c r="E35" s="11">
        <f ca="1"/>
        <v>98.186458114285031</v>
      </c>
      <c r="F35" s="10">
        <f ca="1"/>
        <v>0.62383409689429126</v>
      </c>
      <c r="G35" s="7">
        <f ca="1"/>
        <v>-6.3535655412702008E-3</v>
      </c>
      <c r="H35" s="10">
        <f ca="1"/>
        <v>59.372521307527606</v>
      </c>
      <c r="I35" s="7">
        <f ca="1"/>
        <v>-0.55783586392438822</v>
      </c>
      <c r="J35" s="7">
        <f ca="1"/>
        <v>4.6005936196696595</v>
      </c>
      <c r="K35">
        <f ca="1"/>
        <v>0</v>
      </c>
      <c r="L35">
        <f ca="1"/>
        <v>1.8135418857149688</v>
      </c>
    </row>
    <row r="36" spans="2:12" x14ac:dyDescent="0.3">
      <c r="B36">
        <v>2.6000000000000002E-2</v>
      </c>
      <c r="C36">
        <f ca="1"/>
        <v>-2.7673166910491952E-2</v>
      </c>
      <c r="D36">
        <f ca="1"/>
        <v>1</v>
      </c>
      <c r="E36" s="11">
        <f ca="1"/>
        <v>99.396365897414114</v>
      </c>
      <c r="F36" s="10">
        <f ca="1"/>
        <v>-5.0890665752859636</v>
      </c>
      <c r="G36" s="7">
        <f ca="1"/>
        <v>5.1199724751892162E-2</v>
      </c>
      <c r="H36" s="10">
        <f ca="1"/>
        <v>54.283454732241644</v>
      </c>
      <c r="I36" s="7">
        <f ca="1"/>
        <v>-0.50663613917249606</v>
      </c>
      <c r="J36" s="7">
        <f ca="1"/>
        <v>3.9256636661990072</v>
      </c>
      <c r="K36">
        <f ca="1"/>
        <v>0</v>
      </c>
      <c r="L36">
        <f ca="1"/>
        <v>0.60363410258588601</v>
      </c>
    </row>
    <row r="37" spans="2:12" x14ac:dyDescent="0.3">
      <c r="B37">
        <v>2.7E-2</v>
      </c>
      <c r="C37">
        <f ca="1"/>
        <v>-5.8113328536936668E-2</v>
      </c>
      <c r="D37">
        <f ca="1"/>
        <v>1</v>
      </c>
      <c r="E37" s="11">
        <f ca="1"/>
        <v>98.79110005493537</v>
      </c>
      <c r="F37" s="10">
        <f ca="1"/>
        <v>2.5551495158979711</v>
      </c>
      <c r="G37" s="7">
        <f ca="1"/>
        <v>-2.5864167060363874E-2</v>
      </c>
      <c r="H37" s="10">
        <f ca="1"/>
        <v>56.838604248139617</v>
      </c>
      <c r="I37" s="7">
        <f ca="1"/>
        <v>-0.53250030623285993</v>
      </c>
      <c r="J37" s="7">
        <f ca="1"/>
        <v>4.2323132158054264</v>
      </c>
      <c r="K37">
        <f ca="1"/>
        <v>0</v>
      </c>
      <c r="L37">
        <f ca="1"/>
        <v>1.2088999450646298</v>
      </c>
    </row>
    <row r="38" spans="2:12" x14ac:dyDescent="0.3">
      <c r="B38">
        <v>2.8000000000000001E-2</v>
      </c>
      <c r="C38">
        <f ca="1"/>
        <v>-8.2816830295987881E-2</v>
      </c>
      <c r="D38">
        <f ca="1"/>
        <v>1</v>
      </c>
      <c r="E38" s="11">
        <f ca="1"/>
        <v>98.302240555392615</v>
      </c>
      <c r="F38" s="10">
        <f ca="1"/>
        <v>2.0676439203748318</v>
      </c>
      <c r="G38" s="7">
        <f ca="1"/>
        <v>-2.1033538083089054E-2</v>
      </c>
      <c r="H38" s="10">
        <f ca="1"/>
        <v>58.906248168514452</v>
      </c>
      <c r="I38" s="7">
        <f ca="1"/>
        <v>-0.55353384431594899</v>
      </c>
      <c r="J38" s="7">
        <f ca="1"/>
        <v>4.4926310490167864</v>
      </c>
      <c r="K38">
        <f ca="1"/>
        <v>0</v>
      </c>
      <c r="L38">
        <f ca="1"/>
        <v>1.6977594446073851</v>
      </c>
    </row>
    <row r="39" spans="2:12" x14ac:dyDescent="0.3">
      <c r="B39">
        <v>2.9000000000000001E-2</v>
      </c>
      <c r="C39">
        <f ca="1"/>
        <v>-8.4953174082276151E-2</v>
      </c>
      <c r="D39">
        <f ca="1"/>
        <v>1</v>
      </c>
      <c r="E39" s="11">
        <f ca="1"/>
        <v>98.258282865607214</v>
      </c>
      <c r="F39" s="10">
        <f ca="1"/>
        <v>0.20479931652409644</v>
      </c>
      <c r="G39" s="7">
        <f ca="1"/>
        <v>-2.0842957005895446E-3</v>
      </c>
      <c r="H39" s="10">
        <f ca="1"/>
        <v>59.111047485038547</v>
      </c>
      <c r="I39" s="7">
        <f ca="1"/>
        <v>-0.55561814001653853</v>
      </c>
      <c r="J39" s="7">
        <f ca="1"/>
        <v>4.5169631180309509</v>
      </c>
      <c r="K39">
        <f ca="1"/>
        <v>0</v>
      </c>
      <c r="L39">
        <f ca="1"/>
        <v>1.7417171343927862</v>
      </c>
    </row>
    <row r="40" spans="2:12" x14ac:dyDescent="0.3">
      <c r="B40">
        <v>0.03</v>
      </c>
      <c r="C40">
        <f ca="1"/>
        <v>-9.2293622252271751E-2</v>
      </c>
      <c r="D40">
        <f ca="1"/>
        <v>1</v>
      </c>
      <c r="E40" s="11">
        <f ca="1"/>
        <v>98.112174471575656</v>
      </c>
      <c r="F40" s="10">
        <f ca="1"/>
        <v>0.63466940507904246</v>
      </c>
      <c r="G40" s="7">
        <f ca="1"/>
        <v>-6.4688139723466653E-3</v>
      </c>
      <c r="H40" s="10">
        <f ca="1"/>
        <v>59.745716890117592</v>
      </c>
      <c r="I40" s="7">
        <f ca="1"/>
        <v>-0.5620869539888852</v>
      </c>
      <c r="J40" s="7">
        <f ca="1"/>
        <v>4.5981435921635665</v>
      </c>
      <c r="K40">
        <f ca="1"/>
        <v>0</v>
      </c>
      <c r="L40">
        <f ca="1"/>
        <v>1.8878255284243437</v>
      </c>
    </row>
    <row r="41" spans="2:12" x14ac:dyDescent="0.3">
      <c r="B41">
        <v>3.1E-2</v>
      </c>
      <c r="C41">
        <f ca="1"/>
        <v>-8.9096467459162845E-2</v>
      </c>
      <c r="D41">
        <f ca="1"/>
        <v>1</v>
      </c>
      <c r="E41" s="11">
        <f ca="1"/>
        <v>98.172967016309372</v>
      </c>
      <c r="F41" s="10">
        <f ca="1"/>
        <v>-0.23411341370340333</v>
      </c>
      <c r="G41" s="7">
        <f ca="1"/>
        <v>2.3847034557334945E-3</v>
      </c>
      <c r="H41" s="10">
        <f ca="1"/>
        <v>59.511603476414187</v>
      </c>
      <c r="I41" s="7">
        <f ca="1"/>
        <v>-0.5597022505331517</v>
      </c>
      <c r="J41" s="7">
        <f ca="1"/>
        <v>4.5639728958689574</v>
      </c>
      <c r="K41">
        <f ca="1"/>
        <v>0</v>
      </c>
      <c r="L41">
        <f ca="1"/>
        <v>1.8270329836906285</v>
      </c>
    </row>
    <row r="42" spans="2:12" x14ac:dyDescent="0.3">
      <c r="B42">
        <v>3.2000000000000001E-2</v>
      </c>
      <c r="C42">
        <f ca="1"/>
        <v>-7.8153306926793398E-2</v>
      </c>
      <c r="D42">
        <f ca="1"/>
        <v>1</v>
      </c>
      <c r="E42" s="11">
        <f ca="1"/>
        <v>98.386099083561334</v>
      </c>
      <c r="F42" s="10">
        <f ca="1"/>
        <v>-0.88106032134735313</v>
      </c>
      <c r="G42" s="7">
        <f ca="1"/>
        <v>8.9551301408855588E-3</v>
      </c>
      <c r="H42" s="10">
        <f ca="1"/>
        <v>58.630543155066832</v>
      </c>
      <c r="I42" s="7">
        <f ca="1"/>
        <v>-0.55074712039226614</v>
      </c>
      <c r="J42" s="7">
        <f ca="1"/>
        <v>4.4446823981672523</v>
      </c>
      <c r="K42">
        <f ca="1"/>
        <v>0</v>
      </c>
      <c r="L42">
        <f ca="1"/>
        <v>1.6139009164386664</v>
      </c>
    </row>
    <row r="43" spans="2:12" x14ac:dyDescent="0.3">
      <c r="B43">
        <v>3.3000000000000002E-2</v>
      </c>
      <c r="C43">
        <f ca="1"/>
        <v>-0.1348367647500458</v>
      </c>
      <c r="D43">
        <f ca="1"/>
        <v>1</v>
      </c>
      <c r="E43" s="11">
        <f ca="1"/>
        <v>97.275079198172392</v>
      </c>
      <c r="F43" s="10">
        <f ca="1"/>
        <v>4.6635089962404441</v>
      </c>
      <c r="G43" s="7">
        <f ca="1"/>
        <v>-4.7941456688405992E-2</v>
      </c>
      <c r="H43" s="10">
        <f ca="1"/>
        <v>63.294052151307277</v>
      </c>
      <c r="I43" s="7">
        <f ca="1"/>
        <v>-0.59868857708067214</v>
      </c>
      <c r="J43" s="7">
        <f ca="1"/>
        <v>5.0565734007437584</v>
      </c>
      <c r="K43">
        <f ca="1"/>
        <v>0</v>
      </c>
      <c r="L43">
        <f ca="1"/>
        <v>2.7249208018276079</v>
      </c>
    </row>
    <row r="44" spans="2:12" x14ac:dyDescent="0.3">
      <c r="B44">
        <v>3.4000000000000002E-2</v>
      </c>
      <c r="C44">
        <f ca="1"/>
        <v>-0.11082848033000842</v>
      </c>
      <c r="D44">
        <f ca="1"/>
        <v>1</v>
      </c>
      <c r="E44" s="11">
        <f ca="1"/>
        <v>97.741329085383583</v>
      </c>
      <c r="F44" s="10">
        <f ca="1"/>
        <v>-1.9255781157702339</v>
      </c>
      <c r="G44" s="7">
        <f ca="1"/>
        <v>1.9700756412756704E-2</v>
      </c>
      <c r="H44" s="10">
        <f ca="1"/>
        <v>61.368474035537041</v>
      </c>
      <c r="I44" s="7">
        <f ca="1"/>
        <v>-0.57898782066791543</v>
      </c>
      <c r="J44" s="7">
        <f ca="1"/>
        <v>4.7774349192052625</v>
      </c>
      <c r="K44">
        <f ca="1"/>
        <v>0</v>
      </c>
      <c r="L44">
        <f ca="1"/>
        <v>2.2586709146164168</v>
      </c>
    </row>
    <row r="45" spans="2:12" x14ac:dyDescent="0.3">
      <c r="B45">
        <v>3.5000000000000003E-2</v>
      </c>
      <c r="C45">
        <f ca="1"/>
        <v>-9.8800216642977931E-2</v>
      </c>
      <c r="D45">
        <f ca="1"/>
        <v>1</v>
      </c>
      <c r="E45" s="11">
        <f ca="1"/>
        <v>97.974784315505531</v>
      </c>
      <c r="F45" s="10">
        <f ca="1"/>
        <v>-0.96202258382647721</v>
      </c>
      <c r="G45" s="7">
        <f ca="1"/>
        <v>9.8190834564994001E-3</v>
      </c>
      <c r="H45" s="10">
        <f ca="1"/>
        <v>60.406451451710566</v>
      </c>
      <c r="I45" s="7">
        <f ca="1"/>
        <v>-0.56916873721141603</v>
      </c>
      <c r="J45" s="7">
        <f ca="1"/>
        <v>4.6422671842934307</v>
      </c>
      <c r="K45">
        <f ca="1"/>
        <v>0</v>
      </c>
      <c r="L45">
        <f ca="1"/>
        <v>2.0252156844944693</v>
      </c>
    </row>
    <row r="46" spans="2:12" x14ac:dyDescent="0.3">
      <c r="B46">
        <v>3.6000000000000004E-2</v>
      </c>
      <c r="C46">
        <f ca="1"/>
        <v>-0.14893662748771619</v>
      </c>
      <c r="D46">
        <f ca="1"/>
        <v>1</v>
      </c>
      <c r="E46" s="11">
        <f ca="1"/>
        <v>96.995332665047371</v>
      </c>
      <c r="F46" s="10">
        <f ca="1"/>
        <v>4.1150736937553862</v>
      </c>
      <c r="G46" s="7">
        <f ca="1"/>
        <v>-4.2425481522558539E-2</v>
      </c>
      <c r="H46" s="10">
        <f ca="1"/>
        <v>64.521525145465958</v>
      </c>
      <c r="I46" s="7">
        <f ca="1"/>
        <v>-0.61159421873397457</v>
      </c>
      <c r="J46" s="7">
        <f ca="1"/>
        <v>5.1997404433443464</v>
      </c>
      <c r="K46">
        <f ca="1"/>
        <v>0</v>
      </c>
      <c r="L46">
        <f ca="1"/>
        <v>3.0046673349526287</v>
      </c>
    </row>
    <row r="47" spans="2:12" x14ac:dyDescent="0.3">
      <c r="B47">
        <v>3.6999999999999998E-2</v>
      </c>
      <c r="C47">
        <f ca="1"/>
        <v>-0.1354540094099661</v>
      </c>
      <c r="D47">
        <f ca="1"/>
        <v>1</v>
      </c>
      <c r="E47" s="11">
        <f ca="1"/>
        <v>97.255290700243506</v>
      </c>
      <c r="F47" s="10">
        <f ca="1"/>
        <v>-1.0519488215381114</v>
      </c>
      <c r="G47" s="7">
        <f ca="1"/>
        <v>1.0816366019411605E-2</v>
      </c>
      <c r="H47" s="10">
        <f ca="1"/>
        <v>63.469576323927846</v>
      </c>
      <c r="I47" s="7">
        <f ca="1"/>
        <v>-0.60077785271456297</v>
      </c>
      <c r="J47" s="7">
        <f ca="1"/>
        <v>5.0407516119049447</v>
      </c>
      <c r="K47">
        <f ca="1"/>
        <v>0</v>
      </c>
      <c r="L47">
        <f ca="1"/>
        <v>2.7447092997564937</v>
      </c>
    </row>
    <row r="48" spans="2:12" x14ac:dyDescent="0.3">
      <c r="B48">
        <v>3.7999999999999999E-2</v>
      </c>
      <c r="C48">
        <f ca="1"/>
        <v>-0.18368613033407002</v>
      </c>
      <c r="D48">
        <f ca="1"/>
        <v>1</v>
      </c>
      <c r="E48" s="11">
        <f ca="1"/>
        <v>96.319708956148745</v>
      </c>
      <c r="F48" s="10">
        <f ca="1"/>
        <v>3.8748106017005712</v>
      </c>
      <c r="G48" s="7">
        <f ca="1"/>
        <v>-4.0228636939347973E-2</v>
      </c>
      <c r="H48" s="10">
        <f ca="1"/>
        <v>67.344386925628413</v>
      </c>
      <c r="I48" s="7">
        <f ca="1"/>
        <v>-0.64100648965391094</v>
      </c>
      <c r="J48" s="7">
        <f ca="1"/>
        <v>5.6028284031611406</v>
      </c>
      <c r="K48">
        <f ca="1"/>
        <v>0</v>
      </c>
      <c r="L48">
        <f ca="1"/>
        <v>3.6802910438512555</v>
      </c>
    </row>
    <row r="49" spans="2:12" x14ac:dyDescent="0.3">
      <c r="B49">
        <v>3.9E-2</v>
      </c>
      <c r="C49">
        <f ca="1"/>
        <v>-0.20157842417168897</v>
      </c>
      <c r="D49">
        <f ca="1"/>
        <v>1</v>
      </c>
      <c r="E49" s="11">
        <f ca="1"/>
        <v>95.973729325026696</v>
      </c>
      <c r="F49" s="10">
        <f ca="1"/>
        <v>1.432676170118711</v>
      </c>
      <c r="G49" s="7">
        <f ca="1"/>
        <v>-1.492779513930087E-2</v>
      </c>
      <c r="H49" s="10">
        <f ca="1"/>
        <v>68.777063095747124</v>
      </c>
      <c r="I49" s="7">
        <f ca="1"/>
        <v>-0.65593428479321181</v>
      </c>
      <c r="J49" s="7">
        <f ca="1"/>
        <v>5.8246035919984394</v>
      </c>
      <c r="K49">
        <f ca="1"/>
        <v>0</v>
      </c>
      <c r="L49">
        <f ca="1"/>
        <v>4.0262706749733042</v>
      </c>
    </row>
    <row r="50" spans="2:12" x14ac:dyDescent="0.3">
      <c r="B50">
        <v>0.04</v>
      </c>
      <c r="C50">
        <f ca="1"/>
        <v>-0.21766422741579702</v>
      </c>
      <c r="D50">
        <f ca="1"/>
        <v>1</v>
      </c>
      <c r="E50" s="11">
        <f ca="1"/>
        <v>95.663549267343541</v>
      </c>
      <c r="F50" s="10">
        <f ca="1"/>
        <v>1.2752887301106051</v>
      </c>
      <c r="G50" s="7">
        <f ca="1"/>
        <v>-1.3330978621195144E-2</v>
      </c>
      <c r="H50" s="10">
        <f ca="1"/>
        <v>70.052351825857727</v>
      </c>
      <c r="I50" s="7">
        <f ca="1"/>
        <v>-0.66926526341440695</v>
      </c>
      <c r="J50" s="7">
        <f ca="1"/>
        <v>6.0280613262919616</v>
      </c>
      <c r="K50">
        <f ca="1"/>
        <v>0</v>
      </c>
      <c r="L50">
        <f ca="1"/>
        <v>4.3364507326564592</v>
      </c>
    </row>
    <row r="51" spans="2:12" x14ac:dyDescent="0.3">
      <c r="B51">
        <v>4.1000000000000002E-2</v>
      </c>
      <c r="C51">
        <f ca="1"/>
        <v>-0.14528499034592021</v>
      </c>
      <c r="D51">
        <f ca="1"/>
        <v>1</v>
      </c>
      <c r="E51" s="11">
        <f ca="1"/>
        <v>97.056490756435309</v>
      </c>
      <c r="F51" s="10">
        <f ca="1"/>
        <v>-5.6877398701266273</v>
      </c>
      <c r="G51" s="7">
        <f ca="1"/>
        <v>5.86023647238606E-2</v>
      </c>
      <c r="H51" s="10">
        <f ca="1"/>
        <v>64.364611955731107</v>
      </c>
      <c r="I51" s="7">
        <f ca="1"/>
        <v>-0.61066289869054635</v>
      </c>
      <c r="J51" s="7">
        <f ca="1"/>
        <v>5.0958139736741046</v>
      </c>
      <c r="K51">
        <f ca="1"/>
        <v>0</v>
      </c>
      <c r="L51">
        <f ca="1"/>
        <v>2.9435092435646908</v>
      </c>
    </row>
    <row r="52" spans="2:12" x14ac:dyDescent="0.3">
      <c r="B52">
        <v>4.2000000000000003E-2</v>
      </c>
      <c r="C52">
        <f ca="1"/>
        <v>-0.17311635514586421</v>
      </c>
      <c r="D52">
        <f ca="1"/>
        <v>1</v>
      </c>
      <c r="E52" s="11">
        <f ca="1"/>
        <v>96.515818284574223</v>
      </c>
      <c r="F52" s="10">
        <f ca="1"/>
        <v>2.2784861785399628</v>
      </c>
      <c r="G52" s="7">
        <f ca="1"/>
        <v>-2.3607386012331255E-2</v>
      </c>
      <c r="H52" s="10">
        <f ca="1"/>
        <v>66.643098134271071</v>
      </c>
      <c r="I52" s="7">
        <f ca="1"/>
        <v>-0.63427028470287761</v>
      </c>
      <c r="J52" s="7">
        <f ca="1"/>
        <v>5.4259825925829759</v>
      </c>
      <c r="K52">
        <f ca="1"/>
        <v>0</v>
      </c>
      <c r="L52">
        <f ca="1"/>
        <v>3.4841817154257768</v>
      </c>
    </row>
    <row r="53" spans="2:12" x14ac:dyDescent="0.3">
      <c r="B53">
        <v>4.3000000000000003E-2</v>
      </c>
      <c r="C53">
        <f ca="1"/>
        <v>-0.16092305801549669</v>
      </c>
      <c r="D53">
        <f ca="1"/>
        <v>1</v>
      </c>
      <c r="E53" s="11">
        <f ca="1"/>
        <v>96.749539710560924</v>
      </c>
      <c r="F53" s="10">
        <f ca="1"/>
        <v>-0.93311477704865187</v>
      </c>
      <c r="G53" s="7">
        <f ca="1"/>
        <v>9.6446430633178037E-3</v>
      </c>
      <c r="H53" s="10">
        <f ca="1"/>
        <v>65.709983357222413</v>
      </c>
      <c r="I53" s="7">
        <f ca="1"/>
        <v>-0.6246256416395598</v>
      </c>
      <c r="J53" s="7">
        <f ca="1"/>
        <v>5.2777400371812249</v>
      </c>
      <c r="K53">
        <f ca="1"/>
        <v>0</v>
      </c>
      <c r="L53">
        <f ca="1"/>
        <v>3.2504602894390757</v>
      </c>
    </row>
    <row r="54" spans="2:12" x14ac:dyDescent="0.3">
      <c r="B54">
        <v>4.3999999999999997E-2</v>
      </c>
      <c r="C54">
        <f ca="1"/>
        <v>-9.3491206688425768E-2</v>
      </c>
      <c r="D54">
        <f ca="1"/>
        <v>1</v>
      </c>
      <c r="E54" s="11">
        <f ca="1"/>
        <v>98.061216777932032</v>
      </c>
      <c r="F54" s="10">
        <f ca="1"/>
        <v>-5.591014093875355</v>
      </c>
      <c r="G54" s="7">
        <f ca="1"/>
        <v>5.7015548833507568E-2</v>
      </c>
      <c r="H54" s="10">
        <f ca="1"/>
        <v>60.118969263347054</v>
      </c>
      <c r="I54" s="7">
        <f ca="1"/>
        <v>-0.56761009280605224</v>
      </c>
      <c r="J54" s="7">
        <f ca="1"/>
        <v>4.4584329073506481</v>
      </c>
      <c r="K54">
        <f ca="1"/>
        <v>0</v>
      </c>
      <c r="L54">
        <f ca="1"/>
        <v>1.9387832220679684</v>
      </c>
    </row>
    <row r="55" spans="2:12" x14ac:dyDescent="0.3">
      <c r="B55">
        <v>4.4999999999999998E-2</v>
      </c>
      <c r="C55">
        <f ca="1"/>
        <v>-0.10507953894866344</v>
      </c>
      <c r="D55">
        <f ca="1"/>
        <v>1</v>
      </c>
      <c r="E55" s="11">
        <f ca="1"/>
        <v>97.832250089365772</v>
      </c>
      <c r="F55" s="10">
        <f ca="1"/>
        <v>1.0150963212634432</v>
      </c>
      <c r="G55" s="7">
        <f ca="1"/>
        <v>-1.0375886482588248E-2</v>
      </c>
      <c r="H55" s="10">
        <f ca="1"/>
        <v>61.134065584610497</v>
      </c>
      <c r="I55" s="7">
        <f ca="1"/>
        <v>-0.57798597928864048</v>
      </c>
      <c r="J55" s="7">
        <f ca="1"/>
        <v>4.5883967106972321</v>
      </c>
      <c r="K55">
        <f ca="1"/>
        <v>0</v>
      </c>
      <c r="L55">
        <f ca="1"/>
        <v>2.1677499106342282</v>
      </c>
    </row>
    <row r="56" spans="2:12" x14ac:dyDescent="0.3">
      <c r="B56">
        <v>4.5999999999999999E-2</v>
      </c>
      <c r="C56">
        <f ca="1"/>
        <v>-0.11615958421568914</v>
      </c>
      <c r="D56">
        <f ca="1"/>
        <v>1</v>
      </c>
      <c r="E56" s="11">
        <f ca="1"/>
        <v>97.61374067800277</v>
      </c>
      <c r="F56" s="10">
        <f ca="1"/>
        <v>0.96977952255832234</v>
      </c>
      <c r="G56" s="7">
        <f ca="1"/>
        <v>-9.9348669134330381E-3</v>
      </c>
      <c r="H56" s="10">
        <f ca="1"/>
        <v>62.103845107168816</v>
      </c>
      <c r="I56" s="7">
        <f ca="1"/>
        <v>-0.58792084620207352</v>
      </c>
      <c r="J56" s="7">
        <f ca="1"/>
        <v>4.7146920868076592</v>
      </c>
      <c r="K56">
        <f ca="1"/>
        <v>0</v>
      </c>
      <c r="L56">
        <f ca="1"/>
        <v>2.3862593219972297</v>
      </c>
    </row>
    <row r="57" spans="2:12" x14ac:dyDescent="0.3">
      <c r="B57">
        <v>4.7E-2</v>
      </c>
      <c r="C57">
        <f ca="1"/>
        <v>-0.14600615878225839</v>
      </c>
      <c r="D57">
        <f ca="1"/>
        <v>1</v>
      </c>
      <c r="E57" s="11">
        <f ca="1"/>
        <v>97.030848549926063</v>
      </c>
      <c r="F57" s="10">
        <f ca="1"/>
        <v>2.5184018019646532</v>
      </c>
      <c r="G57" s="7">
        <f ca="1"/>
        <v>-2.59546509136096E-2</v>
      </c>
      <c r="H57" s="10">
        <f ca="1"/>
        <v>64.622246909133466</v>
      </c>
      <c r="I57" s="7">
        <f ca="1"/>
        <v>-0.61387549711568312</v>
      </c>
      <c r="J57" s="7">
        <f ca="1"/>
        <v>5.0573865199910415</v>
      </c>
      <c r="K57">
        <f ca="1"/>
        <v>0</v>
      </c>
      <c r="L57">
        <f ca="1"/>
        <v>2.9691514500739373</v>
      </c>
    </row>
    <row r="58" spans="2:12" x14ac:dyDescent="0.3">
      <c r="B58">
        <v>4.8000000000000001E-2</v>
      </c>
      <c r="C58">
        <f ca="1"/>
        <v>-9.2746003226092888E-2</v>
      </c>
      <c r="D58">
        <f ca="1"/>
        <v>1</v>
      </c>
      <c r="E58" s="11">
        <f ca="1"/>
        <v>98.067987225958021</v>
      </c>
      <c r="F58" s="10">
        <f ca="1"/>
        <v>-4.4677679142986078</v>
      </c>
      <c r="G58" s="7">
        <f ca="1"/>
        <v>4.5557862873278343E-2</v>
      </c>
      <c r="H58" s="10">
        <f ca="1"/>
        <v>60.154478994834861</v>
      </c>
      <c r="I58" s="7">
        <f ca="1"/>
        <v>-0.56831763424240478</v>
      </c>
      <c r="J58" s="7">
        <f ca="1"/>
        <v>4.4207124996640275</v>
      </c>
      <c r="K58">
        <f ca="1"/>
        <v>0</v>
      </c>
      <c r="L58">
        <f ca="1"/>
        <v>1.9320127740419792</v>
      </c>
    </row>
    <row r="59" spans="2:12" x14ac:dyDescent="0.3">
      <c r="B59">
        <v>4.9000000000000002E-2</v>
      </c>
      <c r="C59">
        <f ca="1"/>
        <v>-5.7796141199523837E-2</v>
      </c>
      <c r="D59">
        <f ca="1"/>
        <v>1</v>
      </c>
      <c r="E59" s="11">
        <f ca="1"/>
        <v>98.753906031485855</v>
      </c>
      <c r="F59" s="10">
        <f ca="1"/>
        <v>-3.009112821946661</v>
      </c>
      <c r="G59" s="7">
        <f ca="1"/>
        <v>3.0470823310900341E-2</v>
      </c>
      <c r="H59" s="10">
        <f ca="1"/>
        <v>57.145366172888203</v>
      </c>
      <c r="I59" s="7">
        <f ca="1"/>
        <v>-0.53784681093150444</v>
      </c>
      <c r="J59" s="7">
        <f ca="1"/>
        <v>4.0308927468240725</v>
      </c>
      <c r="K59">
        <f ca="1"/>
        <v>0</v>
      </c>
      <c r="L59">
        <f ca="1"/>
        <v>1.2460939685141454</v>
      </c>
    </row>
    <row r="60" spans="2:12" x14ac:dyDescent="0.3">
      <c r="B60">
        <v>0.05</v>
      </c>
      <c r="C60">
        <f ca="1"/>
        <v>-2.0596501433907378E-2</v>
      </c>
      <c r="D60">
        <f ca="1"/>
        <v>1</v>
      </c>
      <c r="E60" s="11">
        <f ca="1"/>
        <v>99.489378099906858</v>
      </c>
      <c r="F60" s="10">
        <f ca="1"/>
        <v>-3.2686752300108011</v>
      </c>
      <c r="G60" s="7">
        <f ca="1"/>
        <v>3.2854514647065236E-2</v>
      </c>
      <c r="H60" s="10">
        <f ca="1"/>
        <v>53.876690942877403</v>
      </c>
      <c r="I60" s="7">
        <f ca="1"/>
        <v>-0.5049922962844392</v>
      </c>
      <c r="J60" s="7">
        <f ca="1"/>
        <v>3.6353214402946392</v>
      </c>
      <c r="K60">
        <f ca="1"/>
        <v>0</v>
      </c>
      <c r="L60">
        <f ca="1"/>
        <v>0.51062190009314179</v>
      </c>
    </row>
    <row r="61" spans="2:12" x14ac:dyDescent="0.3">
      <c r="B61">
        <v>5.1000000000000004E-2</v>
      </c>
      <c r="C61">
        <f ca="1"/>
        <v>5.606461620834894E-2</v>
      </c>
      <c r="D61">
        <f ca="1"/>
        <v>1</v>
      </c>
      <c r="E61" s="11">
        <f ca="1"/>
        <v>101.0245048034579</v>
      </c>
      <c r="F61" s="10">
        <f ca="1"/>
        <v>-6.8798726957846279</v>
      </c>
      <c r="G61" s="7">
        <f ca="1"/>
        <v>6.8101028648141826E-2</v>
      </c>
      <c r="H61" s="10">
        <f ca="1"/>
        <v>46.996818247092776</v>
      </c>
      <c r="I61" s="7">
        <f ca="1"/>
        <v>-0.43689126763629738</v>
      </c>
      <c r="J61" s="7">
        <f ca="1"/>
        <v>2.8600942811808423</v>
      </c>
      <c r="K61">
        <f ca="1"/>
        <v>0</v>
      </c>
      <c r="L61">
        <f ca="1"/>
        <v>0</v>
      </c>
    </row>
    <row r="62" spans="2:12" x14ac:dyDescent="0.3">
      <c r="B62">
        <v>5.2000000000000005E-2</v>
      </c>
      <c r="C62">
        <f ca="1"/>
        <v>9.8664442015636761E-2</v>
      </c>
      <c r="D62">
        <f ca="1"/>
        <v>1</v>
      </c>
      <c r="E62" s="11">
        <f ca="1"/>
        <v>101.88686941722274</v>
      </c>
      <c r="F62" s="10">
        <f ca="1"/>
        <v>-3.80579921747209</v>
      </c>
      <c r="G62" s="7">
        <f ca="1"/>
        <v>3.7353186325585208E-2</v>
      </c>
      <c r="H62" s="10">
        <f ca="1"/>
        <v>43.191019029620684</v>
      </c>
      <c r="I62" s="7">
        <f ca="1"/>
        <v>-0.39953808131071217</v>
      </c>
      <c r="J62" s="7">
        <f ca="1"/>
        <v>2.4833347119084337</v>
      </c>
      <c r="K62">
        <f ca="1"/>
        <v>0</v>
      </c>
      <c r="L62">
        <f ca="1"/>
        <v>0</v>
      </c>
    </row>
    <row r="63" spans="2:12" x14ac:dyDescent="0.3">
      <c r="B63">
        <v>5.2999999999999999E-2</v>
      </c>
      <c r="C63">
        <f ca="1"/>
        <v>0.12242400599204134</v>
      </c>
      <c r="D63">
        <f ca="1"/>
        <v>1</v>
      </c>
      <c r="E63" s="11">
        <f ca="1"/>
        <v>102.37013167399063</v>
      </c>
      <c r="F63" s="10">
        <f ca="1"/>
        <v>-2.1087300670421905</v>
      </c>
      <c r="G63" s="7">
        <f ca="1"/>
        <v>2.059907545843237E-2</v>
      </c>
      <c r="H63" s="10">
        <f ca="1"/>
        <v>41.082288962578495</v>
      </c>
      <c r="I63" s="7">
        <f ca="1"/>
        <v>-0.3789390058522798</v>
      </c>
      <c r="J63" s="7">
        <f ca="1"/>
        <v>2.2902530370695047</v>
      </c>
      <c r="K63">
        <f ca="1"/>
        <v>0</v>
      </c>
      <c r="L63">
        <f ca="1"/>
        <v>0</v>
      </c>
    </row>
    <row r="64" spans="2:12" x14ac:dyDescent="0.3">
      <c r="B64">
        <v>5.3999999999999999E-2</v>
      </c>
      <c r="C64">
        <f ca="1"/>
        <v>8.2745256804885897E-2</v>
      </c>
      <c r="D64">
        <f ca="1"/>
        <v>1</v>
      </c>
      <c r="E64" s="11">
        <f ca="1"/>
        <v>101.558931646478</v>
      </c>
      <c r="F64" s="10">
        <f ca="1"/>
        <v>3.4931164867078253</v>
      </c>
      <c r="G64" s="7">
        <f ca="1"/>
        <v>-3.4394970782749112E-2</v>
      </c>
      <c r="H64" s="10">
        <f ca="1"/>
        <v>44.575405449286322</v>
      </c>
      <c r="I64" s="7">
        <f ca="1"/>
        <v>-0.41333397663502891</v>
      </c>
      <c r="J64" s="7">
        <f ca="1"/>
        <v>2.5976483690424885</v>
      </c>
      <c r="K64">
        <f ca="1"/>
        <v>0</v>
      </c>
      <c r="L64">
        <f ca="1"/>
        <v>0</v>
      </c>
    </row>
    <row r="65" spans="2:12" x14ac:dyDescent="0.3">
      <c r="B65">
        <v>5.5E-2</v>
      </c>
      <c r="C65">
        <f ca="1"/>
        <v>6.5264661438245414E-2</v>
      </c>
      <c r="D65">
        <f ca="1"/>
        <v>1</v>
      </c>
      <c r="E65" s="11">
        <f ca="1"/>
        <v>101.20246540597466</v>
      </c>
      <c r="F65" s="10">
        <f ca="1"/>
        <v>1.5624578614966629</v>
      </c>
      <c r="G65" s="7">
        <f ca="1"/>
        <v>-1.5438930812889273E-2</v>
      </c>
      <c r="H65" s="10">
        <f ca="1"/>
        <v>46.137863310782983</v>
      </c>
      <c r="I65" s="7">
        <f ca="1"/>
        <v>-0.42877290744791818</v>
      </c>
      <c r="J65" s="7">
        <f ca="1"/>
        <v>2.7449879777658666</v>
      </c>
      <c r="K65">
        <f ca="1"/>
        <v>0</v>
      </c>
      <c r="L65">
        <f ca="1"/>
        <v>0</v>
      </c>
    </row>
    <row r="66" spans="2:12" x14ac:dyDescent="0.3">
      <c r="B66">
        <v>5.6000000000000001E-2</v>
      </c>
      <c r="C66">
        <f ca="1"/>
        <v>9.6640897205029636E-2</v>
      </c>
      <c r="D66">
        <f ca="1"/>
        <v>1</v>
      </c>
      <c r="E66" s="11">
        <f ca="1"/>
        <v>101.8374959053522</v>
      </c>
      <c r="F66" s="10">
        <f ca="1"/>
        <v>-2.8276764501273641</v>
      </c>
      <c r="G66" s="7">
        <f ca="1"/>
        <v>2.7766555186661379E-2</v>
      </c>
      <c r="H66" s="10">
        <f ca="1"/>
        <v>43.31018686065562</v>
      </c>
      <c r="I66" s="7">
        <f ca="1"/>
        <v>-0.4010063522612568</v>
      </c>
      <c r="J66" s="7">
        <f ca="1"/>
        <v>2.4727041042296563</v>
      </c>
      <c r="K66">
        <f ca="1"/>
        <v>0</v>
      </c>
      <c r="L66">
        <f ca="1"/>
        <v>0</v>
      </c>
    </row>
    <row r="67" spans="2:12" x14ac:dyDescent="0.3">
      <c r="B67">
        <v>5.7000000000000002E-2</v>
      </c>
      <c r="C67">
        <f ca="1"/>
        <v>8.8126772462201131E-2</v>
      </c>
      <c r="D67">
        <f ca="1"/>
        <v>1</v>
      </c>
      <c r="E67" s="11">
        <f ca="1"/>
        <v>101.66219877320202</v>
      </c>
      <c r="F67" s="10">
        <f ca="1"/>
        <v>0.75585560158239484</v>
      </c>
      <c r="G67" s="7">
        <f ca="1"/>
        <v>-7.4349720024119437E-3</v>
      </c>
      <c r="H67" s="10">
        <f ca="1"/>
        <v>44.066042462238016</v>
      </c>
      <c r="I67" s="7">
        <f ca="1"/>
        <v>-0.40844132426366875</v>
      </c>
      <c r="J67" s="7">
        <f ca="1"/>
        <v>2.5429993677550655</v>
      </c>
      <c r="K67">
        <f ca="1"/>
        <v>0</v>
      </c>
      <c r="L67">
        <f ca="1"/>
        <v>0</v>
      </c>
    </row>
    <row r="68" spans="2:12" x14ac:dyDescent="0.3">
      <c r="B68">
        <v>5.8000000000000003E-2</v>
      </c>
      <c r="C68">
        <f ca="1"/>
        <v>3.5571482488772094E-2</v>
      </c>
      <c r="D68">
        <f ca="1"/>
        <v>1</v>
      </c>
      <c r="E68" s="11">
        <f ca="1"/>
        <v>100.59720585571692</v>
      </c>
      <c r="F68" s="10">
        <f ca="1"/>
        <v>4.7345965058199839</v>
      </c>
      <c r="G68" s="7">
        <f ca="1"/>
        <v>-4.7064890774507706E-2</v>
      </c>
      <c r="H68" s="10">
        <f ca="1"/>
        <v>48.800638968058003</v>
      </c>
      <c r="I68" s="7">
        <f ca="1"/>
        <v>-0.45550621503817645</v>
      </c>
      <c r="J68" s="7">
        <f ca="1"/>
        <v>2.9779864853041076</v>
      </c>
      <c r="K68">
        <f ca="1"/>
        <v>0</v>
      </c>
      <c r="L68">
        <f ca="1"/>
        <v>0</v>
      </c>
    </row>
    <row r="69" spans="2:12" x14ac:dyDescent="0.3">
      <c r="B69">
        <v>5.9000000000000004E-2</v>
      </c>
      <c r="C69">
        <f ca="1"/>
        <v>3.5353936017033433E-2</v>
      </c>
      <c r="D69">
        <f ca="1"/>
        <v>1</v>
      </c>
      <c r="E69" s="11">
        <f ca="1"/>
        <v>100.59081720103131</v>
      </c>
      <c r="F69" s="10">
        <f ca="1"/>
        <v>2.6450196132679665E-2</v>
      </c>
      <c r="G69" s="7">
        <f ca="1"/>
        <v>-2.6294841685020609E-4</v>
      </c>
      <c r="H69" s="10">
        <f ca="1"/>
        <v>48.827089164190681</v>
      </c>
      <c r="I69" s="7">
        <f ca="1"/>
        <v>-0.45576916345502666</v>
      </c>
      <c r="J69" s="7">
        <f ca="1"/>
        <v>2.9808965572191326</v>
      </c>
      <c r="K69">
        <f ca="1"/>
        <v>0</v>
      </c>
      <c r="L69">
        <f ca="1"/>
        <v>0</v>
      </c>
    </row>
    <row r="70" spans="2:12" x14ac:dyDescent="0.3">
      <c r="B70">
        <v>0.06</v>
      </c>
      <c r="C70">
        <f ca="1"/>
        <v>-6.6837884970465944E-3</v>
      </c>
      <c r="D70">
        <f ca="1"/>
        <v>1</v>
      </c>
      <c r="E70" s="11">
        <f ca="1"/>
        <v>99.746645715139636</v>
      </c>
      <c r="F70" s="10">
        <f ca="1"/>
        <v>3.8352797152225553</v>
      </c>
      <c r="G70" s="7">
        <f ca="1"/>
        <v>-3.8450212412911577E-2</v>
      </c>
      <c r="H70" s="10">
        <f ca="1"/>
        <v>52.662368879413236</v>
      </c>
      <c r="I70" s="7">
        <f ca="1"/>
        <v>-0.49421937586793824</v>
      </c>
      <c r="J70" s="7">
        <f ca="1"/>
        <v>3.3656438891565728</v>
      </c>
      <c r="K70">
        <f ca="1"/>
        <v>0</v>
      </c>
      <c r="L70">
        <f ca="1"/>
        <v>0.25335428486036449</v>
      </c>
    </row>
    <row r="71" spans="2:12" x14ac:dyDescent="0.3">
      <c r="B71">
        <v>6.0999999999999999E-2</v>
      </c>
      <c r="C71">
        <f ca="1"/>
        <v>-1.116011199125792E-2</v>
      </c>
      <c r="D71">
        <f ca="1"/>
        <v>1</v>
      </c>
      <c r="E71" s="11">
        <f ca="1"/>
        <v>99.655392898099976</v>
      </c>
      <c r="F71" s="10">
        <f ca="1"/>
        <v>0.426104257906043</v>
      </c>
      <c r="G71" s="7">
        <f ca="1"/>
        <v>-4.2757772109909276E-3</v>
      </c>
      <c r="H71" s="10">
        <f ca="1"/>
        <v>53.088473137319276</v>
      </c>
      <c r="I71" s="7">
        <f ca="1"/>
        <v>-0.49849515307892917</v>
      </c>
      <c r="J71" s="7">
        <f ca="1"/>
        <v>3.4107427994401007</v>
      </c>
      <c r="K71">
        <f ca="1"/>
        <v>0</v>
      </c>
      <c r="L71">
        <f ca="1"/>
        <v>0.3446071019000243</v>
      </c>
    </row>
    <row r="72" spans="2:12" x14ac:dyDescent="0.3">
      <c r="B72">
        <v>6.2E-2</v>
      </c>
      <c r="C72">
        <f ca="1"/>
        <v>-1.1544899536950873E-2</v>
      </c>
      <c r="D72">
        <f ca="1"/>
        <v>1</v>
      </c>
      <c r="E72" s="11">
        <f ca="1"/>
        <v>99.645731027835353</v>
      </c>
      <c r="F72" s="10">
        <f ca="1"/>
        <v>5.3216663342087404E-2</v>
      </c>
      <c r="G72" s="7">
        <f ca="1"/>
        <v>-5.3405863746658344E-4</v>
      </c>
      <c r="H72" s="10">
        <f ca="1"/>
        <v>53.141689800661361</v>
      </c>
      <c r="I72" s="7">
        <f ca="1"/>
        <v>-0.49902921171639575</v>
      </c>
      <c r="J72" s="7">
        <f ca="1"/>
        <v>3.4155591949366908</v>
      </c>
      <c r="K72">
        <f ca="1"/>
        <v>0</v>
      </c>
      <c r="L72">
        <f ca="1"/>
        <v>0.35426897216464681</v>
      </c>
    </row>
    <row r="73" spans="2:12" x14ac:dyDescent="0.3">
      <c r="B73">
        <v>6.3E-2</v>
      </c>
      <c r="C73">
        <f ca="1"/>
        <v>3.1482914752282321E-2</v>
      </c>
      <c r="D73">
        <f ca="1"/>
        <v>1</v>
      </c>
      <c r="E73" s="11">
        <f ca="1"/>
        <v>100.50492878551782</v>
      </c>
      <c r="F73" s="10">
        <f ca="1"/>
        <v>-3.9643121486218047</v>
      </c>
      <c r="G73" s="7">
        <f ca="1"/>
        <v>3.9443957590197698E-2</v>
      </c>
      <c r="H73" s="10">
        <f ca="1"/>
        <v>49.177377652039553</v>
      </c>
      <c r="I73" s="7">
        <f ca="1"/>
        <v>-0.45958525412619805</v>
      </c>
      <c r="J73" s="7">
        <f ca="1"/>
        <v>2.9867944152119108</v>
      </c>
      <c r="K73">
        <f ca="1"/>
        <v>0</v>
      </c>
      <c r="L73">
        <f ca="1"/>
        <v>0</v>
      </c>
    </row>
    <row r="74" spans="2:12" x14ac:dyDescent="0.3">
      <c r="B74">
        <v>6.4000000000000001E-2</v>
      </c>
      <c r="C74">
        <f ca="1"/>
        <v>4.2608623828850681E-2</v>
      </c>
      <c r="D74">
        <f ca="1"/>
        <v>1</v>
      </c>
      <c r="E74" s="11">
        <f ca="1"/>
        <v>100.72680094651061</v>
      </c>
      <c r="F74" s="10">
        <f ca="1"/>
        <v>-1.0222235332545757</v>
      </c>
      <c r="G74" s="7">
        <f ca="1"/>
        <v>1.0148476112106564E-2</v>
      </c>
      <c r="H74" s="10">
        <f ca="1"/>
        <v>48.155154118784978</v>
      </c>
      <c r="I74" s="7">
        <f ca="1"/>
        <v>-0.44943677801409149</v>
      </c>
      <c r="J74" s="7">
        <f ca="1"/>
        <v>2.8848252417185094</v>
      </c>
      <c r="K74">
        <f ca="1"/>
        <v>0</v>
      </c>
      <c r="L74">
        <f ca="1"/>
        <v>0</v>
      </c>
    </row>
    <row r="75" spans="2:12" x14ac:dyDescent="0.3">
      <c r="B75">
        <v>6.5000000000000002E-2</v>
      </c>
      <c r="C75">
        <f ca="1"/>
        <v>3.5981095571080722E-2</v>
      </c>
      <c r="D75">
        <f ca="1"/>
        <v>1</v>
      </c>
      <c r="E75" s="11">
        <f ca="1"/>
        <v>100.59136360286259</v>
      </c>
      <c r="F75" s="10">
        <f ca="1"/>
        <v>0.61882118734196523</v>
      </c>
      <c r="G75" s="7">
        <f ca="1"/>
        <v>-6.1518321770155926E-3</v>
      </c>
      <c r="H75" s="10">
        <f ca="1"/>
        <v>48.773975306126943</v>
      </c>
      <c r="I75" s="7">
        <f ca="1"/>
        <v>-0.45558861019110708</v>
      </c>
      <c r="J75" s="7">
        <f ca="1"/>
        <v>2.9456957650704609</v>
      </c>
      <c r="K75">
        <f ca="1"/>
        <v>0</v>
      </c>
      <c r="L75">
        <f ca="1"/>
        <v>0</v>
      </c>
    </row>
    <row r="76" spans="2:12" x14ac:dyDescent="0.3">
      <c r="B76">
        <v>6.6000000000000003E-2</v>
      </c>
      <c r="C76">
        <f ca="1"/>
        <v>5.9428459791228586E-2</v>
      </c>
      <c r="D76">
        <f ca="1"/>
        <v>1</v>
      </c>
      <c r="E76" s="11">
        <f ca="1"/>
        <v>101.06217059833504</v>
      </c>
      <c r="F76" s="10">
        <f ca="1"/>
        <v>-2.1759368576153357</v>
      </c>
      <c r="G76" s="7">
        <f ca="1"/>
        <v>2.1530676065364296E-2</v>
      </c>
      <c r="H76" s="10">
        <f ca="1"/>
        <v>46.598038448511609</v>
      </c>
      <c r="I76" s="7">
        <f ca="1"/>
        <v>-0.43405793412574278</v>
      </c>
      <c r="J76" s="7">
        <f ca="1"/>
        <v>2.7312014603349155</v>
      </c>
      <c r="K76">
        <f ca="1"/>
        <v>0</v>
      </c>
      <c r="L76">
        <f ca="1"/>
        <v>0</v>
      </c>
    </row>
    <row r="77" spans="2:12" x14ac:dyDescent="0.3">
      <c r="B77">
        <v>6.7000000000000004E-2</v>
      </c>
      <c r="C77">
        <f ca="1"/>
        <v>5.178252303547623E-2</v>
      </c>
      <c r="D77">
        <f ca="1"/>
        <v>1</v>
      </c>
      <c r="E77" s="11">
        <f ca="1"/>
        <v>100.90572757303065</v>
      </c>
      <c r="F77" s="10">
        <f ca="1"/>
        <v>0.71124048444259635</v>
      </c>
      <c r="G77" s="7">
        <f ca="1"/>
        <v>-7.0485640562656382E-3</v>
      </c>
      <c r="H77" s="10">
        <f ca="1"/>
        <v>47.309278932954207</v>
      </c>
      <c r="I77" s="7">
        <f ca="1"/>
        <v>-0.44110649818200842</v>
      </c>
      <c r="J77" s="7">
        <f ca="1"/>
        <v>2.7991067967069299</v>
      </c>
      <c r="K77">
        <f ca="1"/>
        <v>0</v>
      </c>
      <c r="L77">
        <f ca="1"/>
        <v>0</v>
      </c>
    </row>
    <row r="78" spans="2:12" x14ac:dyDescent="0.3">
      <c r="B78">
        <v>6.8000000000000005E-2</v>
      </c>
      <c r="C78">
        <f ca="1"/>
        <v>0.10262159969588258</v>
      </c>
      <c r="D78">
        <f ca="1"/>
        <v>1</v>
      </c>
      <c r="E78" s="11">
        <f ca="1"/>
        <v>101.93491342441558</v>
      </c>
      <c r="F78" s="10">
        <f ca="1"/>
        <v>-4.7375419206281579</v>
      </c>
      <c r="G78" s="7">
        <f ca="1"/>
        <v>4.6476146017831566E-2</v>
      </c>
      <c r="H78" s="10">
        <f ca="1"/>
        <v>42.571737012326047</v>
      </c>
      <c r="I78" s="7">
        <f ca="1"/>
        <v>-0.39463035216417686</v>
      </c>
      <c r="J78" s="7">
        <f ca="1"/>
        <v>2.3451262298240465</v>
      </c>
      <c r="K78">
        <f ca="1"/>
        <v>0</v>
      </c>
      <c r="L78">
        <f ca="1"/>
        <v>0</v>
      </c>
    </row>
    <row r="79" spans="2:12" x14ac:dyDescent="0.3">
      <c r="B79">
        <v>6.9000000000000006E-2</v>
      </c>
      <c r="C79">
        <f ca="1"/>
        <v>0.10386379310956653</v>
      </c>
      <c r="D79">
        <f ca="1"/>
        <v>1</v>
      </c>
      <c r="E79" s="11">
        <f ca="1"/>
        <v>101.95820196166325</v>
      </c>
      <c r="F79" s="10">
        <f ca="1"/>
        <v>-0.12502994034548415</v>
      </c>
      <c r="G79" s="7">
        <f ca="1"/>
        <v>1.2262862422043885E-3</v>
      </c>
      <c r="H79" s="10">
        <f ca="1"/>
        <v>42.446707071980562</v>
      </c>
      <c r="I79" s="7">
        <f ca="1"/>
        <v>-0.39340406592197247</v>
      </c>
      <c r="J79" s="7">
        <f ca="1"/>
        <v>2.3359358661686116</v>
      </c>
      <c r="K79">
        <f ca="1"/>
        <v>0</v>
      </c>
      <c r="L79">
        <f ca="1"/>
        <v>0</v>
      </c>
    </row>
    <row r="80" spans="2:12" x14ac:dyDescent="0.3">
      <c r="B80">
        <v>7.0000000000000007E-2</v>
      </c>
      <c r="C80">
        <f ca="1"/>
        <v>0.11295757323651412</v>
      </c>
      <c r="D80">
        <f ca="1"/>
        <v>1</v>
      </c>
      <c r="E80" s="11">
        <f ca="1"/>
        <v>102.14176493478813</v>
      </c>
      <c r="F80" s="10">
        <f ca="1"/>
        <v>-0.85043729561950732</v>
      </c>
      <c r="G80" s="7">
        <f ca="1"/>
        <v>8.3260485675224483E-3</v>
      </c>
      <c r="H80" s="10">
        <f ca="1"/>
        <v>41.596269776361055</v>
      </c>
      <c r="I80" s="7">
        <f ca="1"/>
        <v>-0.38507801735445002</v>
      </c>
      <c r="J80" s="7">
        <f ca="1"/>
        <v>2.2637214461885549</v>
      </c>
      <c r="K80">
        <f ca="1"/>
        <v>0</v>
      </c>
      <c r="L80">
        <f ca="1"/>
        <v>0</v>
      </c>
    </row>
    <row r="81" spans="2:12" x14ac:dyDescent="0.3">
      <c r="B81">
        <v>7.1000000000000008E-2</v>
      </c>
      <c r="C81">
        <f ca="1"/>
        <v>0.10403153396112136</v>
      </c>
      <c r="D81">
        <f ca="1"/>
        <v>1</v>
      </c>
      <c r="E81" s="11">
        <f ca="1"/>
        <v>101.95754414683084</v>
      </c>
      <c r="F81" s="10">
        <f ca="1"/>
        <v>0.81134983689658291</v>
      </c>
      <c r="G81" s="7">
        <f ca="1"/>
        <v>-7.957722439137449E-3</v>
      </c>
      <c r="H81" s="10">
        <f ca="1"/>
        <v>42.407619613257637</v>
      </c>
      <c r="I81" s="7">
        <f ca="1"/>
        <v>-0.39303573979358747</v>
      </c>
      <c r="J81" s="7">
        <f ca="1"/>
        <v>2.3346608219706226</v>
      </c>
      <c r="K81">
        <f ca="1"/>
        <v>0</v>
      </c>
      <c r="L81">
        <f ca="1"/>
        <v>0</v>
      </c>
    </row>
    <row r="82" spans="2:12" x14ac:dyDescent="0.3">
      <c r="B82">
        <v>7.2000000000000008E-2</v>
      </c>
      <c r="C82">
        <f ca="1"/>
        <v>0.13099031017712065</v>
      </c>
      <c r="D82">
        <f ca="1"/>
        <v>1</v>
      </c>
      <c r="E82" s="11">
        <f ca="1"/>
        <v>102.50670878765871</v>
      </c>
      <c r="F82" s="10">
        <f ca="1"/>
        <v>-2.5062826908310609</v>
      </c>
      <c r="G82" s="7">
        <f ca="1"/>
        <v>2.444993815987978E-2</v>
      </c>
      <c r="H82" s="10">
        <f ca="1"/>
        <v>39.901336922426573</v>
      </c>
      <c r="I82" s="7">
        <f ca="1"/>
        <v>-0.36858580163370769</v>
      </c>
      <c r="J82" s="7">
        <f ca="1"/>
        <v>2.1188194910943565</v>
      </c>
      <c r="K82">
        <f ca="1"/>
        <v>0</v>
      </c>
      <c r="L82">
        <f ca="1"/>
        <v>0</v>
      </c>
    </row>
    <row r="83" spans="2:12" x14ac:dyDescent="0.3">
      <c r="B83">
        <v>7.2999999999999995E-2</v>
      </c>
      <c r="C83">
        <f ca="1"/>
        <v>0.11254642859542129</v>
      </c>
      <c r="D83">
        <f ca="1"/>
        <v>1</v>
      </c>
      <c r="E83" s="11">
        <f ca="1"/>
        <v>102.12723845410248</v>
      </c>
      <c r="F83" s="10">
        <f ca="1"/>
        <v>1.6818754954601274</v>
      </c>
      <c r="G83" s="7">
        <f ca="1"/>
        <v>-1.6468432133470323E-2</v>
      </c>
      <c r="H83" s="10">
        <f ca="1"/>
        <v>41.583212417886699</v>
      </c>
      <c r="I83" s="7">
        <f ca="1"/>
        <v>-0.38505423376717801</v>
      </c>
      <c r="J83" s="7">
        <f ca="1"/>
        <v>2.258686868184391</v>
      </c>
      <c r="K83">
        <f ca="1"/>
        <v>0</v>
      </c>
      <c r="L83">
        <f ca="1"/>
        <v>0</v>
      </c>
    </row>
    <row r="84" spans="2:12" x14ac:dyDescent="0.3">
      <c r="B84">
        <v>7.3999999999999996E-2</v>
      </c>
      <c r="C84">
        <f ca="1"/>
        <v>0.14559475694853377</v>
      </c>
      <c r="D84">
        <f ca="1"/>
        <v>1</v>
      </c>
      <c r="E84" s="11">
        <f ca="1"/>
        <v>102.80244506094918</v>
      </c>
      <c r="F84" s="10">
        <f ca="1"/>
        <v>-3.0707055779923835</v>
      </c>
      <c r="G84" s="7">
        <f ca="1"/>
        <v>2.9869966382334912E-2</v>
      </c>
      <c r="H84" s="10">
        <f ca="1"/>
        <v>38.512506839894314</v>
      </c>
      <c r="I84" s="7">
        <f ca="1"/>
        <v>-0.3551842673848431</v>
      </c>
      <c r="J84" s="7">
        <f ca="1"/>
        <v>1.9986957055504959</v>
      </c>
      <c r="K84">
        <f ca="1"/>
        <v>0</v>
      </c>
      <c r="L84">
        <f ca="1"/>
        <v>0</v>
      </c>
    </row>
    <row r="85" spans="2:12" x14ac:dyDescent="0.3">
      <c r="B85">
        <v>7.4999999999999997E-2</v>
      </c>
      <c r="C85">
        <f ca="1"/>
        <v>0.14237741560716002</v>
      </c>
      <c r="D85">
        <f ca="1"/>
        <v>1</v>
      </c>
      <c r="E85" s="11">
        <f ca="1"/>
        <v>102.73426152205856</v>
      </c>
      <c r="F85" s="10">
        <f ca="1"/>
        <v>0.27232459693778838</v>
      </c>
      <c r="G85" s="7">
        <f ca="1"/>
        <v>-2.6507670654674076E-3</v>
      </c>
      <c r="H85" s="10">
        <f ca="1"/>
        <v>38.7848314368321</v>
      </c>
      <c r="I85" s="7">
        <f ca="1"/>
        <v>-0.35783503445031051</v>
      </c>
      <c r="J85" s="7">
        <f ca="1"/>
        <v>2.0229134258590662</v>
      </c>
      <c r="K85">
        <f ca="1"/>
        <v>0</v>
      </c>
      <c r="L85">
        <f ca="1"/>
        <v>0</v>
      </c>
    </row>
    <row r="86" spans="2:12" x14ac:dyDescent="0.3">
      <c r="B86">
        <v>7.5999999999999998E-2</v>
      </c>
      <c r="C86">
        <f ca="1"/>
        <v>0.10789682039947399</v>
      </c>
      <c r="D86">
        <f ca="1"/>
        <v>1</v>
      </c>
      <c r="E86" s="11">
        <f ca="1"/>
        <v>102.02619051382922</v>
      </c>
      <c r="F86" s="10">
        <f ca="1"/>
        <v>3.1706383053327647</v>
      </c>
      <c r="G86" s="7">
        <f ca="1"/>
        <v>-3.1076709709189798E-2</v>
      </c>
      <c r="H86" s="10">
        <f ca="1"/>
        <v>41.955469742164865</v>
      </c>
      <c r="I86" s="7">
        <f ca="1"/>
        <v>-0.38891174415950031</v>
      </c>
      <c r="J86" s="7">
        <f ca="1"/>
        <v>2.2762860394820805</v>
      </c>
      <c r="K86">
        <f ca="1"/>
        <v>0</v>
      </c>
      <c r="L86">
        <f ca="1"/>
        <v>0</v>
      </c>
    </row>
    <row r="87" spans="2:12" x14ac:dyDescent="0.3">
      <c r="B87">
        <v>7.6999999999999999E-2</v>
      </c>
      <c r="C87">
        <f ca="1"/>
        <v>0.15760100833534804</v>
      </c>
      <c r="D87">
        <f ca="1"/>
        <v>1</v>
      </c>
      <c r="E87" s="11">
        <f ca="1"/>
        <v>103.04341328735384</v>
      </c>
      <c r="F87" s="10">
        <f ca="1"/>
        <v>-4.6437804893020243</v>
      </c>
      <c r="G87" s="7">
        <f ca="1"/>
        <v>4.5066252574068599E-2</v>
      </c>
      <c r="H87" s="10">
        <f ca="1"/>
        <v>37.311689252862841</v>
      </c>
      <c r="I87" s="7">
        <f ca="1"/>
        <v>-0.34384549158543171</v>
      </c>
      <c r="J87" s="7">
        <f ca="1"/>
        <v>1.8806761564318535</v>
      </c>
      <c r="K87">
        <f ca="1"/>
        <v>0</v>
      </c>
      <c r="L87">
        <f ca="1"/>
        <v>0</v>
      </c>
    </row>
    <row r="88" spans="2:12" x14ac:dyDescent="0.3">
      <c r="B88">
        <v>7.8E-2</v>
      </c>
      <c r="C88">
        <f ca="1"/>
        <v>0.185565174848592</v>
      </c>
      <c r="D88">
        <f ca="1"/>
        <v>1</v>
      </c>
      <c r="E88" s="11">
        <f ca="1"/>
        <v>103.61926011140594</v>
      </c>
      <c r="F88" s="10">
        <f ca="1"/>
        <v>-2.5598825064848527</v>
      </c>
      <c r="G88" s="7">
        <f ca="1"/>
        <v>2.4704697792018615E-2</v>
      </c>
      <c r="H88" s="10">
        <f ca="1"/>
        <v>34.751806746377987</v>
      </c>
      <c r="I88" s="7">
        <f ca="1"/>
        <v>-0.31914079379341309</v>
      </c>
      <c r="J88" s="7">
        <f ca="1"/>
        <v>1.6826738221377511</v>
      </c>
      <c r="K88">
        <f ca="1"/>
        <v>0</v>
      </c>
      <c r="L88">
        <f ca="1"/>
        <v>0</v>
      </c>
    </row>
    <row r="89" spans="2:12" x14ac:dyDescent="0.3">
      <c r="B89">
        <v>7.9000000000000001E-2</v>
      </c>
      <c r="C89">
        <f ca="1"/>
        <v>0.15445973593130005</v>
      </c>
      <c r="D89">
        <f ca="1"/>
        <v>1</v>
      </c>
      <c r="E89" s="11">
        <f ca="1"/>
        <v>102.97457706732453</v>
      </c>
      <c r="F89" s="10">
        <f ca="1"/>
        <v>2.7799276312281007</v>
      </c>
      <c r="G89" s="7">
        <f ca="1"/>
        <v>-2.6996251991504572E-2</v>
      </c>
      <c r="H89" s="10">
        <f ca="1"/>
        <v>37.531734377606085</v>
      </c>
      <c r="I89" s="7">
        <f ca="1"/>
        <v>-0.34613704578491766</v>
      </c>
      <c r="J89" s="7">
        <f ca="1"/>
        <v>1.8884184805710404</v>
      </c>
      <c r="K89">
        <f ca="1"/>
        <v>0</v>
      </c>
      <c r="L89">
        <f ca="1"/>
        <v>0</v>
      </c>
    </row>
    <row r="90" spans="2:12" x14ac:dyDescent="0.3">
      <c r="B90">
        <v>0.08</v>
      </c>
      <c r="C90">
        <f ca="1"/>
        <v>0.14898547167843093</v>
      </c>
      <c r="D90">
        <f ca="1"/>
        <v>1</v>
      </c>
      <c r="E90" s="11">
        <f ca="1"/>
        <v>102.85983953616014</v>
      </c>
      <c r="F90" s="10">
        <f ca="1"/>
        <v>0.47926767002691761</v>
      </c>
      <c r="G90" s="7">
        <f ca="1"/>
        <v>-4.6594246324721533E-3</v>
      </c>
      <c r="H90" s="10">
        <f ca="1"/>
        <v>38.011002047632999</v>
      </c>
      <c r="I90" s="7">
        <f ca="1"/>
        <v>-0.35079647041738982</v>
      </c>
      <c r="J90" s="7">
        <f ca="1"/>
        <v>1.928133390648938</v>
      </c>
      <c r="K90">
        <f ca="1"/>
        <v>0</v>
      </c>
      <c r="L90">
        <f ca="1"/>
        <v>0</v>
      </c>
    </row>
    <row r="91" spans="2:12" x14ac:dyDescent="0.3">
      <c r="B91">
        <v>8.1000000000000003E-2</v>
      </c>
      <c r="C91">
        <f ca="1"/>
        <v>0.13856663161054594</v>
      </c>
      <c r="D91">
        <f ca="1"/>
        <v>1</v>
      </c>
      <c r="E91" s="11">
        <f ca="1"/>
        <v>102.64367375691457</v>
      </c>
      <c r="F91" s="10">
        <f ca="1"/>
        <v>0.94415900917171991</v>
      </c>
      <c r="G91" s="7">
        <f ca="1"/>
        <v>-9.1984140338519094E-3</v>
      </c>
      <c r="H91" s="10">
        <f ca="1"/>
        <v>38.95516105680472</v>
      </c>
      <c r="I91" s="7">
        <f ca="1"/>
        <v>-0.35999488445124173</v>
      </c>
      <c r="J91" s="7">
        <f ca="1"/>
        <v>2.003963583033304</v>
      </c>
      <c r="K91">
        <f ca="1"/>
        <v>0</v>
      </c>
      <c r="L91">
        <f ca="1"/>
        <v>0</v>
      </c>
    </row>
    <row r="92" spans="2:12" x14ac:dyDescent="0.3">
      <c r="B92">
        <v>8.2000000000000003E-2</v>
      </c>
      <c r="C92">
        <f ca="1"/>
        <v>0.12617091409146933</v>
      </c>
      <c r="D92">
        <f ca="1"/>
        <v>1</v>
      </c>
      <c r="E92" s="11">
        <f ca="1"/>
        <v>102.38747276131075</v>
      </c>
      <c r="F92" s="10">
        <f ca="1"/>
        <v>1.1422105375076919</v>
      </c>
      <c r="G92" s="7">
        <f ca="1"/>
        <v>-1.1155764535476453E-2</v>
      </c>
      <c r="H92" s="10">
        <f ca="1"/>
        <v>40.097371594312413</v>
      </c>
      <c r="I92" s="7">
        <f ca="1"/>
        <v>-0.37115064898671818</v>
      </c>
      <c r="J92" s="7">
        <f ca="1"/>
        <v>2.0961946308419996</v>
      </c>
      <c r="K92">
        <f ca="1"/>
        <v>0</v>
      </c>
      <c r="L92">
        <f ca="1"/>
        <v>0</v>
      </c>
    </row>
    <row r="93" spans="2:12" x14ac:dyDescent="0.3">
      <c r="B93">
        <v>8.3000000000000004E-2</v>
      </c>
      <c r="C93">
        <f ca="1"/>
        <v>0.10250138029948053</v>
      </c>
      <c r="D93">
        <f ca="1"/>
        <v>1</v>
      </c>
      <c r="E93" s="11">
        <f ca="1"/>
        <v>101.90188739086643</v>
      </c>
      <c r="F93" s="10">
        <f ca="1"/>
        <v>2.2315016889664459</v>
      </c>
      <c r="G93" s="7">
        <f ca="1"/>
        <v>-2.1898531480649075E-2</v>
      </c>
      <c r="H93" s="10">
        <f ca="1"/>
        <v>42.32887328327886</v>
      </c>
      <c r="I93" s="7">
        <f ca="1"/>
        <v>-0.39304918046736725</v>
      </c>
      <c r="J93" s="7">
        <f ca="1"/>
        <v>2.2764199562208631</v>
      </c>
      <c r="K93">
        <f ca="1"/>
        <v>0</v>
      </c>
      <c r="L93">
        <f ca="1"/>
        <v>0</v>
      </c>
    </row>
    <row r="94" spans="2:12" x14ac:dyDescent="0.3">
      <c r="B94">
        <v>8.4000000000000005E-2</v>
      </c>
      <c r="C94">
        <f ca="1"/>
        <v>0.13751001006891711</v>
      </c>
      <c r="D94">
        <f ca="1"/>
        <v>1</v>
      </c>
      <c r="E94" s="11">
        <f ca="1"/>
        <v>102.6158278109403</v>
      </c>
      <c r="F94" s="10">
        <f ca="1"/>
        <v>-3.3595909076606234</v>
      </c>
      <c r="G94" s="7">
        <f ca="1"/>
        <v>3.2739500127118237E-2</v>
      </c>
      <c r="H94" s="10">
        <f ca="1"/>
        <v>38.969282375618235</v>
      </c>
      <c r="I94" s="7">
        <f ca="1"/>
        <v>-0.36030968034024902</v>
      </c>
      <c r="J94" s="7">
        <f ca="1"/>
        <v>1.995806259208301</v>
      </c>
      <c r="K94">
        <f ca="1"/>
        <v>0</v>
      </c>
      <c r="L94">
        <f ca="1"/>
        <v>0</v>
      </c>
    </row>
    <row r="95" spans="2:12" x14ac:dyDescent="0.3">
      <c r="B95">
        <v>8.5000000000000006E-2</v>
      </c>
      <c r="C95">
        <f ca="1"/>
        <v>0.17339990724845539</v>
      </c>
      <c r="D95">
        <f ca="1"/>
        <v>1</v>
      </c>
      <c r="E95" s="11">
        <f ca="1"/>
        <v>103.35298492649312</v>
      </c>
      <c r="F95" s="10">
        <f ca="1"/>
        <v>-3.3816020408213712</v>
      </c>
      <c r="G95" s="7">
        <f ca="1"/>
        <v>3.2718958656360431E-2</v>
      </c>
      <c r="H95" s="10">
        <f ca="1"/>
        <v>35.587680334796865</v>
      </c>
      <c r="I95" s="7">
        <f ca="1"/>
        <v>-0.32759072168388859</v>
      </c>
      <c r="J95" s="7">
        <f ca="1"/>
        <v>1.7302014145429254</v>
      </c>
      <c r="K95">
        <f ca="1"/>
        <v>0</v>
      </c>
      <c r="L95">
        <f ca="1"/>
        <v>0</v>
      </c>
    </row>
    <row r="96" spans="2:12" x14ac:dyDescent="0.3">
      <c r="B96">
        <v>8.6000000000000007E-2</v>
      </c>
      <c r="C96">
        <f ca="1"/>
        <v>0.19975585375301405</v>
      </c>
      <c r="D96">
        <f ca="1"/>
        <v>1</v>
      </c>
      <c r="E96" s="11">
        <f ca="1"/>
        <v>103.89713849142706</v>
      </c>
      <c r="F96" s="10">
        <f ca="1"/>
        <v>-2.4361889562023977</v>
      </c>
      <c r="G96" s="7">
        <f ca="1"/>
        <v>2.3448085207884883E-2</v>
      </c>
      <c r="H96" s="10">
        <f ca="1"/>
        <v>33.151491378594464</v>
      </c>
      <c r="I96" s="7">
        <f ca="1"/>
        <v>-0.3041426364760037</v>
      </c>
      <c r="J96" s="7">
        <f ca="1"/>
        <v>1.5519417554993531</v>
      </c>
      <c r="K96">
        <f ca="1"/>
        <v>0</v>
      </c>
      <c r="L96">
        <f ca="1"/>
        <v>0</v>
      </c>
    </row>
    <row r="97" spans="2:12" x14ac:dyDescent="0.3">
      <c r="B97">
        <v>8.7000000000000008E-2</v>
      </c>
      <c r="C97">
        <f ca="1"/>
        <v>0.22663404081947772</v>
      </c>
      <c r="D97">
        <f ca="1"/>
        <v>1</v>
      </c>
      <c r="E97" s="11">
        <f ca="1"/>
        <v>104.45506659018548</v>
      </c>
      <c r="F97" s="10">
        <f ca="1"/>
        <v>-2.4278563015722012</v>
      </c>
      <c r="G97" s="7">
        <f ca="1"/>
        <v>2.3243068822095037E-2</v>
      </c>
      <c r="H97" s="10">
        <f ca="1"/>
        <v>30.723635077022262</v>
      </c>
      <c r="I97" s="7">
        <f ca="1"/>
        <v>-0.28089956765390867</v>
      </c>
      <c r="J97" s="7">
        <f ca="1"/>
        <v>1.382252032578922</v>
      </c>
      <c r="K97">
        <f ca="1"/>
        <v>0</v>
      </c>
      <c r="L97">
        <f ca="1"/>
        <v>0</v>
      </c>
    </row>
    <row r="98" spans="2:12" x14ac:dyDescent="0.3">
      <c r="B98">
        <v>8.7999999999999995E-2</v>
      </c>
      <c r="C98">
        <f ca="1"/>
        <v>0.24783435797665396</v>
      </c>
      <c r="D98">
        <f ca="1"/>
        <v>1</v>
      </c>
      <c r="E98" s="11">
        <f ca="1"/>
        <v>104.89680502346106</v>
      </c>
      <c r="F98" s="10">
        <f ca="1"/>
        <v>-1.8779843583123419</v>
      </c>
      <c r="G98" s="7">
        <f ca="1"/>
        <v>1.7903160710112331E-2</v>
      </c>
      <c r="H98" s="10">
        <f ca="1"/>
        <v>28.845650718709919</v>
      </c>
      <c r="I98" s="7">
        <f ca="1"/>
        <v>-0.26299640694379633</v>
      </c>
      <c r="J98" s="7">
        <f ca="1"/>
        <v>1.2581678976556958</v>
      </c>
      <c r="K98">
        <f ca="1"/>
        <v>0</v>
      </c>
      <c r="L98">
        <f ca="1"/>
        <v>0</v>
      </c>
    </row>
    <row r="99" spans="2:12" x14ac:dyDescent="0.3">
      <c r="B99">
        <v>8.8999999999999996E-2</v>
      </c>
      <c r="C99">
        <f ca="1"/>
        <v>0.24344206652408493</v>
      </c>
      <c r="D99">
        <f ca="1"/>
        <v>1</v>
      </c>
      <c r="E99" s="11">
        <f ca="1"/>
        <v>104.80260194444493</v>
      </c>
      <c r="F99" s="10">
        <f ca="1"/>
        <v>0.3250945559509183</v>
      </c>
      <c r="G99" s="7">
        <f ca="1"/>
        <v>-3.1019702747766553E-3</v>
      </c>
      <c r="H99" s="10">
        <f ca="1"/>
        <v>29.170745274660838</v>
      </c>
      <c r="I99" s="7">
        <f ca="1"/>
        <v>-0.26609837721857299</v>
      </c>
      <c r="J99">
        <f ca="1"/>
        <v>1.2829429689599792</v>
      </c>
      <c r="K99">
        <f ca="1"/>
        <v>0</v>
      </c>
      <c r="L99">
        <f ca="1"/>
        <v>0</v>
      </c>
    </row>
    <row r="100" spans="2:12" x14ac:dyDescent="0.3">
      <c r="B100">
        <v>0.09</v>
      </c>
      <c r="C100">
        <f ca="1"/>
        <v>0.16576982498327847</v>
      </c>
      <c r="D100">
        <f ca="1"/>
        <v>1</v>
      </c>
      <c r="E100" s="11">
        <f ca="1"/>
        <v>103.18506782751192</v>
      </c>
      <c r="F100" s="10">
        <f ca="1"/>
        <v>6.8927360979962629</v>
      </c>
      <c r="G100" s="7">
        <f ca="1"/>
        <v>-6.6799743830361413E-2</v>
      </c>
      <c r="H100" s="10">
        <f ca="1"/>
        <v>36.063481372657101</v>
      </c>
      <c r="I100" s="7">
        <f ca="1"/>
        <v>-0.3328981210489344</v>
      </c>
      <c r="J100">
        <f ca="1"/>
        <v>1.7133661725715328</v>
      </c>
      <c r="K100">
        <f ca="1"/>
        <v>0</v>
      </c>
      <c r="L100">
        <f ca="1"/>
        <v>0</v>
      </c>
    </row>
    <row r="101" spans="2:12" x14ac:dyDescent="0.3">
      <c r="B101">
        <v>9.0999999999999998E-2</v>
      </c>
      <c r="C101">
        <f ca="1"/>
        <v>0.23075946168129829</v>
      </c>
      <c r="D101">
        <f ca="1"/>
        <v>1</v>
      </c>
      <c r="E101" s="11">
        <f ca="1"/>
        <v>104.53292340836468</v>
      </c>
      <c r="F101" s="10">
        <f ca="1"/>
        <v>-5.9825707685093921</v>
      </c>
      <c r="G101" s="7">
        <f ca="1"/>
        <v>5.7231449895819797E-2</v>
      </c>
      <c r="H101" s="10">
        <f ca="1"/>
        <v>30.080910604147711</v>
      </c>
      <c r="I101" s="7">
        <f ca="1"/>
        <v>-0.27566667115311461</v>
      </c>
      <c r="J101">
        <f ca="1"/>
        <v>1.2646675822603299</v>
      </c>
      <c r="K101">
        <f ca="1"/>
        <v>0</v>
      </c>
      <c r="L101">
        <f ca="1"/>
        <v>0</v>
      </c>
    </row>
    <row r="102" spans="2:12" x14ac:dyDescent="0.3">
      <c r="B102">
        <v>9.1999999999999998E-2</v>
      </c>
      <c r="C102">
        <f ca="1"/>
        <v>0.21692811739739004</v>
      </c>
      <c r="D102">
        <f ca="1"/>
        <v>1</v>
      </c>
      <c r="E102" s="11">
        <f ca="1"/>
        <v>104.24207196268989</v>
      </c>
      <c r="F102" s="10">
        <f ca="1"/>
        <v>1.1751706456034929</v>
      </c>
      <c r="G102" s="7">
        <f ca="1"/>
        <v>-1.1273477430725931E-2</v>
      </c>
      <c r="H102" s="10">
        <f ca="1"/>
        <v>31.256081249751205</v>
      </c>
      <c r="I102" s="7">
        <f ca="1"/>
        <v>-0.28694014858384054</v>
      </c>
      <c r="J102">
        <f ca="1"/>
        <v>1.3448456320895694</v>
      </c>
      <c r="K102">
        <f ca="1"/>
        <v>0</v>
      </c>
      <c r="L102">
        <f ca="1"/>
        <v>0</v>
      </c>
    </row>
    <row r="103" spans="2:12" x14ac:dyDescent="0.3">
      <c r="B103">
        <v>9.2999999999999999E-2</v>
      </c>
      <c r="C103">
        <f ca="1"/>
        <v>0.19801331929569341</v>
      </c>
      <c r="D103">
        <f ca="1"/>
        <v>1</v>
      </c>
      <c r="E103" s="11">
        <f ca="1"/>
        <v>103.8463964182059</v>
      </c>
      <c r="F103" s="10">
        <f ca="1"/>
        <v>1.6640902630737666</v>
      </c>
      <c r="G103" s="7">
        <f ca="1"/>
        <v>-1.6024535472297097E-2</v>
      </c>
      <c r="H103" s="10">
        <f ca="1"/>
        <v>32.920171512824972</v>
      </c>
      <c r="I103" s="7">
        <f ca="1"/>
        <v>-0.30296468405613763</v>
      </c>
      <c r="J103">
        <f ca="1"/>
        <v>1.4583808316148001</v>
      </c>
      <c r="K103">
        <f ca="1"/>
        <v>0</v>
      </c>
      <c r="L103">
        <f ca="1"/>
        <v>0</v>
      </c>
    </row>
    <row r="104" spans="2:12" x14ac:dyDescent="0.3">
      <c r="B104">
        <v>9.4E-2</v>
      </c>
      <c r="C104">
        <f ca="1"/>
        <v>0.25367256648612002</v>
      </c>
      <c r="D104">
        <f ca="1"/>
        <v>1</v>
      </c>
      <c r="E104" s="11">
        <f ca="1"/>
        <v>105.00675687581536</v>
      </c>
      <c r="F104" s="10">
        <f ca="1"/>
        <v>-5.0069434143466207</v>
      </c>
      <c r="G104" s="7">
        <f ca="1"/>
        <v>4.7682106974011262E-2</v>
      </c>
      <c r="H104" s="10">
        <f ca="1"/>
        <v>27.913228098478349</v>
      </c>
      <c r="I104" s="7">
        <f ca="1"/>
        <v>-0.25528257708212637</v>
      </c>
      <c r="J104">
        <f ca="1"/>
        <v>1.1068325921839133</v>
      </c>
      <c r="K104">
        <f ca="1"/>
        <v>0</v>
      </c>
      <c r="L104">
        <f ca="1"/>
        <v>0</v>
      </c>
    </row>
    <row r="105" spans="2:12" x14ac:dyDescent="0.3">
      <c r="B105">
        <v>9.5000000000000001E-2</v>
      </c>
      <c r="C105">
        <f ca="1"/>
        <v>0.26933786806413107</v>
      </c>
      <c r="D105">
        <f ca="1"/>
        <v>1</v>
      </c>
      <c r="E105" s="11">
        <f ca="1"/>
        <v>105.33415858974892</v>
      </c>
      <c r="F105" s="10">
        <f ca="1"/>
        <v>-1.3818460705616424</v>
      </c>
      <c r="G105" s="7">
        <f ca="1"/>
        <v>1.3118689027968589E-2</v>
      </c>
      <c r="H105" s="10">
        <f ca="1"/>
        <v>26.531382027916706</v>
      </c>
      <c r="I105" s="7">
        <f ca="1"/>
        <v>-0.24216388805415778</v>
      </c>
      <c r="J105">
        <f ca="1"/>
        <v>1.0232526389098453</v>
      </c>
      <c r="K105">
        <f ca="1"/>
        <v>0</v>
      </c>
      <c r="L105">
        <f ca="1"/>
        <v>0</v>
      </c>
    </row>
    <row r="106" spans="2:12" x14ac:dyDescent="0.3">
      <c r="B106">
        <v>9.6000000000000002E-2</v>
      </c>
      <c r="C106">
        <f ca="1"/>
        <v>0.27629228448753151</v>
      </c>
      <c r="D106">
        <f ca="1"/>
        <v>1</v>
      </c>
      <c r="E106" s="11">
        <f ca="1"/>
        <v>105.47865845065732</v>
      </c>
      <c r="F106" s="10">
        <f ca="1"/>
        <v>-0.63745245295048625</v>
      </c>
      <c r="G106" s="7">
        <f ca="1"/>
        <v>6.0434258675055585E-3</v>
      </c>
      <c r="H106" s="10">
        <f ca="1"/>
        <v>25.893929574966219</v>
      </c>
      <c r="I106" s="7">
        <f ca="1"/>
        <v>-0.23612046218665222</v>
      </c>
      <c r="J106">
        <f ca="1"/>
        <v>0.98825999076898086</v>
      </c>
      <c r="K106">
        <f ca="1"/>
        <v>0</v>
      </c>
      <c r="L106">
        <f ca="1"/>
        <v>0</v>
      </c>
    </row>
    <row r="107" spans="2:12" x14ac:dyDescent="0.3">
      <c r="B107">
        <v>9.7000000000000003E-2</v>
      </c>
      <c r="C107">
        <f ca="1"/>
        <v>0.26103117571228018</v>
      </c>
      <c r="D107">
        <f ca="1"/>
        <v>1</v>
      </c>
      <c r="E107" s="11">
        <f ca="1"/>
        <v>105.15510189470869</v>
      </c>
      <c r="F107" s="10">
        <f ca="1"/>
        <v>1.2206204731810644</v>
      </c>
      <c r="G107" s="7">
        <f ca="1"/>
        <v>-1.1607810283929598E-2</v>
      </c>
      <c r="H107" s="10">
        <f ca="1"/>
        <v>27.114550048147283</v>
      </c>
      <c r="I107" s="7">
        <f ca="1"/>
        <v>-0.24772827247058182</v>
      </c>
      <c r="J107">
        <f ca="1"/>
        <v>1.0646583143030917</v>
      </c>
      <c r="K107">
        <f ca="1"/>
        <v>0</v>
      </c>
      <c r="L107">
        <f ca="1"/>
        <v>0</v>
      </c>
    </row>
    <row r="108" spans="2:12" x14ac:dyDescent="0.3">
      <c r="B108">
        <v>9.8000000000000004E-2</v>
      </c>
      <c r="C108">
        <f ca="1"/>
        <v>0.2192686546237759</v>
      </c>
      <c r="D108">
        <f ca="1"/>
        <v>1</v>
      </c>
      <c r="E108" s="11">
        <f ca="1"/>
        <v>104.27836572074843</v>
      </c>
      <c r="F108" s="10">
        <f ca="1"/>
        <v>3.5966089807409576</v>
      </c>
      <c r="G108" s="7">
        <f ca="1"/>
        <v>-3.4490461716406962E-2</v>
      </c>
      <c r="H108" s="10">
        <f ca="1"/>
        <v>30.71115902888824</v>
      </c>
      <c r="I108" s="7">
        <f ca="1"/>
        <v>-0.28221873418698878</v>
      </c>
      <c r="J108">
        <f ca="1"/>
        <v>1.2818506520907356</v>
      </c>
      <c r="K108">
        <f ca="1"/>
        <v>0</v>
      </c>
      <c r="L108">
        <f ca="1"/>
        <v>0</v>
      </c>
    </row>
    <row r="109" spans="2:12" x14ac:dyDescent="0.3">
      <c r="B109">
        <v>9.9000000000000005E-2</v>
      </c>
      <c r="C109">
        <f ca="1"/>
        <v>0.2049637047305643</v>
      </c>
      <c r="D109">
        <f ca="1"/>
        <v>1</v>
      </c>
      <c r="E109" s="11">
        <f ca="1"/>
        <v>103.9783731394254</v>
      </c>
      <c r="F109" s="10">
        <f ca="1"/>
        <v>1.2570998552482238</v>
      </c>
      <c r="G109" s="7">
        <f ca="1"/>
        <v>-1.2090012733345701E-2</v>
      </c>
      <c r="H109" s="10">
        <f ca="1"/>
        <v>31.968258884136464</v>
      </c>
      <c r="I109" s="7">
        <f ca="1"/>
        <v>-0.29430874692033449</v>
      </c>
      <c r="J109">
        <f ca="1"/>
        <v>1.3665141786572086</v>
      </c>
      <c r="K109">
        <f ca="1"/>
        <v>0</v>
      </c>
      <c r="L109">
        <f ca="1"/>
        <v>0</v>
      </c>
    </row>
    <row r="110" spans="2:12" x14ac:dyDescent="0.3">
      <c r="B110">
        <v>0.1</v>
      </c>
      <c r="C110">
        <f ca="1"/>
        <v>0.19092863917974906</v>
      </c>
      <c r="D110">
        <f ca="1"/>
        <v>1</v>
      </c>
      <c r="E110" s="11">
        <f ca="1"/>
        <v>103.68484002186574</v>
      </c>
      <c r="F110" s="10">
        <f ca="1"/>
        <v>1.2607811255137749</v>
      </c>
      <c r="G110" s="7">
        <f ca="1"/>
        <v>-1.2159744136634565E-2</v>
      </c>
      <c r="H110" s="10">
        <f ca="1"/>
        <v>33.229040009650241</v>
      </c>
      <c r="I110" s="7">
        <f ca="1"/>
        <v>-0.30646849105696905</v>
      </c>
      <c r="J110">
        <f ca="1"/>
        <v>1.4529035426658155</v>
      </c>
      <c r="K110">
        <f ca="1"/>
        <v>0</v>
      </c>
      <c r="L110">
        <f ca="1"/>
        <v>0</v>
      </c>
    </row>
    <row r="111" spans="2:12" x14ac:dyDescent="0.3">
      <c r="B111">
        <v>0.10100000000000001</v>
      </c>
      <c r="C111">
        <f ca="1"/>
        <v>0.18729454173960397</v>
      </c>
      <c r="D111">
        <f ca="1"/>
        <v>1</v>
      </c>
      <c r="E111">
        <f ca="1"/>
        <v>103.6074350700851</v>
      </c>
      <c r="F111" s="10">
        <f ca="1"/>
        <v>0.30022762282246429</v>
      </c>
      <c r="G111" s="7">
        <f ca="1"/>
        <v>-2.8977420647405827E-3</v>
      </c>
      <c r="H111" s="10">
        <f ca="1"/>
        <v>33.529267632472703</v>
      </c>
      <c r="I111" s="7">
        <f ca="1"/>
        <v>-0.30936623312170963</v>
      </c>
      <c r="J111">
        <f ca="1"/>
        <v>1.47662572143836</v>
      </c>
      <c r="K111">
        <f ca="1"/>
        <v>0</v>
      </c>
      <c r="L111">
        <f ca="1"/>
        <v>0</v>
      </c>
    </row>
    <row r="112" spans="2:12" x14ac:dyDescent="0.3">
      <c r="B112">
        <v>0.10200000000000001</v>
      </c>
      <c r="C112">
        <f ca="1"/>
        <v>0.14405607881750759</v>
      </c>
      <c r="D112">
        <f ca="1"/>
        <v>1</v>
      </c>
      <c r="E112">
        <f ca="1"/>
        <v>102.71327840904401</v>
      </c>
      <c r="F112" s="10">
        <f ca="1"/>
        <v>4.13206791432542</v>
      </c>
      <c r="G112" s="7">
        <f ca="1"/>
        <v>-4.0229150294180338E-2</v>
      </c>
      <c r="H112" s="10">
        <f ca="1"/>
        <v>37.661335546798121</v>
      </c>
      <c r="I112" s="7">
        <f ca="1"/>
        <v>-0.34959538341588997</v>
      </c>
      <c r="J112">
        <f ca="1"/>
        <v>1.7532475994853272</v>
      </c>
      <c r="K112">
        <f ca="1"/>
        <v>0</v>
      </c>
      <c r="L112">
        <f ca="1"/>
        <v>0</v>
      </c>
    </row>
    <row r="113" spans="2:12" x14ac:dyDescent="0.3">
      <c r="B113">
        <v>0.10300000000000001</v>
      </c>
      <c r="C113">
        <f ca="1"/>
        <v>0.13032206821161571</v>
      </c>
      <c r="D113">
        <f ca="1"/>
        <v>1</v>
      </c>
      <c r="E113">
        <f ca="1"/>
        <v>102.42948387516965</v>
      </c>
      <c r="F113" s="10">
        <f ca="1"/>
        <v>1.3372515124979647</v>
      </c>
      <c r="G113" s="7">
        <f ca="1"/>
        <v>-1.3055337798320521E-2</v>
      </c>
      <c r="H113" s="10">
        <f ca="1"/>
        <v>38.998587059296085</v>
      </c>
      <c r="I113" s="7">
        <f ca="1"/>
        <v>-0.36265072121421049</v>
      </c>
      <c r="J113">
        <f ca="1"/>
        <v>1.8524608583664701</v>
      </c>
      <c r="K113">
        <f ca="1"/>
        <v>0</v>
      </c>
      <c r="L113">
        <f ca="1"/>
        <v>0</v>
      </c>
    </row>
    <row r="114" spans="2:12" x14ac:dyDescent="0.3">
      <c r="B114">
        <v>0.10400000000000001</v>
      </c>
      <c r="C114">
        <f ca="1"/>
        <v>7.7566054769347248E-2</v>
      </c>
      <c r="D114">
        <f ca="1"/>
        <v>1</v>
      </c>
      <c r="E114">
        <f ca="1"/>
        <v>101.35238418989729</v>
      </c>
      <c r="F114" s="10">
        <f ca="1"/>
        <v>5.3337810947151398</v>
      </c>
      <c r="G114" s="7">
        <f ca="1"/>
        <v>-5.2626103839072846E-2</v>
      </c>
      <c r="H114" s="10">
        <f ca="1"/>
        <v>44.332368154011228</v>
      </c>
      <c r="I114" s="7">
        <f ca="1"/>
        <v>-0.41527682505328334</v>
      </c>
      <c r="J114">
        <f ca="1"/>
        <v>2.2430718360500919</v>
      </c>
      <c r="K114">
        <f ca="1"/>
        <v>0</v>
      </c>
      <c r="L114">
        <f ca="1"/>
        <v>0</v>
      </c>
    </row>
    <row r="115" spans="2:12" x14ac:dyDescent="0.3">
      <c r="B115">
        <v>0.105</v>
      </c>
      <c r="C115">
        <f ca="1"/>
        <v>3.811296330626289E-2</v>
      </c>
      <c r="D115">
        <f ca="1"/>
        <v>1</v>
      </c>
      <c r="E115">
        <f ca="1"/>
        <v>100.55378702871907</v>
      </c>
      <c r="F115" s="10">
        <f ca="1"/>
        <v>4.0917652748363151</v>
      </c>
      <c r="G115" s="7">
        <f ca="1"/>
        <v>-4.0692304046864691E-2</v>
      </c>
      <c r="H115" s="10">
        <f ca="1"/>
        <v>48.42413342884754</v>
      </c>
      <c r="I115" s="7">
        <f ca="1"/>
        <v>-0.45596912910014803</v>
      </c>
      <c r="J115">
        <f ca="1"/>
        <v>2.5747107296407421</v>
      </c>
      <c r="K115">
        <f ca="1"/>
        <v>0</v>
      </c>
      <c r="L115">
        <f ca="1"/>
        <v>0</v>
      </c>
    </row>
    <row r="116" spans="2:12" x14ac:dyDescent="0.3">
      <c r="B116">
        <v>0.106</v>
      </c>
      <c r="C116">
        <f ca="1"/>
        <v>4.8930528706530682E-2</v>
      </c>
      <c r="D116">
        <f ca="1"/>
        <v>1</v>
      </c>
      <c r="E116">
        <f ca="1"/>
        <v>100.7695565562509</v>
      </c>
      <c r="F116" s="10">
        <f ca="1"/>
        <v>-1.1313520924099933</v>
      </c>
      <c r="G116" s="7">
        <f ca="1"/>
        <v>1.1227121871658308E-2</v>
      </c>
      <c r="H116" s="10">
        <f ca="1"/>
        <v>47.29278133643755</v>
      </c>
      <c r="I116" s="7">
        <f ca="1"/>
        <v>-0.44474200722848972</v>
      </c>
      <c r="J116">
        <f ca="1"/>
        <v>2.4763264860857035</v>
      </c>
      <c r="K116">
        <f ca="1"/>
        <v>0</v>
      </c>
      <c r="L116">
        <f ca="1"/>
        <v>0</v>
      </c>
    </row>
    <row r="117" spans="2:12" x14ac:dyDescent="0.3">
      <c r="B117">
        <v>0.107</v>
      </c>
      <c r="C117">
        <f ca="1"/>
        <v>9.6651662129681307E-2</v>
      </c>
      <c r="D117">
        <f ca="1"/>
        <v>1</v>
      </c>
      <c r="E117">
        <f ca="1"/>
        <v>101.73389364869108</v>
      </c>
      <c r="F117" s="10">
        <f ca="1"/>
        <v>-5.0133492710426362</v>
      </c>
      <c r="G117" s="7">
        <f ca="1"/>
        <v>4.9279046453827913E-2</v>
      </c>
      <c r="H117" s="10">
        <f ca="1"/>
        <v>42.279432065394914</v>
      </c>
      <c r="I117" s="7">
        <f ca="1"/>
        <v>-0.39546296077466181</v>
      </c>
      <c r="J117">
        <f ca="1"/>
        <v>2.0474452719489804</v>
      </c>
      <c r="K117">
        <f ca="1"/>
        <v>0</v>
      </c>
      <c r="L117">
        <f ca="1"/>
        <v>0</v>
      </c>
    </row>
    <row r="118" spans="2:12" x14ac:dyDescent="0.3">
      <c r="B118">
        <v>0.108</v>
      </c>
      <c r="C118">
        <f ca="1"/>
        <v>0.11985570756331573</v>
      </c>
      <c r="D118">
        <f ca="1"/>
        <v>1</v>
      </c>
      <c r="E118">
        <f ca="1"/>
        <v>102.20507432849206</v>
      </c>
      <c r="F118" s="10">
        <f ca="1"/>
        <v>-2.4183560403374726</v>
      </c>
      <c r="G118" s="7">
        <f ca="1"/>
        <v>2.3661800123198962E-2</v>
      </c>
      <c r="H118" s="10">
        <f ca="1"/>
        <v>39.861076025057443</v>
      </c>
      <c r="I118" s="7">
        <f ca="1"/>
        <v>-0.37180116065146285</v>
      </c>
      <c r="J118">
        <f ca="1"/>
        <v>1.8611107652550629</v>
      </c>
      <c r="K118">
        <f ca="1"/>
        <v>0</v>
      </c>
      <c r="L118">
        <f ca="1"/>
        <v>0</v>
      </c>
    </row>
    <row r="119" spans="2:12" x14ac:dyDescent="0.3">
      <c r="B119">
        <v>0.109</v>
      </c>
      <c r="C119">
        <f ca="1"/>
        <v>0.108825368835568</v>
      </c>
      <c r="D119">
        <f ca="1"/>
        <v>1</v>
      </c>
      <c r="E119">
        <f ca="1"/>
        <v>101.97781195366666</v>
      </c>
      <c r="F119" s="10">
        <f ca="1"/>
        <v>1.113791425064415</v>
      </c>
      <c r="G119" s="7">
        <f ca="1"/>
        <v>-1.0921899614501074E-2</v>
      </c>
      <c r="H119" s="10">
        <f ca="1"/>
        <v>40.974867450121856</v>
      </c>
      <c r="I119" s="7">
        <f ca="1"/>
        <v>-0.38272306026596392</v>
      </c>
      <c r="J119">
        <f ca="1"/>
        <v>1.9456071799875545</v>
      </c>
      <c r="K119">
        <f ca="1"/>
        <v>0</v>
      </c>
      <c r="L119">
        <f ca="1"/>
        <v>0</v>
      </c>
    </row>
    <row r="120" spans="2:12" x14ac:dyDescent="0.3">
      <c r="B120">
        <v>0.11</v>
      </c>
      <c r="C120">
        <f ca="1"/>
        <v>0.11801984135237216</v>
      </c>
      <c r="D120">
        <f ca="1"/>
        <v>1</v>
      </c>
      <c r="E120">
        <f ca="1"/>
        <v>102.16346762815196</v>
      </c>
      <c r="F120" s="10">
        <f ca="1"/>
        <v>-0.97481428459362685</v>
      </c>
      <c r="G120" s="7">
        <f ca="1"/>
        <v>9.5417110169135344E-3</v>
      </c>
      <c r="H120" s="10">
        <f ca="1"/>
        <v>40.000053165528229</v>
      </c>
      <c r="I120" s="7">
        <f ca="1"/>
        <v>-0.37318134924905039</v>
      </c>
      <c r="J120">
        <f ca="1"/>
        <v>1.8745524720927946</v>
      </c>
      <c r="K120">
        <f ca="1"/>
        <v>0</v>
      </c>
      <c r="L120">
        <f ca="1"/>
        <v>0</v>
      </c>
    </row>
    <row r="121" spans="2:12" x14ac:dyDescent="0.3">
      <c r="B121">
        <v>0.111</v>
      </c>
      <c r="C121">
        <f ca="1"/>
        <v>4.9839872110356995E-2</v>
      </c>
      <c r="D121">
        <f ca="1"/>
        <v>1</v>
      </c>
      <c r="E121">
        <f ca="1"/>
        <v>100.7778067646197</v>
      </c>
      <c r="F121" s="10">
        <f ca="1"/>
        <v>7.1227865100777255</v>
      </c>
      <c r="G121" s="7">
        <f ca="1"/>
        <v>-7.0678125856756979E-2</v>
      </c>
      <c r="H121" s="10">
        <f ca="1"/>
        <v>47.122839675605952</v>
      </c>
      <c r="I121" s="7">
        <f ca="1"/>
        <v>-0.44385947510580737</v>
      </c>
      <c r="J121">
        <f ca="1"/>
        <v>2.3916552627473706</v>
      </c>
      <c r="K121">
        <f ca="1"/>
        <v>0</v>
      </c>
      <c r="L121">
        <f ca="1"/>
        <v>0</v>
      </c>
    </row>
    <row r="122" spans="2:12" x14ac:dyDescent="0.3">
      <c r="B122">
        <v>0.112</v>
      </c>
      <c r="C122">
        <f ca="1"/>
        <v>6.0794868335376305E-2</v>
      </c>
      <c r="D122">
        <f ca="1"/>
        <v>1</v>
      </c>
      <c r="E122">
        <f ca="1"/>
        <v>100.9968329738594</v>
      </c>
      <c r="F122" s="10">
        <f ca="1"/>
        <v>-1.1727007311082731</v>
      </c>
      <c r="G122" s="7">
        <f ca="1"/>
        <v>1.1611262418612656E-2</v>
      </c>
      <c r="H122" s="10">
        <f ca="1"/>
        <v>45.950138944497681</v>
      </c>
      <c r="I122" s="7">
        <f ca="1"/>
        <v>-0.43224821268719471</v>
      </c>
      <c r="J122">
        <f ca="1"/>
        <v>2.2944384044798269</v>
      </c>
      <c r="K122">
        <f ca="1"/>
        <v>0</v>
      </c>
      <c r="L122">
        <f ca="1"/>
        <v>0</v>
      </c>
    </row>
    <row r="123" spans="2:12" x14ac:dyDescent="0.3">
      <c r="B123">
        <v>0.113</v>
      </c>
      <c r="C123">
        <f ca="1"/>
        <v>0.10445102307288062</v>
      </c>
      <c r="D123">
        <f ca="1"/>
        <v>1</v>
      </c>
      <c r="E123">
        <f ca="1"/>
        <v>101.88048296240973</v>
      </c>
      <c r="F123" s="10">
        <f ca="1"/>
        <v>-4.6697440709775533</v>
      </c>
      <c r="G123" s="7">
        <f ca="1"/>
        <v>4.5835511721126432E-2</v>
      </c>
      <c r="H123" s="10">
        <f ca="1"/>
        <v>41.28039487352013</v>
      </c>
      <c r="I123" s="7">
        <f ca="1"/>
        <v>-0.38641270096606828</v>
      </c>
      <c r="J123">
        <f ca="1"/>
        <v>1.9124822762878821</v>
      </c>
      <c r="K123">
        <f ca="1"/>
        <v>0</v>
      </c>
      <c r="L123">
        <f ca="1"/>
        <v>0</v>
      </c>
    </row>
    <row r="124" spans="2:12" x14ac:dyDescent="0.3">
      <c r="B124">
        <v>0.114</v>
      </c>
      <c r="C124">
        <f ca="1"/>
        <v>0.10481911296530261</v>
      </c>
      <c r="D124">
        <f ca="1"/>
        <v>1</v>
      </c>
      <c r="E124">
        <f ca="1"/>
        <v>101.88594573440326</v>
      </c>
      <c r="F124" s="10">
        <f ca="1"/>
        <v>-5.9060555843858963E-2</v>
      </c>
      <c r="G124" s="7">
        <f ca="1"/>
        <v>5.796732357750134E-4</v>
      </c>
      <c r="H124" s="10">
        <f ca="1"/>
        <v>41.221334317676273</v>
      </c>
      <c r="I124" s="7">
        <f ca="1"/>
        <v>-0.38583302773029327</v>
      </c>
      <c r="J124">
        <f ca="1"/>
        <v>1.9103713918071037</v>
      </c>
      <c r="K124">
        <f ca="1"/>
        <v>0</v>
      </c>
      <c r="L124">
        <f ca="1"/>
        <v>0</v>
      </c>
    </row>
    <row r="125" spans="2:12" x14ac:dyDescent="0.3">
      <c r="B125">
        <v>0.115</v>
      </c>
      <c r="C125">
        <f ca="1"/>
        <v>8.2094865618018931E-2</v>
      </c>
      <c r="D125">
        <f ca="1"/>
        <v>1</v>
      </c>
      <c r="E125">
        <f ca="1"/>
        <v>101.421911657716</v>
      </c>
      <c r="F125" s="10">
        <f ca="1"/>
        <v>2.3985409863997478</v>
      </c>
      <c r="G125" s="7">
        <f ca="1"/>
        <v>-2.364913998559276E-2</v>
      </c>
      <c r="H125" s="10">
        <f ca="1"/>
        <v>43.619875304076018</v>
      </c>
      <c r="I125" s="7">
        <f ca="1"/>
        <v>-0.40948216771588603</v>
      </c>
      <c r="J125">
        <f ca="1"/>
        <v>2.0894110645853843</v>
      </c>
      <c r="K125">
        <f ca="1"/>
        <v>0</v>
      </c>
      <c r="L125">
        <f ca="1"/>
        <v>0</v>
      </c>
    </row>
    <row r="126" spans="2:12" x14ac:dyDescent="0.3">
      <c r="B126">
        <v>0.11600000000000001</v>
      </c>
      <c r="C126">
        <f ca="1"/>
        <v>9.14481524919636E-2</v>
      </c>
      <c r="D126">
        <f ca="1"/>
        <v>1</v>
      </c>
      <c r="E126">
        <f ca="1"/>
        <v>101.60978265529366</v>
      </c>
      <c r="F126" s="10">
        <f ca="1"/>
        <v>-1.0179369055499614</v>
      </c>
      <c r="G126" s="7">
        <f ca="1"/>
        <v>1.0018099428509397E-2</v>
      </c>
      <c r="H126" s="10">
        <f ca="1"/>
        <v>42.601938398526059</v>
      </c>
      <c r="I126" s="7">
        <f ca="1"/>
        <v>-0.39946406828737663</v>
      </c>
      <c r="J126">
        <f ca="1"/>
        <v>2.0124812412463342</v>
      </c>
      <c r="K126">
        <f ca="1"/>
        <v>0</v>
      </c>
      <c r="L126">
        <f ca="1"/>
        <v>0</v>
      </c>
    </row>
    <row r="127" spans="2:12" x14ac:dyDescent="0.3">
      <c r="B127">
        <v>0.11700000000000001</v>
      </c>
      <c r="C127">
        <f ca="1"/>
        <v>8.774421388172314E-2</v>
      </c>
      <c r="D127">
        <f ca="1"/>
        <v>1</v>
      </c>
      <c r="E127">
        <f ca="1"/>
        <v>101.53250857852112</v>
      </c>
      <c r="F127" s="10">
        <f ca="1"/>
        <v>0.38274817248678006</v>
      </c>
      <c r="G127" s="7">
        <f ca="1"/>
        <v>-3.7697105867405822E-3</v>
      </c>
      <c r="H127" s="10">
        <f ca="1"/>
        <v>42.984686571012837</v>
      </c>
      <c r="I127" s="7">
        <f ca="1"/>
        <v>-0.40323377887411721</v>
      </c>
      <c r="J127">
        <f ca="1"/>
        <v>2.0433494583270431</v>
      </c>
      <c r="K127">
        <f ca="1"/>
        <v>0</v>
      </c>
      <c r="L127">
        <f ca="1"/>
        <v>0</v>
      </c>
    </row>
    <row r="128" spans="2:12" x14ac:dyDescent="0.3">
      <c r="B128">
        <v>0.11800000000000001</v>
      </c>
      <c r="C128">
        <f ca="1"/>
        <v>8.5429296744266789E-2</v>
      </c>
      <c r="D128">
        <f ca="1"/>
        <v>1</v>
      </c>
      <c r="E128">
        <f ca="1"/>
        <v>101.48348190001575</v>
      </c>
      <c r="F128" s="10">
        <f ca="1"/>
        <v>0.23574382956534282</v>
      </c>
      <c r="G128" s="7">
        <f ca="1"/>
        <v>-2.3229773471667436E-3</v>
      </c>
      <c r="H128" s="10">
        <f ca="1"/>
        <v>43.220430400578181</v>
      </c>
      <c r="I128" s="7">
        <f ca="1"/>
        <v>-0.40555675622128395</v>
      </c>
      <c r="J128">
        <f ca="1"/>
        <v>2.0631186711664142</v>
      </c>
      <c r="K128">
        <f ca="1"/>
        <v>0</v>
      </c>
      <c r="L128">
        <f ca="1"/>
        <v>0</v>
      </c>
    </row>
    <row r="129" spans="2:12" x14ac:dyDescent="0.3">
      <c r="B129">
        <v>0.11900000000000001</v>
      </c>
      <c r="C129">
        <f ca="1"/>
        <v>8.3322905960895643E-2</v>
      </c>
      <c r="D129">
        <f ca="1"/>
        <v>1</v>
      </c>
      <c r="E129">
        <f ca="1"/>
        <v>101.43870933549393</v>
      </c>
      <c r="F129" s="10">
        <f ca="1"/>
        <v>0.21494840207774865</v>
      </c>
      <c r="G129" s="7">
        <f ca="1"/>
        <v>-2.1189978015871413E-3</v>
      </c>
      <c r="H129" s="10">
        <f ca="1"/>
        <v>43.435378802655933</v>
      </c>
      <c r="I129" s="7">
        <f ca="1"/>
        <v>-0.4076757540228711</v>
      </c>
      <c r="J129">
        <f ca="1"/>
        <v>2.0812764872015919</v>
      </c>
      <c r="K129">
        <f ca="1"/>
        <v>0</v>
      </c>
      <c r="L129">
        <f ca="1"/>
        <v>0</v>
      </c>
    </row>
    <row r="130" spans="2:12" x14ac:dyDescent="0.3">
      <c r="B130">
        <v>0.12</v>
      </c>
      <c r="C130">
        <f ca="1"/>
        <v>0.1080069542155655</v>
      </c>
      <c r="D130">
        <f ca="1"/>
        <v>1</v>
      </c>
      <c r="E130">
        <f ca="1"/>
        <v>101.93869231384191</v>
      </c>
      <c r="F130" s="10">
        <f ca="1"/>
        <v>-2.6989124476095507</v>
      </c>
      <c r="G130" s="7">
        <f ca="1"/>
        <v>2.6475839412382518E-2</v>
      </c>
      <c r="H130" s="10">
        <f ca="1"/>
        <v>40.736466355046382</v>
      </c>
      <c r="I130" s="7">
        <f ca="1"/>
        <v>-0.38119991461048858</v>
      </c>
      <c r="J130">
        <f ca="1"/>
        <v>1.8774455495049764</v>
      </c>
      <c r="K130">
        <f ca="1"/>
        <v>0</v>
      </c>
      <c r="L130">
        <f ca="1"/>
        <v>0</v>
      </c>
    </row>
    <row r="131" spans="2:12" x14ac:dyDescent="0.3">
      <c r="B131">
        <v>0.121</v>
      </c>
      <c r="C131">
        <f ca="1"/>
        <v>0.12062189284514088</v>
      </c>
      <c r="D131">
        <f ca="1"/>
        <v>1</v>
      </c>
      <c r="E131">
        <f ca="1"/>
        <v>102.19416319636497</v>
      </c>
      <c r="F131" s="10">
        <f ca="1"/>
        <v>-1.3840542820009052</v>
      </c>
      <c r="G131" s="7">
        <f ca="1"/>
        <v>1.3543378982823706E-2</v>
      </c>
      <c r="H131" s="10">
        <f ca="1"/>
        <v>39.352412073045478</v>
      </c>
      <c r="I131" s="7">
        <f ca="1"/>
        <v>-0.36765653562766487</v>
      </c>
      <c r="J131">
        <f ca="1"/>
        <v>1.780060070901726</v>
      </c>
      <c r="K131">
        <f ca="1"/>
        <v>0</v>
      </c>
      <c r="L131">
        <f ca="1"/>
        <v>0</v>
      </c>
    </row>
    <row r="132" spans="2:12" x14ac:dyDescent="0.3">
      <c r="B132">
        <v>0.122</v>
      </c>
      <c r="C132">
        <f ca="1"/>
        <v>6.958695383050556E-2</v>
      </c>
      <c r="D132">
        <f ca="1"/>
        <v>1</v>
      </c>
      <c r="E132">
        <f ca="1"/>
        <v>101.15435087272699</v>
      </c>
      <c r="F132" s="10">
        <f ca="1"/>
        <v>5.5208721827313676</v>
      </c>
      <c r="G132" s="7">
        <f ca="1"/>
        <v>-5.4578692217379376E-2</v>
      </c>
      <c r="H132" s="10">
        <f ca="1"/>
        <v>44.873284255776845</v>
      </c>
      <c r="I132" s="7">
        <f ca="1"/>
        <v>-0.42223522784504425</v>
      </c>
      <c r="J132">
        <f ca="1"/>
        <v>2.16235386751341</v>
      </c>
      <c r="K132">
        <f ca="1"/>
        <v>0</v>
      </c>
      <c r="L132">
        <f ca="1"/>
        <v>0</v>
      </c>
    </row>
    <row r="133" spans="2:12" x14ac:dyDescent="0.3">
      <c r="B133">
        <v>0.123</v>
      </c>
      <c r="C133">
        <f ca="1"/>
        <v>7.6706165345343053E-2</v>
      </c>
      <c r="D133">
        <f ca="1"/>
        <v>1</v>
      </c>
      <c r="E133">
        <f ca="1"/>
        <v>101.29645535241339</v>
      </c>
      <c r="F133" s="10">
        <f ca="1"/>
        <v>-0.79858585992363806</v>
      </c>
      <c r="G133" s="7">
        <f ca="1"/>
        <v>7.8836505892070363E-3</v>
      </c>
      <c r="H133" s="10">
        <f ca="1"/>
        <v>44.074698395853204</v>
      </c>
      <c r="I133" s="7">
        <f ca="1"/>
        <v>-0.41435157725583721</v>
      </c>
      <c r="J133">
        <f ca="1"/>
        <v>2.1023523501552219</v>
      </c>
      <c r="K133">
        <f ca="1"/>
        <v>0</v>
      </c>
      <c r="L133">
        <f ca="1"/>
        <v>0</v>
      </c>
    </row>
    <row r="134" spans="2:12" x14ac:dyDescent="0.3">
      <c r="B134">
        <v>0.124</v>
      </c>
      <c r="C134">
        <f ca="1"/>
        <v>9.0970967988844839E-2</v>
      </c>
      <c r="D134">
        <f ca="1"/>
        <v>1</v>
      </c>
      <c r="E134">
        <f ca="1"/>
        <v>101.58383108197498</v>
      </c>
      <c r="F134" s="10">
        <f ca="1"/>
        <v>-1.5951102297865083</v>
      </c>
      <c r="G134" s="7">
        <f ca="1"/>
        <v>1.5702402762298895E-2</v>
      </c>
      <c r="H134" s="10">
        <f ca="1"/>
        <v>42.479588166066698</v>
      </c>
      <c r="I134" s="7">
        <f ca="1"/>
        <v>-0.39864917449353832</v>
      </c>
      <c r="J134">
        <f ca="1"/>
        <v>1.9832777633463365</v>
      </c>
      <c r="K134">
        <f ca="1"/>
        <v>0</v>
      </c>
      <c r="L134">
        <f ca="1"/>
        <v>0</v>
      </c>
    </row>
    <row r="135" spans="2:12" x14ac:dyDescent="0.3">
      <c r="B135">
        <v>0.125</v>
      </c>
      <c r="C135">
        <f ca="1"/>
        <v>7.3598195451355347E-2</v>
      </c>
      <c r="D135">
        <f ca="1"/>
        <v>1</v>
      </c>
      <c r="E135">
        <f ca="1"/>
        <v>101.22946039165367</v>
      </c>
      <c r="F135" s="10">
        <f ca="1"/>
        <v>1.9132429772342827</v>
      </c>
      <c r="G135" s="7">
        <f ca="1"/>
        <v>-1.8900061008248037E-2</v>
      </c>
      <c r="H135" s="10">
        <f ca="1"/>
        <v>44.392831143300981</v>
      </c>
      <c r="I135" s="7">
        <f ca="1"/>
        <v>-0.41754923550178635</v>
      </c>
      <c r="J135">
        <f ca="1"/>
        <v>2.1245473465076259</v>
      </c>
      <c r="K135">
        <f ca="1"/>
        <v>0</v>
      </c>
      <c r="L135">
        <f ca="1"/>
        <v>0</v>
      </c>
    </row>
    <row r="136" spans="2:12" x14ac:dyDescent="0.3">
      <c r="B136">
        <v>0.126</v>
      </c>
      <c r="C136">
        <f ca="1"/>
        <v>4.5405550234528511E-2</v>
      </c>
      <c r="D136">
        <f ca="1"/>
        <v>1</v>
      </c>
      <c r="E136">
        <f ca="1"/>
        <v>100.65826812807033</v>
      </c>
      <c r="F136" s="10">
        <f ca="1"/>
        <v>3.1583361495754776</v>
      </c>
      <c r="G136" s="7">
        <f ca="1"/>
        <v>-3.1376817903890797E-2</v>
      </c>
      <c r="H136" s="10">
        <f ca="1"/>
        <v>47.551167292876457</v>
      </c>
      <c r="I136" s="7">
        <f ca="1"/>
        <v>-0.44892605340567715</v>
      </c>
      <c r="J136">
        <f ca="1"/>
        <v>2.3630482394913841</v>
      </c>
      <c r="K136">
        <f ca="1"/>
        <v>0</v>
      </c>
      <c r="L136">
        <f ca="1"/>
        <v>0</v>
      </c>
    </row>
    <row r="137" spans="2:12" x14ac:dyDescent="0.3">
      <c r="B137">
        <v>0.127</v>
      </c>
      <c r="C137">
        <f ca="1"/>
        <v>-1.6026698101884528E-2</v>
      </c>
      <c r="D137">
        <f ca="1"/>
        <v>1</v>
      </c>
      <c r="E137">
        <f ca="1"/>
        <v>99.427113328073091</v>
      </c>
      <c r="F137" s="10">
        <f ca="1"/>
        <v>6.9353144326016976</v>
      </c>
      <c r="G137" s="7">
        <f ca="1"/>
        <v>-6.9752748525622965E-2</v>
      </c>
      <c r="H137" s="10">
        <f ca="1"/>
        <v>54.486481725478157</v>
      </c>
      <c r="I137" s="7">
        <f ca="1"/>
        <v>-0.51867880193130012</v>
      </c>
      <c r="J137">
        <f ca="1"/>
        <v>2.9157457049856035</v>
      </c>
      <c r="K137">
        <f ca="1"/>
        <v>0</v>
      </c>
      <c r="L137">
        <f ca="1"/>
        <v>0.57288667192690923</v>
      </c>
    </row>
    <row r="138" spans="2:12" x14ac:dyDescent="0.3">
      <c r="B138">
        <v>0.128</v>
      </c>
      <c r="C138">
        <f ca="1"/>
        <v>7.455540571116883E-3</v>
      </c>
      <c r="D138">
        <f ca="1"/>
        <v>1</v>
      </c>
      <c r="E138">
        <f ca="1"/>
        <v>99.893167917566942</v>
      </c>
      <c r="F138" s="10">
        <f ca="1"/>
        <v>-2.6480161642037801</v>
      </c>
      <c r="G138" s="7">
        <f ca="1"/>
        <v>2.6508481204529977E-2</v>
      </c>
      <c r="H138" s="10">
        <f ca="1"/>
        <v>51.838465561274376</v>
      </c>
      <c r="I138" s="7">
        <f ca="1"/>
        <v>-0.49217032072677014</v>
      </c>
      <c r="J138">
        <f ca="1"/>
        <v>2.6740130688723482</v>
      </c>
      <c r="K138">
        <f ca="1"/>
        <v>0</v>
      </c>
      <c r="L138">
        <f ca="1"/>
        <v>0.10683208243305842</v>
      </c>
    </row>
    <row r="139" spans="2:12" x14ac:dyDescent="0.3">
      <c r="B139">
        <v>0.129</v>
      </c>
      <c r="C139">
        <f ca="1"/>
        <v>4.3101831986786174E-2</v>
      </c>
      <c r="D139">
        <f ca="1"/>
        <v>1</v>
      </c>
      <c r="E139">
        <f ca="1"/>
        <v>100.60586461974938</v>
      </c>
      <c r="F139" s="10">
        <f ca="1"/>
        <v>-4.0811839221086643</v>
      </c>
      <c r="G139" s="7">
        <f ca="1"/>
        <v>4.0566063792940255E-2</v>
      </c>
      <c r="H139" s="10">
        <f ca="1"/>
        <v>47.757281639165711</v>
      </c>
      <c r="I139" s="7">
        <f ca="1"/>
        <v>-0.45160425693382988</v>
      </c>
      <c r="J139">
        <f ca="1"/>
        <v>2.3232449043783063</v>
      </c>
      <c r="K139">
        <f ca="1"/>
        <v>0</v>
      </c>
      <c r="L139">
        <f ca="1"/>
        <v>0</v>
      </c>
    </row>
    <row r="140" spans="2:12" x14ac:dyDescent="0.3">
      <c r="B140">
        <v>0.13</v>
      </c>
      <c r="C140">
        <f ca="1"/>
        <v>1.277903762753705E-2</v>
      </c>
      <c r="D140">
        <f ca="1"/>
        <v>1</v>
      </c>
      <c r="E140">
        <f ca="1"/>
        <v>99.995580850198039</v>
      </c>
      <c r="F140" s="10">
        <f ca="1"/>
        <v>3.4831522063599141</v>
      </c>
      <c r="G140" s="7">
        <f ca="1"/>
        <v>-3.4833061388762521E-2</v>
      </c>
      <c r="H140" s="10">
        <f ca="1"/>
        <v>51.240433845525622</v>
      </c>
      <c r="I140" s="7">
        <f ca="1"/>
        <v>-0.4864373183225924</v>
      </c>
      <c r="J140">
        <f ca="1"/>
        <v>2.5988516526453154</v>
      </c>
      <c r="K140">
        <f ca="1"/>
        <v>0</v>
      </c>
      <c r="L140">
        <f ca="1"/>
        <v>4.4191498019614528E-3</v>
      </c>
    </row>
    <row r="141" spans="2:12" x14ac:dyDescent="0.3">
      <c r="B141">
        <v>0.13100000000000001</v>
      </c>
      <c r="C141">
        <f ca="1"/>
        <v>2.6211375126626708E-2</v>
      </c>
      <c r="D141">
        <f ca="1"/>
        <v>1</v>
      </c>
      <c r="E141">
        <f ca="1"/>
        <v>100.26257161957206</v>
      </c>
      <c r="F141" s="10">
        <f ca="1"/>
        <v>-1.537731887823885</v>
      </c>
      <c r="G141" s="7">
        <f ca="1"/>
        <v>1.5337048142536447E-2</v>
      </c>
      <c r="H141" s="10">
        <f ca="1"/>
        <v>49.702701957701734</v>
      </c>
      <c r="I141" s="7">
        <f ca="1"/>
        <v>-0.47110027018005596</v>
      </c>
      <c r="J141">
        <f ca="1"/>
        <v>2.4689773787741274</v>
      </c>
      <c r="K141">
        <f ca="1"/>
        <v>0</v>
      </c>
      <c r="L141">
        <f ca="1"/>
        <v>0</v>
      </c>
    </row>
    <row r="142" spans="2:12" x14ac:dyDescent="0.3">
      <c r="B142">
        <v>0.13200000000000001</v>
      </c>
      <c r="C142">
        <f ca="1"/>
        <v>2.3000699108777844E-2</v>
      </c>
      <c r="D142">
        <f ca="1"/>
        <v>1</v>
      </c>
      <c r="E142">
        <f ca="1"/>
        <v>100.19620621516225</v>
      </c>
      <c r="F142" s="10">
        <f ca="1"/>
        <v>0.3837452220266111</v>
      </c>
      <c r="G142" s="7">
        <f ca="1"/>
        <v>-3.8299376445706246E-3</v>
      </c>
      <c r="H142" s="10">
        <f ca="1"/>
        <v>50.086447179728346</v>
      </c>
      <c r="I142" s="7">
        <f ca="1"/>
        <v>-0.47493020782462658</v>
      </c>
      <c r="J142">
        <f ca="1"/>
        <v>2.5002421387222</v>
      </c>
      <c r="K142">
        <f ca="1"/>
        <v>0</v>
      </c>
      <c r="L142">
        <f ca="1"/>
        <v>0</v>
      </c>
    </row>
    <row r="143" spans="2:12" x14ac:dyDescent="0.3">
      <c r="B143">
        <v>0.13300000000000001</v>
      </c>
      <c r="C143">
        <f ca="1"/>
        <v>8.0051110199753597E-2</v>
      </c>
      <c r="D143">
        <f ca="1"/>
        <v>1</v>
      </c>
      <c r="E143">
        <f ca="1"/>
        <v>101.34397341461568</v>
      </c>
      <c r="F143" s="10">
        <f ca="1"/>
        <v>-6.6515376782269087</v>
      </c>
      <c r="G143" s="7">
        <f ca="1"/>
        <v>6.5633282908834856E-2</v>
      </c>
      <c r="H143">
        <f ca="1"/>
        <v>43.434909501501437</v>
      </c>
      <c r="I143" s="7">
        <f ca="1"/>
        <v>-0.40929692491579173</v>
      </c>
      <c r="J143">
        <f ca="1"/>
        <v>1.9551328241514909</v>
      </c>
      <c r="K143">
        <f ca="1"/>
        <v>0</v>
      </c>
      <c r="L143">
        <f ca="1"/>
        <v>0</v>
      </c>
    </row>
    <row r="144" spans="2:12" x14ac:dyDescent="0.3">
      <c r="B144">
        <v>0.13400000000000001</v>
      </c>
      <c r="C144">
        <f ca="1"/>
        <v>0.1044634822231785</v>
      </c>
      <c r="D144">
        <f ca="1"/>
        <v>1</v>
      </c>
      <c r="E144">
        <f ca="1"/>
        <v>101.83795590672977</v>
      </c>
      <c r="F144" s="10">
        <f ca="1"/>
        <v>-2.8263854588392991</v>
      </c>
      <c r="G144" s="7">
        <f ca="1"/>
        <v>2.7753752848573454E-2</v>
      </c>
      <c r="H144">
        <f ca="1"/>
        <v>40.60852404266214</v>
      </c>
      <c r="I144" s="7">
        <f ca="1"/>
        <v>-0.38154317206721827</v>
      </c>
      <c r="J144">
        <f ca="1"/>
        <v>1.7529473091669558</v>
      </c>
      <c r="K144">
        <f ca="1"/>
        <v>0</v>
      </c>
      <c r="L144">
        <f ca="1"/>
        <v>0</v>
      </c>
    </row>
    <row r="145" spans="2:12" x14ac:dyDescent="0.3">
      <c r="B145">
        <v>0.13500000000000001</v>
      </c>
      <c r="C145">
        <f ca="1"/>
        <v>7.368666543282941E-2</v>
      </c>
      <c r="D145">
        <f ca="1"/>
        <v>1</v>
      </c>
      <c r="E145">
        <f ca="1"/>
        <v>101.21100733537503</v>
      </c>
      <c r="F145" s="10">
        <f ca="1"/>
        <v>3.516814725645073</v>
      </c>
      <c r="G145" s="7">
        <f ca="1"/>
        <v>-3.4747354247662787E-2</v>
      </c>
      <c r="H145">
        <f ca="1"/>
        <v>44.125338768307216</v>
      </c>
      <c r="I145" s="7">
        <f ca="1"/>
        <v>-0.41629052631488106</v>
      </c>
      <c r="J145">
        <f ca="1"/>
        <v>1.9921552558046542</v>
      </c>
      <c r="K145">
        <f ca="1"/>
        <v>0</v>
      </c>
      <c r="L145">
        <f ca="1"/>
        <v>0</v>
      </c>
    </row>
    <row r="146" spans="2:12" x14ac:dyDescent="0.3">
      <c r="B146">
        <v>0.13600000000000001</v>
      </c>
      <c r="C146">
        <f ca="1"/>
        <v>4.4033013994507285E-2</v>
      </c>
      <c r="D146">
        <f ca="1"/>
        <v>1</v>
      </c>
      <c r="E146">
        <f ca="1"/>
        <v>100.61051638044316</v>
      </c>
      <c r="F146" s="10">
        <f ca="1"/>
        <v>3.4617278706216443</v>
      </c>
      <c r="G146" s="7">
        <f ca="1"/>
        <v>-3.4407217010313851E-2</v>
      </c>
      <c r="H146">
        <f ca="1"/>
        <v>47.58706663892886</v>
      </c>
      <c r="I146" s="7">
        <f ca="1"/>
        <v>-0.45069774332519491</v>
      </c>
      <c r="J146">
        <f ca="1"/>
        <v>2.242133951480568</v>
      </c>
      <c r="K146">
        <f ca="1"/>
        <v>0</v>
      </c>
      <c r="L146">
        <f ca="1"/>
        <v>0</v>
      </c>
    </row>
    <row r="147" spans="2:12" x14ac:dyDescent="0.3">
      <c r="B147">
        <v>0.13700000000000001</v>
      </c>
      <c r="C147">
        <f ca="1"/>
        <v>5.9920586217923497E-2</v>
      </c>
      <c r="D147">
        <f ca="1"/>
        <v>1</v>
      </c>
      <c r="E147">
        <f ca="1"/>
        <v>100.92869760575611</v>
      </c>
      <c r="F147" s="10">
        <f ca="1"/>
        <v>-1.8803473547834275</v>
      </c>
      <c r="G147" s="7">
        <f ca="1"/>
        <v>1.863045297709448E-2</v>
      </c>
      <c r="H147">
        <f ca="1"/>
        <v>45.706719284145436</v>
      </c>
      <c r="I147" s="7">
        <f ca="1"/>
        <v>-0.43206729034810043</v>
      </c>
      <c r="J147">
        <f ca="1"/>
        <v>2.0987303912635795</v>
      </c>
      <c r="K147">
        <f ca="1"/>
        <v>0</v>
      </c>
      <c r="L147">
        <f ca="1"/>
        <v>0</v>
      </c>
    </row>
    <row r="148" spans="2:12" x14ac:dyDescent="0.3">
      <c r="B148">
        <v>0.13800000000000001</v>
      </c>
      <c r="C148">
        <f ca="1"/>
        <v>7.4432268751078723E-2</v>
      </c>
      <c r="D148">
        <f ca="1"/>
        <v>1</v>
      </c>
      <c r="E148">
        <f ca="1"/>
        <v>101.22002772946321</v>
      </c>
      <c r="F148" s="10">
        <f ca="1"/>
        <v>-1.7251203506863175</v>
      </c>
      <c r="G148" s="7">
        <f ca="1"/>
        <v>1.7043270876166416E-2</v>
      </c>
      <c r="H148">
        <f ca="1"/>
        <v>43.981598933459118</v>
      </c>
      <c r="I148" s="7">
        <f ca="1"/>
        <v>-0.41502401947193401</v>
      </c>
      <c r="J148">
        <f ca="1"/>
        <v>1.9728561741166786</v>
      </c>
      <c r="K148">
        <f ca="1"/>
        <v>0</v>
      </c>
      <c r="L148">
        <f ca="1"/>
        <v>0</v>
      </c>
    </row>
    <row r="149" spans="2:12" x14ac:dyDescent="0.3">
      <c r="B149">
        <v>0.13900000000000001</v>
      </c>
      <c r="C149">
        <f ca="1"/>
        <v>6.6091980107560927E-2</v>
      </c>
      <c r="D149">
        <f ca="1"/>
        <v>1</v>
      </c>
      <c r="E149">
        <f ca="1"/>
        <v>101.04930661344429</v>
      </c>
      <c r="F149" s="10">
        <f ca="1"/>
        <v>0.97431013499902874</v>
      </c>
      <c r="G149" s="7">
        <f ca="1"/>
        <v>-9.6419279622191878E-3</v>
      </c>
      <c r="H149">
        <f ca="1"/>
        <v>44.955909068458148</v>
      </c>
      <c r="I149" s="7">
        <f ca="1"/>
        <v>-0.4246659474341532</v>
      </c>
      <c r="J149">
        <f ca="1"/>
        <v>2.0437095378955874</v>
      </c>
      <c r="K149">
        <f ca="1"/>
        <v>0</v>
      </c>
      <c r="L149">
        <f ca="1"/>
        <v>0</v>
      </c>
    </row>
    <row r="150" spans="2:12" x14ac:dyDescent="0.3">
      <c r="B150">
        <v>0.14000000000000001</v>
      </c>
      <c r="C150">
        <f ca="1"/>
        <v>8.271602664052892E-2</v>
      </c>
      <c r="D150">
        <f ca="1"/>
        <v>1</v>
      </c>
      <c r="E150">
        <f ca="1"/>
        <v>101.38380772912015</v>
      </c>
      <c r="F150" s="10">
        <f ca="1"/>
        <v>-1.9909335674090822</v>
      </c>
      <c r="G150" s="7">
        <f ca="1"/>
        <v>1.9637589196970284E-2</v>
      </c>
      <c r="H150">
        <f ca="1"/>
        <v>42.964975501049068</v>
      </c>
      <c r="I150" s="7">
        <f ca="1"/>
        <v>-0.40502835823718292</v>
      </c>
      <c r="J150">
        <f ca="1"/>
        <v>1.9016583046893203</v>
      </c>
      <c r="K150">
        <f ca="1"/>
        <v>0</v>
      </c>
      <c r="L150">
        <f ca="1"/>
        <v>0</v>
      </c>
    </row>
    <row r="151" spans="2:12" x14ac:dyDescent="0.3">
      <c r="B151">
        <v>0.14100000000000001</v>
      </c>
      <c r="C151">
        <f ca="1"/>
        <v>0.13229608863180978</v>
      </c>
      <c r="D151">
        <f ca="1"/>
        <v>1</v>
      </c>
      <c r="E151">
        <f ca="1"/>
        <v>102.39208387556364</v>
      </c>
      <c r="F151" s="10">
        <f ca="1"/>
        <v>-5.8504194379231445</v>
      </c>
      <c r="G151" s="7">
        <f ca="1"/>
        <v>5.7137419383251509E-2</v>
      </c>
      <c r="H151">
        <f ca="1"/>
        <v>37.114556063125924</v>
      </c>
      <c r="I151" s="7">
        <f ca="1"/>
        <v>-0.34789093885393141</v>
      </c>
      <c r="J151">
        <f ca="1"/>
        <v>1.4932778724455957</v>
      </c>
      <c r="K151">
        <f ca="1"/>
        <v>0</v>
      </c>
      <c r="L151">
        <f ca="1"/>
        <v>0</v>
      </c>
    </row>
    <row r="152" spans="2:12" x14ac:dyDescent="0.3">
      <c r="B152">
        <v>0.14200000000000002</v>
      </c>
      <c r="C152">
        <f ca="1"/>
        <v>0.14262174212190462</v>
      </c>
      <c r="D152">
        <f ca="1"/>
        <v>1</v>
      </c>
      <c r="E152">
        <f ca="1"/>
        <v>102.60170334607656</v>
      </c>
      <c r="F152" s="10">
        <f ca="1"/>
        <v>-1.228770166126256</v>
      </c>
      <c r="G152" s="7">
        <f ca="1"/>
        <v>1.197611858334946E-2</v>
      </c>
      <c r="H152">
        <f ca="1"/>
        <v>35.885785896999671</v>
      </c>
      <c r="I152" s="7">
        <f ca="1"/>
        <v>-0.33591482027058195</v>
      </c>
      <c r="J152">
        <f ca="1"/>
        <v>1.4203531580467939</v>
      </c>
      <c r="K152">
        <f ca="1"/>
        <v>0</v>
      </c>
      <c r="L152">
        <f ca="1"/>
        <v>0</v>
      </c>
    </row>
    <row r="153" spans="2:12" x14ac:dyDescent="0.3">
      <c r="B153">
        <v>0.14300000000000002</v>
      </c>
      <c r="C153">
        <f ca="1"/>
        <v>0.17708514575473452</v>
      </c>
      <c r="D153">
        <f ca="1"/>
        <v>1</v>
      </c>
      <c r="E153">
        <f ca="1"/>
        <v>103.30928078697103</v>
      </c>
      <c r="F153" s="10">
        <f ca="1"/>
        <v>-3.9240473318154745</v>
      </c>
      <c r="G153" s="7">
        <f ca="1"/>
        <v>3.7983492885862391E-2</v>
      </c>
      <c r="H153">
        <f ca="1"/>
        <v>31.961738565184199</v>
      </c>
      <c r="I153" s="7">
        <f ca="1"/>
        <v>-0.29793132738471956</v>
      </c>
      <c r="J153">
        <f ca="1"/>
        <v>1.1826674091612155</v>
      </c>
      <c r="K153">
        <f ca="1"/>
        <v>0</v>
      </c>
      <c r="L153">
        <f ca="1"/>
        <v>0</v>
      </c>
    </row>
    <row r="154" spans="2:12" x14ac:dyDescent="0.3">
      <c r="B154">
        <v>0.14400000000000002</v>
      </c>
      <c r="C154">
        <f ca="1"/>
        <v>0.14717450728881495</v>
      </c>
      <c r="D154">
        <f ca="1"/>
        <v>1</v>
      </c>
      <c r="E154">
        <f ca="1"/>
        <v>102.69106246043521</v>
      </c>
      <c r="F154" s="10">
        <f ca="1"/>
        <v>3.2761300771050563</v>
      </c>
      <c r="G154" s="7">
        <f ca="1"/>
        <v>-3.1902777112343961E-2</v>
      </c>
      <c r="H154">
        <f ca="1"/>
        <v>35.237868642289257</v>
      </c>
      <c r="I154" s="7">
        <f ca="1"/>
        <v>-0.32983410449706352</v>
      </c>
      <c r="J154">
        <f ca="1"/>
        <v>1.3668540157995963</v>
      </c>
      <c r="K154">
        <f ca="1"/>
        <v>0</v>
      </c>
      <c r="L154">
        <f ca="1"/>
        <v>0</v>
      </c>
    </row>
    <row r="155" spans="2:12" x14ac:dyDescent="0.3">
      <c r="B155">
        <v>0.14499999999999999</v>
      </c>
      <c r="C155">
        <f ca="1"/>
        <v>0.15036273822928423</v>
      </c>
      <c r="D155">
        <f ca="1"/>
        <v>1</v>
      </c>
      <c r="E155">
        <f ca="1"/>
        <v>102.75450879539166</v>
      </c>
      <c r="F155" s="10">
        <f ca="1"/>
        <v>-0.41987748219803867</v>
      </c>
      <c r="G155" s="7">
        <f ca="1"/>
        <v>4.0862195452086025E-3</v>
      </c>
      <c r="H155">
        <f ca="1"/>
        <v>34.817991160091218</v>
      </c>
      <c r="I155" s="7">
        <f ca="1"/>
        <v>-0.32574788495185492</v>
      </c>
      <c r="J155">
        <f ca="1"/>
        <v>1.3459272507256088</v>
      </c>
      <c r="K155">
        <f ca="1"/>
        <v>0</v>
      </c>
      <c r="L155">
        <f ca="1"/>
        <v>0</v>
      </c>
    </row>
    <row r="156" spans="2:12" x14ac:dyDescent="0.3">
      <c r="B156">
        <v>0.14599999999999999</v>
      </c>
      <c r="C156">
        <f ca="1"/>
        <v>0.15998611438185978</v>
      </c>
      <c r="D156">
        <f ca="1"/>
        <v>1</v>
      </c>
      <c r="E156">
        <f ca="1"/>
        <v>102.95040926728245</v>
      </c>
      <c r="F156" s="10">
        <f ca="1"/>
        <v>-1.1556863707611043</v>
      </c>
      <c r="G156" s="7">
        <f ca="1"/>
        <v>1.1225660771883694E-2</v>
      </c>
      <c r="H156">
        <f ca="1"/>
        <v>33.662304789330115</v>
      </c>
      <c r="I156" s="7">
        <f ca="1"/>
        <v>-0.31452222417997122</v>
      </c>
      <c r="J156">
        <f ca="1"/>
        <v>1.282113086346115</v>
      </c>
      <c r="K156">
        <f ca="1"/>
        <v>0</v>
      </c>
      <c r="L156">
        <f ca="1"/>
        <v>0</v>
      </c>
    </row>
    <row r="157" spans="2:12" x14ac:dyDescent="0.3">
      <c r="B157">
        <v>0.14699999999999999</v>
      </c>
      <c r="C157">
        <f ca="1"/>
        <v>0.20514262396036609</v>
      </c>
      <c r="D157">
        <f ca="1"/>
        <v>1</v>
      </c>
      <c r="E157">
        <f ca="1"/>
        <v>103.88231904151091</v>
      </c>
      <c r="F157" s="10">
        <f ca="1"/>
        <v>-5.0588361611351615</v>
      </c>
      <c r="G157" s="7">
        <f ca="1"/>
        <v>4.8697759231902338E-2</v>
      </c>
      <c r="H157">
        <f ca="1"/>
        <v>28.603468628194953</v>
      </c>
      <c r="I157" s="7">
        <f ca="1"/>
        <v>-0.26582446494806888</v>
      </c>
      <c r="J157">
        <f ca="1"/>
        <v>0.98900675142072814</v>
      </c>
      <c r="K157">
        <f ca="1"/>
        <v>0</v>
      </c>
      <c r="L157">
        <f ca="1"/>
        <v>0</v>
      </c>
    </row>
    <row r="158" spans="2:12" x14ac:dyDescent="0.3">
      <c r="B158">
        <v>0.14799999999999999</v>
      </c>
      <c r="C158">
        <f ca="1"/>
        <v>0.20286603284018079</v>
      </c>
      <c r="D158">
        <f ca="1"/>
        <v>1</v>
      </c>
      <c r="E158">
        <f ca="1"/>
        <v>103.83295361518805</v>
      </c>
      <c r="F158" s="10">
        <f ca="1"/>
        <v>0.16019162662576766</v>
      </c>
      <c r="G158" s="7">
        <f ca="1"/>
        <v>-1.5427821423577015E-3</v>
      </c>
      <c r="H158">
        <f ca="1"/>
        <v>28.763660254820721</v>
      </c>
      <c r="I158" s="7">
        <f ca="1"/>
        <v>-0.26736724709042659</v>
      </c>
      <c r="J158">
        <f ca="1"/>
        <v>1.002129289459937</v>
      </c>
      <c r="K158">
        <f ca="1"/>
        <v>0</v>
      </c>
      <c r="L158">
        <f ca="1"/>
        <v>0</v>
      </c>
    </row>
    <row r="159" spans="2:12" x14ac:dyDescent="0.3">
      <c r="B159">
        <v>0.14899999999999999</v>
      </c>
      <c r="C159">
        <f ca="1"/>
        <v>0.23006797664863207</v>
      </c>
      <c r="D159">
        <f ca="1"/>
        <v>1</v>
      </c>
      <c r="E159">
        <f ca="1"/>
        <v>104.39729668775288</v>
      </c>
      <c r="F159" s="10">
        <f ca="1"/>
        <v>-2.9388441372388971</v>
      </c>
      <c r="G159" s="7">
        <f ca="1"/>
        <v>2.8150576983126618E-2</v>
      </c>
      <c r="H159">
        <f ca="1"/>
        <v>25.824816117581825</v>
      </c>
      <c r="I159" s="7">
        <f ca="1"/>
        <v>-0.23921667010729997</v>
      </c>
      <c r="J159">
        <f ca="1"/>
        <v>0.85124243573372382</v>
      </c>
      <c r="K159">
        <f ca="1"/>
        <v>0</v>
      </c>
      <c r="L159">
        <f ca="1"/>
        <v>0</v>
      </c>
    </row>
    <row r="160" spans="2:12" x14ac:dyDescent="0.3">
      <c r="B160">
        <v>0.15</v>
      </c>
      <c r="C160">
        <f ca="1"/>
        <v>0.18123743078960305</v>
      </c>
      <c r="D160">
        <f ca="1"/>
        <v>1</v>
      </c>
      <c r="E160">
        <f ca="1"/>
        <v>103.38063603480647</v>
      </c>
      <c r="F160" s="10">
        <f ca="1"/>
        <v>5.1111980709787543</v>
      </c>
      <c r="G160" s="7">
        <f ca="1"/>
        <v>-4.9440574821554617E-2</v>
      </c>
      <c r="H160">
        <f ca="1"/>
        <v>30.936014188560581</v>
      </c>
      <c r="I160" s="7">
        <f ca="1"/>
        <v>-0.28865724492885458</v>
      </c>
      <c r="J160">
        <f ca="1"/>
        <v>1.0944446117606788</v>
      </c>
      <c r="K160">
        <f ca="1"/>
        <v>0</v>
      </c>
      <c r="L160">
        <f ca="1"/>
        <v>0</v>
      </c>
    </row>
    <row r="161" spans="2:12" x14ac:dyDescent="0.3">
      <c r="B161">
        <v>0.151</v>
      </c>
      <c r="C161">
        <f ca="1"/>
        <v>0.17453543982916625</v>
      </c>
      <c r="D161">
        <f ca="1"/>
        <v>1</v>
      </c>
      <c r="E161">
        <f ca="1"/>
        <v>103.24009282348825</v>
      </c>
      <c r="F161" s="10">
        <f ca="1"/>
        <v>0.67807986833365008</v>
      </c>
      <c r="G161" s="7">
        <f ca="1"/>
        <v>-6.5679897197785109E-3</v>
      </c>
      <c r="H161">
        <f ca="1"/>
        <v>31.614094056894231</v>
      </c>
      <c r="I161" s="7">
        <f ca="1"/>
        <v>-0.29522523464863309</v>
      </c>
      <c r="J161">
        <f ca="1"/>
        <v>1.1350134279332487</v>
      </c>
      <c r="K161">
        <f ca="1"/>
        <v>0</v>
      </c>
      <c r="L161">
        <f ca="1"/>
        <v>0</v>
      </c>
    </row>
    <row r="162" spans="2:12" x14ac:dyDescent="0.3">
      <c r="B162">
        <v>0.152</v>
      </c>
      <c r="C162">
        <f ca="1"/>
        <v>0.16835874227799569</v>
      </c>
      <c r="D162">
        <f ca="1"/>
        <v>1</v>
      </c>
      <c r="E162">
        <f ca="1"/>
        <v>103.1105727687567</v>
      </c>
      <c r="F162" s="10">
        <f ca="1"/>
        <v>0.63041814429385445</v>
      </c>
      <c r="G162" s="7">
        <f ca="1"/>
        <v>-6.1140009929697148E-3</v>
      </c>
      <c r="H162">
        <f ca="1"/>
        <v>32.244512201188087</v>
      </c>
      <c r="I162" s="7">
        <f ca="1"/>
        <v>-0.30133923564160281</v>
      </c>
      <c r="J162">
        <f ca="1"/>
        <v>1.1732510164830785</v>
      </c>
      <c r="K162">
        <f ca="1"/>
        <v>0</v>
      </c>
      <c r="L162">
        <f ca="1"/>
        <v>0</v>
      </c>
    </row>
    <row r="163" spans="2:12" x14ac:dyDescent="0.3">
      <c r="B163">
        <v>0.153</v>
      </c>
      <c r="C163">
        <f ca="1"/>
        <v>0.18656252171572948</v>
      </c>
      <c r="D163">
        <f ca="1"/>
        <v>1</v>
      </c>
      <c r="E163">
        <f ca="1"/>
        <v>103.48458768191968</v>
      </c>
      <c r="F163" s="10">
        <f ca="1"/>
        <v>-2.1453409440065254</v>
      </c>
      <c r="G163" s="7">
        <f ca="1"/>
        <v>2.0731018908831667E-2</v>
      </c>
      <c r="H163">
        <f ca="1"/>
        <v>30.09917125718156</v>
      </c>
      <c r="I163" s="7">
        <f ca="1"/>
        <v>-0.28060821673277114</v>
      </c>
      <c r="J163">
        <f ca="1"/>
        <v>1.0605456484319831</v>
      </c>
      <c r="K163">
        <f ca="1"/>
        <v>0</v>
      </c>
      <c r="L163">
        <f ca="1"/>
        <v>0</v>
      </c>
    </row>
    <row r="164" spans="2:12" x14ac:dyDescent="0.3">
      <c r="B164">
        <v>0.154</v>
      </c>
      <c r="C164">
        <f ca="1"/>
        <v>0.25718749610037589</v>
      </c>
      <c r="D164">
        <f ca="1"/>
        <v>1</v>
      </c>
      <c r="E164">
        <f ca="1"/>
        <v>104.95458000684562</v>
      </c>
      <c r="F164" s="10">
        <f ca="1"/>
        <v>-7.5594339833981534</v>
      </c>
      <c r="G164" s="7">
        <f ca="1"/>
        <v>7.2025765649341766E-2</v>
      </c>
      <c r="H164">
        <f ca="1"/>
        <v>22.539737273783405</v>
      </c>
      <c r="I164" s="7">
        <f ca="1"/>
        <v>-0.20858245108342938</v>
      </c>
      <c r="J164">
        <f ca="1"/>
        <v>0.64805372352365609</v>
      </c>
      <c r="K164">
        <f ca="1"/>
        <v>0</v>
      </c>
      <c r="L164">
        <f ca="1"/>
        <v>0</v>
      </c>
    </row>
    <row r="165" spans="2:12" x14ac:dyDescent="0.3">
      <c r="B165">
        <v>0.155</v>
      </c>
      <c r="C165">
        <f ca="1"/>
        <v>0.28449294695022564</v>
      </c>
      <c r="D165">
        <f ca="1"/>
        <v>1</v>
      </c>
      <c r="E165">
        <f ca="1"/>
        <v>105.52720377646423</v>
      </c>
      <c r="F165" s="10">
        <f ca="1"/>
        <v>-2.6873065675911638</v>
      </c>
      <c r="G165" s="7">
        <f ca="1"/>
        <v>2.5465533733686541E-2</v>
      </c>
      <c r="H165">
        <f ca="1"/>
        <v>19.852430706192241</v>
      </c>
      <c r="I165">
        <f ca="1"/>
        <v>-0.18311691734974284</v>
      </c>
      <c r="J165">
        <f ca="1"/>
        <v>0.52861445410797003</v>
      </c>
      <c r="K165">
        <f ca="1"/>
        <v>0</v>
      </c>
      <c r="L165">
        <f ca="1"/>
        <v>0</v>
      </c>
    </row>
    <row r="166" spans="2:12" x14ac:dyDescent="0.3">
      <c r="B166">
        <v>0.156</v>
      </c>
      <c r="C166">
        <f ca="1"/>
        <v>0.30373583826787115</v>
      </c>
      <c r="D166">
        <f ca="1"/>
        <v>1</v>
      </c>
      <c r="E166">
        <f ca="1"/>
        <v>105.93199733250316</v>
      </c>
      <c r="F166" s="10">
        <f ca="1"/>
        <v>-1.8227739950143544</v>
      </c>
      <c r="G166" s="7">
        <f ca="1"/>
        <v>1.7207019983706773E-2</v>
      </c>
      <c r="H166">
        <f ca="1"/>
        <v>18.029656711177886</v>
      </c>
      <c r="I166">
        <f ca="1"/>
        <v>-0.16590989736603606</v>
      </c>
      <c r="J166">
        <f ca="1"/>
        <v>0.45448990596307937</v>
      </c>
      <c r="K166">
        <f ca="1"/>
        <v>0</v>
      </c>
      <c r="L166">
        <f ca="1"/>
        <v>0</v>
      </c>
    </row>
    <row r="167" spans="2:12" x14ac:dyDescent="0.3">
      <c r="B167">
        <v>0.157</v>
      </c>
      <c r="C167">
        <f ca="1"/>
        <v>0.33229998367320907</v>
      </c>
      <c r="D167">
        <f ca="1"/>
        <v>1</v>
      </c>
      <c r="E167">
        <f ca="1"/>
        <v>106.53676988762435</v>
      </c>
      <c r="F167" s="10">
        <f ca="1"/>
        <v>-2.4823368255594169</v>
      </c>
      <c r="G167" s="7">
        <f ca="1"/>
        <v>2.3300282411206963E-2</v>
      </c>
      <c r="H167">
        <f ca="1"/>
        <v>15.547319885618469</v>
      </c>
      <c r="I167">
        <f ca="1"/>
        <v>-0.1426096149548291</v>
      </c>
      <c r="J167">
        <f ca="1"/>
        <v>0.35415215341313022</v>
      </c>
      <c r="K167">
        <f ca="1"/>
        <v>0</v>
      </c>
      <c r="L167">
        <f ca="1"/>
        <v>0</v>
      </c>
    </row>
    <row r="168" spans="2:12" x14ac:dyDescent="0.3">
      <c r="B168">
        <v>0.158</v>
      </c>
      <c r="C168">
        <f ca="1"/>
        <v>0.32285559055429786</v>
      </c>
      <c r="D168">
        <f ca="1"/>
        <v>1</v>
      </c>
      <c r="E168">
        <f ca="1"/>
        <v>106.33359810177194</v>
      </c>
      <c r="F168" s="10">
        <f ca="1"/>
        <v>0.631876615657606</v>
      </c>
      <c r="G168" s="7">
        <f ca="1"/>
        <v>-5.942398516909364E-3</v>
      </c>
      <c r="H168">
        <f ca="1"/>
        <v>16.179196501276074</v>
      </c>
      <c r="I168">
        <f ca="1"/>
        <v>-0.14855201347173846</v>
      </c>
      <c r="J168">
        <f ca="1"/>
        <v>0.38312640356322447</v>
      </c>
      <c r="K168">
        <f ca="1"/>
        <v>0</v>
      </c>
      <c r="L168">
        <f ca="1"/>
        <v>0</v>
      </c>
    </row>
    <row r="169" spans="2:12" x14ac:dyDescent="0.3">
      <c r="B169">
        <v>0.159</v>
      </c>
      <c r="C169">
        <f ca="1"/>
        <v>0.35942595063312843</v>
      </c>
      <c r="D169">
        <f ca="1"/>
        <v>1</v>
      </c>
      <c r="E169">
        <f ca="1"/>
        <v>107.11203857314166</v>
      </c>
      <c r="F169" s="10">
        <f ca="1"/>
        <v>-2.9283193682089284</v>
      </c>
      <c r="G169" s="7">
        <f ca="1"/>
        <v>2.7338844514749105E-2</v>
      </c>
      <c r="H169">
        <f ca="1"/>
        <v>13.250877133067146</v>
      </c>
      <c r="I169">
        <f ca="1"/>
        <v>-0.12121316895698936</v>
      </c>
      <c r="J169">
        <f ca="1"/>
        <v>0.26748750417336353</v>
      </c>
      <c r="K169">
        <f ca="1"/>
        <v>0</v>
      </c>
      <c r="L169">
        <f ca="1"/>
        <v>0</v>
      </c>
    </row>
    <row r="170" spans="2:12" x14ac:dyDescent="0.3">
      <c r="B170">
        <v>0.16</v>
      </c>
      <c r="C170">
        <f ca="1"/>
        <v>0.38103862362186697</v>
      </c>
      <c r="D170">
        <f ca="1"/>
        <v>1</v>
      </c>
      <c r="E170">
        <f ca="1"/>
        <v>107.57388466686963</v>
      </c>
      <c r="F170" s="10">
        <f ca="1"/>
        <v>-1.6111241056194379</v>
      </c>
      <c r="G170" s="7">
        <f ca="1"/>
        <v>1.4976907365655712E-2</v>
      </c>
      <c r="H170">
        <f ca="1"/>
        <v>11.639753027447707</v>
      </c>
      <c r="I170">
        <f ca="1"/>
        <v>-0.10623626159133365</v>
      </c>
      <c r="J170">
        <f ca="1"/>
        <v>0.21150567558219002</v>
      </c>
      <c r="K170">
        <f ca="1"/>
        <v>0</v>
      </c>
      <c r="L170">
        <f ca="1"/>
        <v>0</v>
      </c>
    </row>
    <row r="171" spans="2:12" x14ac:dyDescent="0.3">
      <c r="B171">
        <v>0.161</v>
      </c>
      <c r="C171">
        <f ca="1"/>
        <v>0.37406379168311826</v>
      </c>
      <c r="D171">
        <f ca="1"/>
        <v>1</v>
      </c>
      <c r="E171">
        <f ca="1"/>
        <v>107.42177887353679</v>
      </c>
      <c r="F171" s="10">
        <f ca="1"/>
        <v>0.33975477298588286</v>
      </c>
      <c r="G171" s="7">
        <f ca="1"/>
        <v>-3.1628108987644121E-3</v>
      </c>
      <c r="H171">
        <f ca="1"/>
        <v>11.97950780043359</v>
      </c>
      <c r="I171">
        <f ca="1"/>
        <v>-0.10939907249009806</v>
      </c>
      <c r="J171">
        <f ca="1"/>
        <v>0.22766482643225316</v>
      </c>
      <c r="K171">
        <f ca="1"/>
        <v>0</v>
      </c>
      <c r="L171">
        <f ca="1"/>
        <v>0</v>
      </c>
    </row>
    <row r="172" spans="2:12" x14ac:dyDescent="0.3">
      <c r="B172">
        <v>0.16200000000000001</v>
      </c>
      <c r="C172">
        <f ca="1"/>
        <v>0.35119855182632193</v>
      </c>
      <c r="D172">
        <f ca="1"/>
        <v>1</v>
      </c>
      <c r="E172">
        <f ca="1"/>
        <v>106.92951684695319</v>
      </c>
      <c r="F172" s="10">
        <f ca="1"/>
        <v>1.4799360215993804</v>
      </c>
      <c r="G172" s="7">
        <f ca="1"/>
        <v>-1.3840294665481312E-2</v>
      </c>
      <c r="H172">
        <f ca="1"/>
        <v>13.45944382203297</v>
      </c>
      <c r="I172">
        <f ca="1"/>
        <v>-0.12323936715557937</v>
      </c>
      <c r="J172">
        <f ca="1"/>
        <v>0.28151783556259602</v>
      </c>
      <c r="K172">
        <f ca="1"/>
        <v>0</v>
      </c>
      <c r="L172">
        <f ca="1"/>
        <v>0</v>
      </c>
    </row>
    <row r="173" spans="2:12" x14ac:dyDescent="0.3">
      <c r="B173">
        <v>0.16300000000000001</v>
      </c>
      <c r="C173">
        <f ca="1"/>
        <v>0.33675428095695131</v>
      </c>
      <c r="D173">
        <f ca="1"/>
        <v>1</v>
      </c>
      <c r="E173">
        <f ca="1"/>
        <v>106.6189264256875</v>
      </c>
      <c r="F173" s="10">
        <f ca="1"/>
        <v>0.95797870864694235</v>
      </c>
      <c r="G173" s="7">
        <f ca="1"/>
        <v>-8.9850717950592518E-3</v>
      </c>
      <c r="H173">
        <f ca="1"/>
        <v>14.417422530679913</v>
      </c>
      <c r="I173">
        <f ca="1"/>
        <v>-0.13222443895063862</v>
      </c>
      <c r="J173">
        <f ca="1"/>
        <v>0.31979480252396364</v>
      </c>
      <c r="K173">
        <f ca="1"/>
        <v>0</v>
      </c>
      <c r="L173">
        <f ca="1"/>
        <v>0</v>
      </c>
    </row>
    <row r="174" spans="2:12" x14ac:dyDescent="0.3">
      <c r="B174">
        <v>0.16400000000000001</v>
      </c>
      <c r="C174">
        <f ca="1"/>
        <v>0.34786504377796568</v>
      </c>
      <c r="D174">
        <f ca="1"/>
        <v>1</v>
      </c>
      <c r="E174">
        <f ca="1"/>
        <v>106.85397628073987</v>
      </c>
      <c r="F174" s="10">
        <f ca="1"/>
        <v>-0.97462238081092367</v>
      </c>
      <c r="G174" s="7">
        <f ca="1"/>
        <v>9.1210679727095623E-3</v>
      </c>
      <c r="H174">
        <f ca="1"/>
        <v>13.442800149868988</v>
      </c>
      <c r="I174">
        <f ca="1"/>
        <v>-0.12310337097792906</v>
      </c>
      <c r="J174">
        <f ca="1"/>
        <v>0.28871546731423514</v>
      </c>
      <c r="K174">
        <f ca="1"/>
        <v>0</v>
      </c>
      <c r="L174">
        <f ca="1"/>
        <v>0</v>
      </c>
    </row>
    <row r="175" spans="2:12" x14ac:dyDescent="0.3">
      <c r="B175">
        <v>0.16500000000000001</v>
      </c>
      <c r="C175">
        <f ca="1"/>
        <v>0.3136428435516061</v>
      </c>
      <c r="D175">
        <f ca="1"/>
        <v>1</v>
      </c>
      <c r="E175">
        <f ca="1"/>
        <v>106.12299532478404</v>
      </c>
      <c r="F175" s="10">
        <f ca="1"/>
        <v>2.5614027101980836</v>
      </c>
      <c r="G175" s="7">
        <f ca="1"/>
        <v>-2.4136170510067501E-2</v>
      </c>
      <c r="H175">
        <f ca="1"/>
        <v>16.004202860067071</v>
      </c>
      <c r="I175">
        <f ca="1"/>
        <v>-0.14723954148799656</v>
      </c>
      <c r="J175">
        <f ca="1"/>
        <v>0.3787016871130664</v>
      </c>
      <c r="K175">
        <f ca="1"/>
        <v>0</v>
      </c>
      <c r="L175">
        <f ca="1"/>
        <v>0</v>
      </c>
    </row>
    <row r="176" spans="2:12" x14ac:dyDescent="0.3">
      <c r="B176">
        <v>0.16600000000000001</v>
      </c>
      <c r="C176">
        <f ca="1"/>
        <v>0.33007225410404956</v>
      </c>
      <c r="D176">
        <f ca="1"/>
        <v>1</v>
      </c>
      <c r="E176">
        <f ca="1"/>
        <v>106.47014708653128</v>
      </c>
      <c r="F176" s="10">
        <f ca="1"/>
        <v>-1.4758548647649266</v>
      </c>
      <c r="G176" s="7">
        <f ca="1"/>
        <v>1.3861677711081377E-2</v>
      </c>
      <c r="H176">
        <f ca="1"/>
        <v>14.528347995302145</v>
      </c>
      <c r="I176">
        <f ca="1"/>
        <v>-0.13337786377691518</v>
      </c>
      <c r="J176">
        <f ca="1"/>
        <v>0.32758722088665237</v>
      </c>
      <c r="K176">
        <f ca="1"/>
        <v>0</v>
      </c>
      <c r="L176">
        <f ca="1"/>
        <v>0</v>
      </c>
    </row>
    <row r="177" spans="2:12" x14ac:dyDescent="0.3">
      <c r="B177">
        <v>0.16700000000000001</v>
      </c>
      <c r="C177">
        <f ca="1"/>
        <v>0.32800290226945988</v>
      </c>
      <c r="D177">
        <f ca="1"/>
        <v>1</v>
      </c>
      <c r="E177">
        <f ca="1"/>
        <v>106.42396286445623</v>
      </c>
      <c r="F177" s="10">
        <f ca="1"/>
        <v>2.7675676087945012E-2</v>
      </c>
      <c r="G177" s="7">
        <f ca="1"/>
        <v>-2.600511702725572E-4</v>
      </c>
      <c r="H177">
        <f ca="1"/>
        <v>14.55602367139009</v>
      </c>
      <c r="I177">
        <f ca="1"/>
        <v>-0.13363791494718774</v>
      </c>
      <c r="J177">
        <f ca="1"/>
        <v>0.33374717376722174</v>
      </c>
      <c r="K177">
        <f ca="1"/>
        <v>0</v>
      </c>
      <c r="L177">
        <f ca="1"/>
        <v>0</v>
      </c>
    </row>
    <row r="178" spans="2:12" x14ac:dyDescent="0.3">
      <c r="B178">
        <v>0.16800000000000001</v>
      </c>
      <c r="C178">
        <f ca="1"/>
        <v>0.29097515659992995</v>
      </c>
      <c r="D178">
        <f ca="1"/>
        <v>1</v>
      </c>
      <c r="E178">
        <f ca="1"/>
        <v>105.63663329408193</v>
      </c>
      <c r="F178" s="10">
        <f ca="1"/>
        <v>3.0005966181378541</v>
      </c>
      <c r="G178" s="7">
        <f ca="1"/>
        <v>-2.840488687086884E-2</v>
      </c>
      <c r="H178">
        <f ca="1"/>
        <v>17.556620289527945</v>
      </c>
      <c r="I178">
        <f ca="1"/>
        <v>-0.16204280181805658</v>
      </c>
      <c r="J178">
        <f ca="1"/>
        <v>0.43896425592830823</v>
      </c>
      <c r="K178">
        <f ca="1"/>
        <v>0</v>
      </c>
      <c r="L178">
        <f ca="1"/>
        <v>0</v>
      </c>
    </row>
    <row r="179" spans="2:12" x14ac:dyDescent="0.3">
      <c r="B179">
        <v>0.16900000000000001</v>
      </c>
      <c r="C179">
        <f ca="1"/>
        <v>0.33722019777249895</v>
      </c>
      <c r="D179">
        <f ca="1"/>
        <v>1</v>
      </c>
      <c r="E179">
        <f ca="1"/>
        <v>106.61606730298811</v>
      </c>
      <c r="F179" s="10">
        <f ca="1"/>
        <v>-4.0282388598447483</v>
      </c>
      <c r="G179" s="7">
        <f ca="1"/>
        <v>3.7782662236049758E-2</v>
      </c>
      <c r="H179">
        <f ca="1"/>
        <v>13.528381429683197</v>
      </c>
      <c r="I179">
        <f ca="1"/>
        <v>-0.12426013958200682</v>
      </c>
      <c r="J179">
        <f ca="1"/>
        <v>0.28025402492925977</v>
      </c>
      <c r="K179">
        <f ca="1"/>
        <v>0</v>
      </c>
      <c r="L179">
        <f ca="1"/>
        <v>0</v>
      </c>
    </row>
    <row r="180" spans="2:12" x14ac:dyDescent="0.3">
      <c r="B180">
        <v>0.17</v>
      </c>
      <c r="C180">
        <f ca="1"/>
        <v>0.35594205784207789</v>
      </c>
      <c r="D180">
        <f ca="1"/>
        <v>1</v>
      </c>
      <c r="E180">
        <f ca="1"/>
        <v>107.01388555201889</v>
      </c>
      <c r="F180" s="10">
        <f ca="1"/>
        <v>-1.5279905153217839</v>
      </c>
      <c r="G180" s="7">
        <f ca="1"/>
        <v>1.4278432256148998E-2</v>
      </c>
      <c r="H180">
        <f ca="1"/>
        <v>12.000390914361413</v>
      </c>
      <c r="I180">
        <f ca="1"/>
        <v>-0.10998170732585782</v>
      </c>
      <c r="J180">
        <f ca="1"/>
        <v>0.23082107377642558</v>
      </c>
      <c r="K180">
        <f ca="1"/>
        <v>0</v>
      </c>
      <c r="L180">
        <f ca="1"/>
        <v>0</v>
      </c>
    </row>
    <row r="181" spans="2:12" x14ac:dyDescent="0.3">
      <c r="B181">
        <v>0.17100000000000001</v>
      </c>
      <c r="C181">
        <f ca="1"/>
        <v>0.26536553575305249</v>
      </c>
      <c r="D181">
        <f ca="1"/>
        <v>1</v>
      </c>
      <c r="E181">
        <f ca="1"/>
        <v>105.09064811947772</v>
      </c>
      <c r="F181" s="10">
        <f ca="1"/>
        <v>7.4679151715985084</v>
      </c>
      <c r="G181" s="7">
        <f ca="1"/>
        <v>-7.1061653013198889E-2</v>
      </c>
      <c r="H181">
        <f ca="1"/>
        <v>19.46830608595992</v>
      </c>
      <c r="I181">
        <f ca="1"/>
        <v>-0.18104336033905671</v>
      </c>
      <c r="J181">
        <f ca="1"/>
        <v>0.44234201020030284</v>
      </c>
      <c r="K181">
        <f ca="1"/>
        <v>0</v>
      </c>
      <c r="L181">
        <f ca="1"/>
        <v>0</v>
      </c>
    </row>
    <row r="182" spans="2:12" x14ac:dyDescent="0.3">
      <c r="B182">
        <v>0.17200000000000001</v>
      </c>
      <c r="C182">
        <f ca="1"/>
        <v>0.26571635806009081</v>
      </c>
      <c r="D182">
        <f ca="1"/>
        <v>1</v>
      </c>
      <c r="E182">
        <f ca="1"/>
        <v>105.09592006747073</v>
      </c>
      <c r="F182" s="10">
        <f ca="1"/>
        <v>-0.17561942541374026</v>
      </c>
      <c r="G182" s="7">
        <f ca="1"/>
        <v>1.6710394209498713E-3</v>
      </c>
      <c r="H182">
        <f ca="1"/>
        <v>19.292686660546181</v>
      </c>
      <c r="I182">
        <f ca="1"/>
        <v>-0.17937232091810684</v>
      </c>
      <c r="J182">
        <f ca="1"/>
        <v>0.44138755902011795</v>
      </c>
      <c r="K182">
        <f ca="1"/>
        <v>0</v>
      </c>
      <c r="L182">
        <f ca="1"/>
        <v>0</v>
      </c>
    </row>
    <row r="183" spans="2:12" x14ac:dyDescent="0.3">
      <c r="B183">
        <v>0.17300000000000001</v>
      </c>
      <c r="C183">
        <f ca="1"/>
        <v>0.27866506832620652</v>
      </c>
      <c r="D183">
        <f ca="1"/>
        <v>1</v>
      </c>
      <c r="E183">
        <f ca="1"/>
        <v>105.36633677467277</v>
      </c>
      <c r="F183" s="10">
        <f ca="1"/>
        <v>-1.3971718498795127</v>
      </c>
      <c r="G183" s="7">
        <f ca="1"/>
        <v>1.3260134998024864E-2</v>
      </c>
      <c r="H183">
        <f ca="1"/>
        <v>17.895514810666668</v>
      </c>
      <c r="I183">
        <f ca="1"/>
        <v>-0.16611218592008198</v>
      </c>
      <c r="J183">
        <f ca="1"/>
        <v>0.39288228663425429</v>
      </c>
      <c r="K183">
        <f ca="1"/>
        <v>0</v>
      </c>
      <c r="L183">
        <f ca="1"/>
        <v>0</v>
      </c>
    </row>
    <row r="184" spans="2:12" x14ac:dyDescent="0.3">
      <c r="B184">
        <v>0.17400000000000002</v>
      </c>
      <c r="C184">
        <f ca="1"/>
        <v>0.2247025031656662</v>
      </c>
      <c r="D184">
        <f ca="1"/>
        <v>1</v>
      </c>
      <c r="E184">
        <f ca="1"/>
        <v>104.23319895846861</v>
      </c>
      <c r="F184" s="10">
        <f ca="1"/>
        <v>5.3910062664294092</v>
      </c>
      <c r="G184" s="7">
        <f ca="1"/>
        <v>-5.1720625676829113E-2</v>
      </c>
      <c r="H184">
        <f ca="1"/>
        <v>23.286521077096076</v>
      </c>
      <c r="I184">
        <f ca="1"/>
        <v>-0.21783281159691109</v>
      </c>
      <c r="J184">
        <f ca="1"/>
        <v>0.58111028623263294</v>
      </c>
      <c r="K184">
        <f ca="1"/>
        <v>0</v>
      </c>
      <c r="L184">
        <f ca="1"/>
        <v>0</v>
      </c>
    </row>
    <row r="185" spans="2:12" x14ac:dyDescent="0.3">
      <c r="B185">
        <v>0.17500000000000002</v>
      </c>
      <c r="C185">
        <f ca="1"/>
        <v>0.21447343122336743</v>
      </c>
      <c r="D185">
        <f ca="1"/>
        <v>1</v>
      </c>
      <c r="E185">
        <f ca="1"/>
        <v>104.01809477546115</v>
      </c>
      <c r="F185" s="10">
        <f ca="1"/>
        <v>1.0204415930427944</v>
      </c>
      <c r="G185" s="7">
        <f ca="1"/>
        <v>-9.810231529865765E-3</v>
      </c>
      <c r="H185">
        <f ca="1"/>
        <v>24.306962670138869</v>
      </c>
      <c r="I185">
        <f ca="1"/>
        <v>-0.22764304312677686</v>
      </c>
      <c r="J185">
        <f ca="1"/>
        <v>0.62796703520340458</v>
      </c>
      <c r="K185">
        <f ca="1"/>
        <v>0</v>
      </c>
      <c r="L185">
        <f ca="1"/>
        <v>0</v>
      </c>
    </row>
    <row r="186" spans="2:12" x14ac:dyDescent="0.3">
      <c r="B186">
        <v>0.17599999999999999</v>
      </c>
      <c r="C186">
        <f ca="1"/>
        <v>0.221324147977875</v>
      </c>
      <c r="D186">
        <f ca="1"/>
        <v>1</v>
      </c>
      <c r="E186">
        <f ca="1"/>
        <v>104.15862896379751</v>
      </c>
      <c r="F186" s="10">
        <f ca="1"/>
        <v>-0.91663497558304707</v>
      </c>
      <c r="G186" s="7">
        <f ca="1"/>
        <v>8.8003748196574527E-3</v>
      </c>
      <c r="H186">
        <f ca="1"/>
        <v>23.390327694555822</v>
      </c>
      <c r="I186">
        <f ca="1"/>
        <v>-0.2188426683071194</v>
      </c>
      <c r="J186">
        <f ca="1"/>
        <v>0.59597540490716128</v>
      </c>
      <c r="K186">
        <f ca="1"/>
        <v>0</v>
      </c>
      <c r="L186">
        <f ca="1"/>
        <v>0</v>
      </c>
    </row>
    <row r="187" spans="2:12" x14ac:dyDescent="0.3">
      <c r="B187">
        <v>0.17699999999999999</v>
      </c>
      <c r="C187">
        <f ca="1"/>
        <v>0.2514015117997655</v>
      </c>
      <c r="D187">
        <f ca="1"/>
        <v>1</v>
      </c>
      <c r="E187">
        <f ca="1"/>
        <v>104.78498496085322</v>
      </c>
      <c r="F187">
        <f ca="1"/>
        <v>-3.4204558768628388</v>
      </c>
      <c r="G187" s="7">
        <f ca="1"/>
        <v>3.2642614570596085E-2</v>
      </c>
      <c r="H187">
        <f ca="1"/>
        <v>19.969871817692983</v>
      </c>
      <c r="I187">
        <f ca="1"/>
        <v>-0.18620005373652332</v>
      </c>
      <c r="J187">
        <f ca="1"/>
        <v>0.45890198720132602</v>
      </c>
      <c r="K187">
        <f ca="1"/>
        <v>0</v>
      </c>
      <c r="L187">
        <f ca="1"/>
        <v>0</v>
      </c>
    </row>
    <row r="188" spans="2:12" x14ac:dyDescent="0.3">
      <c r="B188">
        <v>0.17799999999999999</v>
      </c>
      <c r="C188">
        <f ca="1"/>
        <v>0.29248487969006493</v>
      </c>
      <c r="D188">
        <f ca="1"/>
        <v>1</v>
      </c>
      <c r="E188">
        <f ca="1"/>
        <v>105.64740292925659</v>
      </c>
      <c r="F188">
        <f ca="1"/>
        <v>-4.1689706173795189</v>
      </c>
      <c r="G188" s="7">
        <f ca="1"/>
        <v>3.9461174641189589E-2</v>
      </c>
      <c r="H188">
        <f ca="1"/>
        <v>15.800901200313465</v>
      </c>
      <c r="I188">
        <f ca="1"/>
        <v>-0.14673887909533373</v>
      </c>
      <c r="J188">
        <f ca="1"/>
        <v>0.29831971514127709</v>
      </c>
      <c r="K188">
        <f ca="1"/>
        <v>0</v>
      </c>
      <c r="L188">
        <f ca="1"/>
        <v>0</v>
      </c>
    </row>
    <row r="189" spans="2:12" x14ac:dyDescent="0.3">
      <c r="B189">
        <v>0.17899999999999999</v>
      </c>
      <c r="C189">
        <f ca="1"/>
        <v>0.3002382227893195</v>
      </c>
      <c r="D189">
        <f ca="1"/>
        <v>1</v>
      </c>
      <c r="E189">
        <f ca="1"/>
        <v>105.80923791996253</v>
      </c>
      <c r="F189">
        <f ca="1"/>
        <v>-0.8520790540083909</v>
      </c>
      <c r="G189" s="7">
        <f ca="1"/>
        <v>8.0529741141593947E-3</v>
      </c>
      <c r="H189">
        <f ca="1"/>
        <v>14.948822146305075</v>
      </c>
      <c r="I189">
        <f ca="1"/>
        <v>-0.13868590498117433</v>
      </c>
      <c r="J189">
        <f ca="1"/>
        <v>0.27457223000668307</v>
      </c>
      <c r="K189">
        <f ca="1"/>
        <v>0</v>
      </c>
      <c r="L189">
        <f ca="1"/>
        <v>0</v>
      </c>
    </row>
    <row r="190" spans="2:12" x14ac:dyDescent="0.3">
      <c r="B190">
        <v>0.18</v>
      </c>
      <c r="C190">
        <f ca="1"/>
        <v>0.2633679076431491</v>
      </c>
      <c r="D190">
        <f ca="1"/>
        <v>1</v>
      </c>
      <c r="E190">
        <f ca="1"/>
        <v>105.02976304019766</v>
      </c>
      <c r="F190">
        <f ca="1"/>
        <v>3.2969987849331663</v>
      </c>
      <c r="G190" s="7">
        <f ca="1"/>
        <v>-3.1391090387125009E-2</v>
      </c>
      <c r="H190">
        <f ca="1"/>
        <v>18.245820931238242</v>
      </c>
      <c r="I190">
        <f ca="1"/>
        <v>-0.17007699536829934</v>
      </c>
      <c r="J190">
        <f ca="1"/>
        <v>0.38267440911696582</v>
      </c>
      <c r="K190">
        <f ca="1"/>
        <v>0</v>
      </c>
      <c r="L190">
        <f ca="1"/>
        <v>0</v>
      </c>
    </row>
    <row r="191" spans="2:12" x14ac:dyDescent="0.3">
      <c r="B191">
        <v>0.18099999999999999</v>
      </c>
      <c r="C191">
        <f ca="1"/>
        <v>0.27802486141161958</v>
      </c>
      <c r="D191">
        <f ca="1"/>
        <v>1</v>
      </c>
      <c r="E191">
        <f ca="1"/>
        <v>105.33599127990421</v>
      </c>
      <c r="F191">
        <f ca="1"/>
        <v>-1.6022740068089896</v>
      </c>
      <c r="G191" s="7">
        <f ca="1"/>
        <v>1.5211078258629995E-2</v>
      </c>
      <c r="H191">
        <f ca="1"/>
        <v>16.643546924429252</v>
      </c>
      <c r="I191">
        <f ca="1"/>
        <v>-0.15486591710966935</v>
      </c>
      <c r="J191">
        <f ca="1"/>
        <v>0.33059203021075234</v>
      </c>
      <c r="K191">
        <f ca="1"/>
        <v>0</v>
      </c>
      <c r="L191">
        <f ca="1"/>
        <v>0</v>
      </c>
    </row>
    <row r="192" spans="2:12" x14ac:dyDescent="0.3">
      <c r="B192">
        <v>0.182</v>
      </c>
      <c r="C192">
        <f ca="1"/>
        <v>0.25521722594846719</v>
      </c>
      <c r="D192">
        <f ca="1"/>
        <v>1</v>
      </c>
      <c r="E192">
        <f ca="1"/>
        <v>104.85449541742757</v>
      </c>
      <c r="F192">
        <f ca="1"/>
        <v>2.1001480336132063</v>
      </c>
      <c r="G192" s="7">
        <f ca="1"/>
        <v>-2.0029165418730788E-2</v>
      </c>
      <c r="H192">
        <f ca="1"/>
        <v>18.743694958042457</v>
      </c>
      <c r="I192">
        <f ca="1"/>
        <v>-0.17489508252840014</v>
      </c>
      <c r="J192">
        <f ca="1"/>
        <v>0.40515932853770664</v>
      </c>
      <c r="K192">
        <f ca="1"/>
        <v>0</v>
      </c>
      <c r="L192">
        <f ca="1"/>
        <v>0</v>
      </c>
    </row>
    <row r="193" spans="2:12" x14ac:dyDescent="0.3">
      <c r="B193">
        <v>0.183</v>
      </c>
      <c r="C193">
        <f ca="1"/>
        <v>0.22757959047134169</v>
      </c>
      <c r="D193">
        <f ca="1"/>
        <v>1</v>
      </c>
      <c r="E193">
        <f ca="1"/>
        <v>104.27442273513017</v>
      </c>
      <c r="F193">
        <f ca="1"/>
        <v>2.8291919874088234</v>
      </c>
      <c r="G193" s="7">
        <f ca="1"/>
        <v>-2.7132175975649542E-2</v>
      </c>
      <c r="H193">
        <f ca="1"/>
        <v>21.57288694545128</v>
      </c>
      <c r="I193">
        <f ca="1"/>
        <v>-0.20202725850404968</v>
      </c>
      <c r="J193">
        <f ca="1"/>
        <v>0.50661118818058171</v>
      </c>
      <c r="K193">
        <f ca="1"/>
        <v>0</v>
      </c>
      <c r="L193">
        <f ca="1"/>
        <v>0</v>
      </c>
    </row>
    <row r="194" spans="2:12" x14ac:dyDescent="0.3">
      <c r="B194">
        <v>0.184</v>
      </c>
      <c r="C194">
        <f ca="1"/>
        <v>0.20873425736839027</v>
      </c>
      <c r="D194">
        <f ca="1"/>
        <v>1</v>
      </c>
      <c r="E194">
        <f ca="1"/>
        <v>103.88006759133299</v>
      </c>
      <c r="F194">
        <f ca="1"/>
        <v>2.0404820596603157</v>
      </c>
      <c r="G194" s="7">
        <f ca="1"/>
        <v>-1.9642671659472033E-2</v>
      </c>
      <c r="H194">
        <f ca="1"/>
        <v>23.613369005111597</v>
      </c>
      <c r="I194">
        <f ca="1"/>
        <v>-0.22166993016352171</v>
      </c>
      <c r="J194">
        <f ca="1"/>
        <v>0.58628167675889742</v>
      </c>
      <c r="K194">
        <f ca="1"/>
        <v>0</v>
      </c>
      <c r="L194">
        <f ca="1"/>
        <v>0</v>
      </c>
    </row>
    <row r="195" spans="2:12" x14ac:dyDescent="0.3">
      <c r="B195">
        <v>0.185</v>
      </c>
      <c r="C195">
        <f ca="1"/>
        <v>0.17646652182978603</v>
      </c>
      <c r="D195">
        <f ca="1"/>
        <v>1</v>
      </c>
      <c r="E195">
        <f ca="1"/>
        <v>103.20976703219522</v>
      </c>
      <c r="F195">
        <f ca="1"/>
        <v>3.897639599756257</v>
      </c>
      <c r="G195" s="7">
        <f ca="1"/>
        <v>-3.7764251502868218E-2</v>
      </c>
      <c r="H195">
        <f ca="1"/>
        <v>27.511008604867854</v>
      </c>
      <c r="I195">
        <f ca="1"/>
        <v>-0.25943418166638993</v>
      </c>
      <c r="J195">
        <f ca="1"/>
        <v>0.73486715489153909</v>
      </c>
      <c r="K195">
        <f ca="1"/>
        <v>0</v>
      </c>
      <c r="L195">
        <f ca="1"/>
        <v>0</v>
      </c>
    </row>
    <row r="196" spans="2:12" x14ac:dyDescent="0.3">
      <c r="B196">
        <v>0.186</v>
      </c>
      <c r="C196">
        <f ca="1"/>
        <v>0.1397008288900525</v>
      </c>
      <c r="D196">
        <f ca="1"/>
        <v>1</v>
      </c>
      <c r="E196">
        <f ca="1"/>
        <v>102.45158563923873</v>
      </c>
      <c r="F196">
        <f ca="1"/>
        <v>4.8868967024616756</v>
      </c>
      <c r="G196" s="7">
        <f ca="1"/>
        <v>-4.7699571187407808E-2</v>
      </c>
      <c r="H196">
        <f ca="1"/>
        <v>32.39790530732953</v>
      </c>
      <c r="I196">
        <f ca="1"/>
        <v>-0.30713375285379774</v>
      </c>
      <c r="J196">
        <f ca="1"/>
        <v>0.93156532412788806</v>
      </c>
      <c r="K196">
        <f ca="1"/>
        <v>0</v>
      </c>
      <c r="L196">
        <f ca="1"/>
        <v>0</v>
      </c>
    </row>
    <row r="197" spans="2:12" x14ac:dyDescent="0.3">
      <c r="B197">
        <v>0.187</v>
      </c>
      <c r="C197">
        <f ca="1"/>
        <v>0.10463088675448737</v>
      </c>
      <c r="D197">
        <f ca="1"/>
        <v>1</v>
      </c>
      <c r="E197">
        <f ca="1"/>
        <v>101.73347093760717</v>
      </c>
      <c r="F197">
        <f ca="1"/>
        <v>5.0363621402033276</v>
      </c>
      <c r="G197" s="7">
        <f ca="1"/>
        <v>-4.9505458663571145E-2</v>
      </c>
      <c r="H197">
        <f ca="1"/>
        <v>37.434267447532861</v>
      </c>
      <c r="I197">
        <f ca="1"/>
        <v>-0.35663921151736888</v>
      </c>
      <c r="J197">
        <f ca="1"/>
        <v>1.1521225874194769</v>
      </c>
      <c r="K197">
        <f ca="1"/>
        <v>0</v>
      </c>
      <c r="L197">
        <f ca="1"/>
        <v>0</v>
      </c>
    </row>
    <row r="198" spans="2:12" x14ac:dyDescent="0.3">
      <c r="B198">
        <v>0.188</v>
      </c>
      <c r="C198">
        <f ca="1"/>
        <v>8.0764818975999547E-2</v>
      </c>
      <c r="D198">
        <f ca="1"/>
        <v>1</v>
      </c>
      <c r="E198">
        <f ca="1"/>
        <v>101.24700747863409</v>
      </c>
      <c r="F198">
        <f ca="1"/>
        <v>3.5939311719287281</v>
      </c>
      <c r="G198" s="7">
        <f ca="1"/>
        <v>-3.5496665644040359E-2</v>
      </c>
      <c r="H198">
        <f ca="1"/>
        <v>41.028198619461591</v>
      </c>
      <c r="I198">
        <f ca="1"/>
        <v>-0.39213587716140924</v>
      </c>
      <c r="J198">
        <f ca="1"/>
        <v>1.3256145318596495</v>
      </c>
      <c r="K198">
        <f ca="1"/>
        <v>0</v>
      </c>
      <c r="L198">
        <f ca="1"/>
        <v>0</v>
      </c>
    </row>
    <row r="199" spans="2:12" x14ac:dyDescent="0.3">
      <c r="B199">
        <v>0.189</v>
      </c>
      <c r="C199">
        <f ca="1"/>
        <v>0.14700686307708422</v>
      </c>
      <c r="D199">
        <f ca="1"/>
        <v>1</v>
      </c>
      <c r="E199">
        <f ca="1"/>
        <v>102.59524212425973</v>
      </c>
      <c r="F199">
        <f ca="1"/>
        <v>-10.126605168819435</v>
      </c>
      <c r="G199" s="7">
        <f ca="1"/>
        <v>9.8704432672954256E-2</v>
      </c>
      <c r="H199">
        <f ca="1"/>
        <v>30.901593450642157</v>
      </c>
      <c r="I199">
        <f ca="1"/>
        <v>-0.29343144448845498</v>
      </c>
      <c r="J199">
        <f ca="1"/>
        <v>0.79692335647784063</v>
      </c>
      <c r="K199">
        <f ca="1"/>
        <v>0</v>
      </c>
      <c r="L199">
        <f ca="1"/>
        <v>0</v>
      </c>
    </row>
    <row r="200" spans="2:12" x14ac:dyDescent="0.3">
      <c r="B200">
        <v>0.19</v>
      </c>
      <c r="C200">
        <f ca="1"/>
        <v>0.16707012286211165</v>
      </c>
      <c r="D200">
        <f ca="1"/>
        <v>1</v>
      </c>
      <c r="E200">
        <f ca="1"/>
        <v>103.00568805713286</v>
      </c>
      <c r="F200">
        <f ca="1"/>
        <v>-2.9617430140455681</v>
      </c>
      <c r="G200" s="7">
        <f ca="1"/>
        <v>2.8753198681638004E-2</v>
      </c>
      <c r="H200">
        <f ca="1"/>
        <v>27.93985043659659</v>
      </c>
      <c r="I200">
        <f ca="1"/>
        <v>-0.26467824580681698</v>
      </c>
      <c r="J200">
        <f ca="1"/>
        <v>0.67648561351046865</v>
      </c>
      <c r="K200">
        <f ca="1"/>
        <v>0</v>
      </c>
      <c r="L200">
        <f ca="1"/>
        <v>0</v>
      </c>
    </row>
    <row r="201" spans="2:12" x14ac:dyDescent="0.3">
      <c r="B201">
        <v>0.191</v>
      </c>
      <c r="C201">
        <f ca="1"/>
        <v>0.18193692899237462</v>
      </c>
      <c r="D201">
        <f ca="1"/>
        <v>1</v>
      </c>
      <c r="E201">
        <f ca="1"/>
        <v>103.31035073031902</v>
      </c>
      <c r="F201">
        <f ca="1"/>
        <v>-2.1746810532109393</v>
      </c>
      <c r="G201" s="7">
        <f ca="1"/>
        <v>2.1049982289651881E-2</v>
      </c>
      <c r="H201">
        <f ca="1"/>
        <v>25.765169383385651</v>
      </c>
      <c r="I201">
        <f ca="1"/>
        <v>-0.2436282635171651</v>
      </c>
      <c r="J201">
        <f ca="1"/>
        <v>0.59584803160873889</v>
      </c>
      <c r="K201">
        <f ca="1"/>
        <v>0</v>
      </c>
      <c r="L201">
        <f ca="1"/>
        <v>0</v>
      </c>
    </row>
    <row r="202" spans="2:12" x14ac:dyDescent="0.3">
      <c r="B202">
        <v>0.192</v>
      </c>
      <c r="C202">
        <f ca="1"/>
        <v>0.19686847993542886</v>
      </c>
      <c r="D202">
        <f ca="1"/>
        <v>1</v>
      </c>
      <c r="E202">
        <f ca="1"/>
        <v>103.61725623971071</v>
      </c>
      <c r="F202">
        <f ca="1"/>
        <v>-2.1285030976858907</v>
      </c>
      <c r="G202" s="7">
        <f ca="1"/>
        <v>2.0541975100766607E-2</v>
      </c>
      <c r="H202">
        <f ca="1"/>
        <v>23.636666285699761</v>
      </c>
      <c r="I202">
        <f ca="1"/>
        <v>-0.22308628841639849</v>
      </c>
      <c r="J202">
        <f ca="1"/>
        <v>0.52107717529178998</v>
      </c>
      <c r="K202">
        <f ca="1"/>
        <v>0</v>
      </c>
      <c r="L202">
        <f ca="1"/>
        <v>0</v>
      </c>
    </row>
    <row r="203" spans="2:12" x14ac:dyDescent="0.3">
      <c r="B203">
        <v>0.193</v>
      </c>
      <c r="C203">
        <f ca="1"/>
        <v>0.20927166105204684</v>
      </c>
      <c r="D203">
        <f ca="1"/>
        <v>1</v>
      </c>
      <c r="E203">
        <f ca="1"/>
        <v>103.87253455851126</v>
      </c>
      <c r="F203">
        <f ca="1"/>
        <v>-1.7510876183055941</v>
      </c>
      <c r="G203" s="7">
        <f ca="1"/>
        <v>1.6858042655339356E-2</v>
      </c>
      <c r="H203">
        <f ca="1"/>
        <v>21.885578667394167</v>
      </c>
      <c r="I203">
        <f ca="1"/>
        <v>-0.20622824576105914</v>
      </c>
      <c r="J203">
        <f ca="1"/>
        <v>0.46412808263739791</v>
      </c>
      <c r="K203">
        <f ca="1"/>
        <v>0</v>
      </c>
      <c r="L203">
        <f ca="1"/>
        <v>0</v>
      </c>
    </row>
    <row r="204" spans="2:12" x14ac:dyDescent="0.3">
      <c r="B204">
        <v>0.19400000000000001</v>
      </c>
      <c r="C204">
        <f ca="1"/>
        <v>0.23142658695754581</v>
      </c>
      <c r="D204">
        <f ca="1"/>
        <v>1</v>
      </c>
      <c r="E204">
        <f ca="1"/>
        <v>104.33172676965781</v>
      </c>
      <c r="F204">
        <f ca="1"/>
        <v>-2.85324678951027</v>
      </c>
      <c r="G204" s="7">
        <f ca="1"/>
        <v>2.734783443016936E-2</v>
      </c>
      <c r="H204">
        <f ca="1"/>
        <v>19.032331877883898</v>
      </c>
      <c r="I204">
        <f ca="1"/>
        <v>-0.17888041133088978</v>
      </c>
      <c r="J204">
        <f ca="1"/>
        <v>0.36942967846550445</v>
      </c>
      <c r="K204">
        <f ca="1"/>
        <v>0</v>
      </c>
      <c r="L204">
        <f ca="1"/>
        <v>0</v>
      </c>
    </row>
    <row r="205" spans="2:12" x14ac:dyDescent="0.3">
      <c r="B205">
        <v>0.19500000000000001</v>
      </c>
      <c r="C205">
        <f ca="1"/>
        <v>0.25232580301796476</v>
      </c>
      <c r="D205">
        <f ca="1"/>
        <v>1</v>
      </c>
      <c r="E205">
        <f ca="1"/>
        <v>104.76663434157376</v>
      </c>
      <c r="F205">
        <f ca="1"/>
        <v>-2.5268872282010233</v>
      </c>
      <c r="G205" s="7">
        <f ca="1"/>
        <v>2.411919829325182E-2</v>
      </c>
      <c r="H205">
        <f ca="1"/>
        <v>16.505444649682875</v>
      </c>
      <c r="I205">
        <f ca="1"/>
        <v>-0.15476121303763796</v>
      </c>
      <c r="J205">
        <f ca="1"/>
        <v>0.2916332331102609</v>
      </c>
      <c r="K205">
        <f ca="1"/>
        <v>0</v>
      </c>
      <c r="L205">
        <f ca="1"/>
        <v>0</v>
      </c>
    </row>
    <row r="206" spans="2:12" x14ac:dyDescent="0.3">
      <c r="B206">
        <v>0.19600000000000001</v>
      </c>
      <c r="C206">
        <f ca="1"/>
        <v>0.23367702024572859</v>
      </c>
      <c r="D206">
        <f ca="1"/>
        <v>1</v>
      </c>
      <c r="E206">
        <f ca="1"/>
        <v>104.37452059276244</v>
      </c>
      <c r="F206">
        <f ca="1"/>
        <v>1.847567165790295</v>
      </c>
      <c r="G206" s="7">
        <f ca="1"/>
        <v>-1.7701323611333641E-2</v>
      </c>
      <c r="H206">
        <f ca="1"/>
        <v>18.35301181547317</v>
      </c>
      <c r="I206">
        <f ca="1"/>
        <v>-0.1724625366489716</v>
      </c>
      <c r="J206">
        <f ca="1"/>
        <v>0.35231723252503855</v>
      </c>
      <c r="K206">
        <f ca="1"/>
        <v>0</v>
      </c>
      <c r="L206">
        <f ca="1"/>
        <v>0</v>
      </c>
    </row>
    <row r="207" spans="2:12" x14ac:dyDescent="0.3">
      <c r="B207">
        <v>0.19700000000000001</v>
      </c>
      <c r="C207">
        <f ca="1"/>
        <v>0.25179553873262839</v>
      </c>
      <c r="D207">
        <f ca="1"/>
        <v>1</v>
      </c>
      <c r="E207">
        <f ca="1"/>
        <v>104.75133399265988</v>
      </c>
      <c r="F207">
        <f ca="1"/>
        <v>-2.2243321639461846</v>
      </c>
      <c r="G207" s="7">
        <f ca="1"/>
        <v>2.1234404175721977E-2</v>
      </c>
      <c r="H207">
        <f ca="1"/>
        <v>16.128679651526987</v>
      </c>
      <c r="I207">
        <f ca="1"/>
        <v>-0.15122813247324962</v>
      </c>
      <c r="J207">
        <f ca="1"/>
        <v>0.28733103773540236</v>
      </c>
      <c r="K207">
        <f ca="1"/>
        <v>0</v>
      </c>
      <c r="L207">
        <f ca="1"/>
        <v>0</v>
      </c>
    </row>
    <row r="208" spans="2:12" x14ac:dyDescent="0.3">
      <c r="B208">
        <v>0.19800000000000001</v>
      </c>
      <c r="C208">
        <f ca="1"/>
        <v>0.27385567470424754</v>
      </c>
      <c r="D208">
        <f ca="1"/>
        <v>1</v>
      </c>
      <c r="E208">
        <f ca="1"/>
        <v>105.21241650247215</v>
      </c>
      <c r="F208">
        <f ca="1"/>
        <v>-2.4662271803375821</v>
      </c>
      <c r="G208" s="7">
        <f ca="1"/>
        <v>2.3440457526984315E-2</v>
      </c>
      <c r="H208">
        <f ca="1"/>
        <v>13.662452471189404</v>
      </c>
      <c r="I208">
        <f ca="1"/>
        <v>-0.12778767494626531</v>
      </c>
      <c r="J208">
        <f ca="1"/>
        <v>0.21760239086041366</v>
      </c>
      <c r="K208">
        <f ca="1"/>
        <v>0</v>
      </c>
      <c r="L208">
        <f ca="1"/>
        <v>0</v>
      </c>
    </row>
    <row r="209" spans="2:12" x14ac:dyDescent="0.3">
      <c r="B209">
        <v>0.19900000000000001</v>
      </c>
      <c r="C209">
        <f ca="1"/>
        <v>0.27025741146405652</v>
      </c>
      <c r="D209">
        <f ca="1"/>
        <v>1</v>
      </c>
      <c r="E209">
        <f ca="1"/>
        <v>105.13462463302727</v>
      </c>
      <c r="F209">
        <f ca="1"/>
        <v>0.12627317716292383</v>
      </c>
      <c r="G209">
        <f ca="1"/>
        <v>-1.2010617587087102E-3</v>
      </c>
      <c r="H209">
        <f ca="1"/>
        <v>13.788725648352328</v>
      </c>
      <c r="I209">
        <f ca="1"/>
        <v>-0.12898873670497402</v>
      </c>
      <c r="J209">
        <f ca="1"/>
        <v>0.22754323298649659</v>
      </c>
      <c r="K209">
        <f ca="1"/>
        <v>0</v>
      </c>
      <c r="L209">
        <f ca="1"/>
        <v>0</v>
      </c>
    </row>
    <row r="210" spans="2:12" x14ac:dyDescent="0.3">
      <c r="B210">
        <v>0.2</v>
      </c>
      <c r="C210">
        <f ca="1"/>
        <v>0.2660604009394657</v>
      </c>
      <c r="D210">
        <f ca="1"/>
        <v>1</v>
      </c>
      <c r="E210">
        <f ca="1"/>
        <v>105.04431052894208</v>
      </c>
      <c r="F210">
        <f ca="1"/>
        <v>0.18671956544255391</v>
      </c>
      <c r="G210">
        <f ca="1"/>
        <v>-1.7775314484177462E-3</v>
      </c>
      <c r="H210">
        <f ca="1"/>
        <v>13.975445213794881</v>
      </c>
      <c r="I210">
        <f ca="1"/>
        <v>-0.13076626815339176</v>
      </c>
      <c r="J210">
        <f ca="1"/>
        <v>0.23919273517908834</v>
      </c>
      <c r="K210">
        <f ca="1"/>
        <v>0</v>
      </c>
      <c r="L210">
        <f ca="1"/>
        <v>0</v>
      </c>
    </row>
    <row r="211" spans="2:12" x14ac:dyDescent="0.3">
      <c r="B211">
        <v>0.20100000000000001</v>
      </c>
      <c r="C211">
        <f ca="1"/>
        <v>0.20809687453741479</v>
      </c>
      <c r="D211">
        <f ca="1"/>
        <v>1</v>
      </c>
      <c r="E211">
        <f ca="1"/>
        <v>103.83151744295176</v>
      </c>
      <c r="F211">
        <f ca="1"/>
        <v>6.3333457009618721</v>
      </c>
      <c r="G211">
        <f ca="1"/>
        <v>-6.0996370436766534E-2</v>
      </c>
      <c r="H211">
        <f ca="1"/>
        <v>20.308790914756752</v>
      </c>
      <c r="I211">
        <f ca="1"/>
        <v>-0.1917626385901583</v>
      </c>
      <c r="J211">
        <f ca="1"/>
        <v>0.39778516107627482</v>
      </c>
      <c r="K211">
        <f ca="1"/>
        <v>0</v>
      </c>
      <c r="L211">
        <f ca="1"/>
        <v>0</v>
      </c>
    </row>
    <row r="212" spans="2:12" x14ac:dyDescent="0.3">
      <c r="B212">
        <v>0.20200000000000001</v>
      </c>
      <c r="C212">
        <f ca="1"/>
        <v>0.17709061462432385</v>
      </c>
      <c r="D212">
        <f ca="1"/>
        <v>1</v>
      </c>
      <c r="E212">
        <f ca="1"/>
        <v>103.18756059508267</v>
      </c>
      <c r="F212">
        <f ca="1"/>
        <v>3.9717451867197995</v>
      </c>
      <c r="G212">
        <f ca="1"/>
        <v>-3.8490542501583958E-2</v>
      </c>
      <c r="H212">
        <f ca="1"/>
        <v>24.280536101476553</v>
      </c>
      <c r="I212">
        <f ca="1"/>
        <v>-0.23025318109174225</v>
      </c>
      <c r="J212">
        <f ca="1"/>
        <v>0.52127202536185635</v>
      </c>
      <c r="K212">
        <f ca="1"/>
        <v>0</v>
      </c>
      <c r="L212">
        <f ca="1"/>
        <v>0</v>
      </c>
    </row>
    <row r="213" spans="2:12" x14ac:dyDescent="0.3">
      <c r="B213">
        <v>0.20300000000000001</v>
      </c>
      <c r="C213">
        <f ca="1"/>
        <v>0.1680766491716803</v>
      </c>
      <c r="D213">
        <f ca="1"/>
        <v>1</v>
      </c>
      <c r="E213">
        <f ca="1"/>
        <v>102.99964234267851</v>
      </c>
      <c r="F213">
        <f ca="1"/>
        <v>1.099445548912958</v>
      </c>
      <c r="G213">
        <f ca="1"/>
        <v>-1.0674265695555685E-2</v>
      </c>
      <c r="H213">
        <f ca="1"/>
        <v>25.37998165038951</v>
      </c>
      <c r="I213">
        <f ca="1"/>
        <v>-0.24092744678729794</v>
      </c>
      <c r="J213">
        <f ca="1"/>
        <v>0.56454080076311186</v>
      </c>
      <c r="K213">
        <f ca="1"/>
        <v>0</v>
      </c>
      <c r="L213">
        <f ca="1"/>
        <v>0</v>
      </c>
    </row>
    <row r="214" spans="2:12" x14ac:dyDescent="0.3">
      <c r="B214">
        <v>0.20400000000000001</v>
      </c>
      <c r="C214">
        <f ca="1"/>
        <v>0.20336982542652535</v>
      </c>
      <c r="D214">
        <f ca="1"/>
        <v>1</v>
      </c>
      <c r="E214">
        <f ca="1"/>
        <v>103.7271766768679</v>
      </c>
      <c r="F214">
        <f ca="1"/>
        <v>-5.1881973001864772</v>
      </c>
      <c r="G214">
        <f ca="1"/>
        <v>5.0017724056529655E-2</v>
      </c>
      <c r="H214">
        <f ca="1"/>
        <v>20.191784350203033</v>
      </c>
      <c r="I214">
        <f ca="1"/>
        <v>-0.19090972273076828</v>
      </c>
      <c r="J214">
        <f ca="1"/>
        <v>0.38925781117676905</v>
      </c>
      <c r="K214">
        <f ca="1"/>
        <v>0</v>
      </c>
      <c r="L214">
        <f ca="1"/>
        <v>0</v>
      </c>
    </row>
    <row r="215" spans="2:12" x14ac:dyDescent="0.3">
      <c r="B215">
        <v>0.20500000000000002</v>
      </c>
      <c r="C215">
        <f ca="1"/>
        <v>0.2007454030742403</v>
      </c>
      <c r="D215">
        <f ca="1"/>
        <v>1</v>
      </c>
      <c r="E215">
        <f ca="1"/>
        <v>103.67067274458795</v>
      </c>
      <c r="F215">
        <f ca="1"/>
        <v>0.10316808024519612</v>
      </c>
      <c r="G215">
        <f ca="1"/>
        <v>-9.9515202818611925E-4</v>
      </c>
      <c r="H215">
        <f ca="1"/>
        <v>20.29495243044823</v>
      </c>
      <c r="I215">
        <f ca="1"/>
        <v>-0.1919048747589544</v>
      </c>
      <c r="J215">
        <f ca="1"/>
        <v>0.40004496122153199</v>
      </c>
      <c r="K215">
        <f ca="1"/>
        <v>0</v>
      </c>
      <c r="L215">
        <f ca="1"/>
        <v>0</v>
      </c>
    </row>
    <row r="216" spans="2:12" x14ac:dyDescent="0.3">
      <c r="B216">
        <v>0.20600000000000002</v>
      </c>
      <c r="C216">
        <f ca="1"/>
        <v>0.21539564805572478</v>
      </c>
      <c r="D216">
        <f ca="1"/>
        <v>1</v>
      </c>
      <c r="E216">
        <f ca="1"/>
        <v>103.97279886945697</v>
      </c>
      <c r="F216">
        <f ca="1"/>
        <v>-2.1578743105463851</v>
      </c>
      <c r="G216">
        <f ca="1"/>
        <v>2.0754219699863075E-2</v>
      </c>
      <c r="H216">
        <f ca="1"/>
        <v>18.137078119901844</v>
      </c>
      <c r="I216">
        <f ca="1"/>
        <v>-0.17115065505909133</v>
      </c>
      <c r="J216">
        <f ca="1"/>
        <v>0.34206548506713474</v>
      </c>
      <c r="K216">
        <f ca="1"/>
        <v>0</v>
      </c>
      <c r="L216">
        <f ca="1"/>
        <v>0</v>
      </c>
    </row>
    <row r="217" spans="2:12" x14ac:dyDescent="0.3">
      <c r="B217">
        <v>0.20700000000000002</v>
      </c>
      <c r="C217">
        <f ca="1"/>
        <v>0.25502121658007337</v>
      </c>
      <c r="D217">
        <f ca="1"/>
        <v>1</v>
      </c>
      <c r="E217">
        <f ca="1"/>
        <v>104.79797291692338</v>
      </c>
      <c r="F217">
        <f ca="1"/>
        <v>-4.8447839718069181</v>
      </c>
      <c r="G217">
        <f ca="1"/>
        <v>4.6229748886913391E-2</v>
      </c>
      <c r="H217">
        <f ca="1"/>
        <v>13.292294148094925</v>
      </c>
      <c r="I217">
        <f ca="1"/>
        <v>-0.12492090617217794</v>
      </c>
      <c r="J217">
        <f ca="1"/>
        <v>0.20083640630549482</v>
      </c>
      <c r="K217">
        <f ca="1"/>
        <v>0</v>
      </c>
      <c r="L217">
        <f ca="1"/>
        <v>0</v>
      </c>
    </row>
    <row r="218" spans="2:12" x14ac:dyDescent="0.3">
      <c r="B218">
        <v>0.20800000000000002</v>
      </c>
      <c r="C218">
        <f ca="1"/>
        <v>0.23518713704352487</v>
      </c>
      <c r="D218">
        <f ca="1"/>
        <v>1</v>
      </c>
      <c r="E218">
        <f ca="1"/>
        <v>104.38099445194517</v>
      </c>
      <c r="F218">
        <f ca="1"/>
        <v>1.8951668277389553</v>
      </c>
      <c r="G218">
        <f ca="1"/>
        <v>-1.8156244225201845E-2</v>
      </c>
      <c r="H218">
        <f ca="1"/>
        <v>15.187460975833879</v>
      </c>
      <c r="I218">
        <f ca="1"/>
        <v>-0.14307715039737978</v>
      </c>
      <c r="J218">
        <f ca="1"/>
        <v>0.2529257340048563</v>
      </c>
      <c r="K218">
        <f ca="1"/>
        <v>0</v>
      </c>
      <c r="L218">
        <f ca="1"/>
        <v>0</v>
      </c>
    </row>
    <row r="219" spans="2:12" x14ac:dyDescent="0.3">
      <c r="B219">
        <v>0.20899999999999999</v>
      </c>
      <c r="C219">
        <f ca="1"/>
        <v>0.25251892393214753</v>
      </c>
      <c r="D219">
        <f ca="1"/>
        <v>1</v>
      </c>
      <c r="E219">
        <f ca="1"/>
        <v>104.74134926132433</v>
      </c>
      <c r="F219">
        <f ca="1"/>
        <v>-2.1882613985748161</v>
      </c>
      <c r="G219">
        <f ca="1"/>
        <v>2.0892048975951372E-2</v>
      </c>
      <c r="H219">
        <f ca="1"/>
        <v>12.999199577259063</v>
      </c>
      <c r="I219">
        <f ca="1"/>
        <v>-0.12218510142142841</v>
      </c>
      <c r="J219">
        <f ca="1"/>
        <v>0.20136719474689357</v>
      </c>
      <c r="K219">
        <f ca="1"/>
        <v>0</v>
      </c>
      <c r="L219">
        <f ca="1"/>
        <v>0</v>
      </c>
    </row>
    <row r="220" spans="2:12" x14ac:dyDescent="0.3">
      <c r="B220">
        <v>0.21</v>
      </c>
      <c r="C220">
        <f ca="1"/>
        <v>0.2422788732661327</v>
      </c>
      <c r="D220">
        <f ca="1"/>
        <v>1</v>
      </c>
      <c r="E220">
        <f ca="1"/>
        <v>104.52496690725323</v>
      </c>
      <c r="F220">
        <f ca="1"/>
        <v>0.81678043326531713</v>
      </c>
      <c r="G220">
        <f ca="1"/>
        <v>-7.8142137465593287E-3</v>
      </c>
      <c r="H220">
        <f ca="1"/>
        <v>13.815980010524379</v>
      </c>
      <c r="I220">
        <f ca="1"/>
        <v>-0.12999931516798774</v>
      </c>
      <c r="J220">
        <f ca="1"/>
        <v>0.22780589462487733</v>
      </c>
      <c r="K220">
        <f ca="1"/>
        <v>0</v>
      </c>
      <c r="L220">
        <f ca="1"/>
        <v>0</v>
      </c>
    </row>
    <row r="221" spans="2:12" x14ac:dyDescent="0.3">
      <c r="B221">
        <v>0.21099999999999999</v>
      </c>
      <c r="C221">
        <f ca="1"/>
        <v>0.2632198101122003</v>
      </c>
      <c r="D221">
        <f ca="1"/>
        <v>1</v>
      </c>
      <c r="E221">
        <f ca="1"/>
        <v>104.96155581416717</v>
      </c>
      <c r="F221">
        <f ca="1"/>
        <v>-2.4744522145564729</v>
      </c>
      <c r="G221">
        <f ca="1"/>
        <v>2.3574843144831548E-2</v>
      </c>
      <c r="H221">
        <f ca="1"/>
        <v>11.341527795967906</v>
      </c>
      <c r="I221">
        <f ca="1"/>
        <v>-0.10642447202315619</v>
      </c>
      <c r="J221">
        <f ca="1"/>
        <v>0.17104963571612508</v>
      </c>
      <c r="K221">
        <f ca="1"/>
        <v>0</v>
      </c>
      <c r="L221">
        <f ca="1"/>
        <v>0</v>
      </c>
    </row>
    <row r="222" spans="2:12" x14ac:dyDescent="0.3">
      <c r="B222">
        <v>0.21199999999999999</v>
      </c>
      <c r="C222">
        <f ca="1"/>
        <v>0.21137148048152887</v>
      </c>
      <c r="D222">
        <f ca="1"/>
        <v>1</v>
      </c>
      <c r="E222">
        <f ca="1"/>
        <v>103.87668579157928</v>
      </c>
      <c r="F222">
        <f ca="1"/>
        <v>5.5502190975298173</v>
      </c>
      <c r="G222">
        <f ca="1"/>
        <v>-5.3430844998904881E-2</v>
      </c>
      <c r="H222">
        <f ca="1"/>
        <v>16.891746893497725</v>
      </c>
      <c r="I222">
        <f ca="1"/>
        <v>-0.15985531702206107</v>
      </c>
      <c r="J222">
        <f ca="1"/>
        <v>0.28650635508379452</v>
      </c>
      <c r="K222">
        <f ca="1"/>
        <v>0</v>
      </c>
      <c r="L222">
        <f ca="1"/>
        <v>0</v>
      </c>
    </row>
    <row r="223" spans="2:12" x14ac:dyDescent="0.3">
      <c r="B223">
        <v>0.21299999999999999</v>
      </c>
      <c r="C223">
        <f ca="1"/>
        <v>0.1703127279948394</v>
      </c>
      <c r="D223">
        <f ca="1"/>
        <v>1</v>
      </c>
      <c r="E223">
        <f ca="1"/>
        <v>103.02510862572068</v>
      </c>
      <c r="F223">
        <f ca="1"/>
        <v>5.5393455192836978</v>
      </c>
      <c r="G223">
        <f ca="1"/>
        <v>-5.3766946651884195E-2</v>
      </c>
      <c r="H223">
        <f ca="1"/>
        <v>22.431092412781425</v>
      </c>
      <c r="I223">
        <f ca="1"/>
        <v>-0.21362226367394527</v>
      </c>
      <c r="J223">
        <f ca="1"/>
        <v>0.42263549290086999</v>
      </c>
      <c r="K223">
        <f ca="1"/>
        <v>0</v>
      </c>
      <c r="L223">
        <f ca="1"/>
        <v>0</v>
      </c>
    </row>
    <row r="224" spans="2:12" x14ac:dyDescent="0.3">
      <c r="B224">
        <v>0.214</v>
      </c>
      <c r="C224">
        <f ca="1"/>
        <v>0.19961763770109653</v>
      </c>
      <c r="D224">
        <f ca="1"/>
        <v>1</v>
      </c>
      <c r="E224">
        <f ca="1"/>
        <v>103.62863730888378</v>
      </c>
      <c r="F224">
        <f ca="1"/>
        <v>-4.627765633582829</v>
      </c>
      <c r="G224">
        <f ca="1"/>
        <v>4.4657208217347699E-2</v>
      </c>
      <c r="H224">
        <f ca="1"/>
        <v>17.803326779198596</v>
      </c>
      <c r="I224">
        <f ca="1"/>
        <v>-0.16896505545659757</v>
      </c>
      <c r="J224">
        <f ca="1"/>
        <v>0.29370832941141245</v>
      </c>
      <c r="K224">
        <f ca="1"/>
        <v>0</v>
      </c>
      <c r="L224">
        <f ca="1"/>
        <v>0</v>
      </c>
    </row>
    <row r="225" spans="2:12" x14ac:dyDescent="0.3">
      <c r="B225">
        <v>0.215</v>
      </c>
      <c r="C225">
        <f ca="1"/>
        <v>0.18812176399152786</v>
      </c>
      <c r="D225">
        <f ca="1"/>
        <v>1</v>
      </c>
      <c r="E225">
        <f ca="1"/>
        <v>103.38858286239838</v>
      </c>
      <c r="F225">
        <f ca="1"/>
        <v>1.3048186041970751</v>
      </c>
      <c r="G225">
        <f ca="1"/>
        <v>-1.2620528960472166E-2</v>
      </c>
      <c r="H225">
        <f ca="1"/>
        <v>19.108145383395669</v>
      </c>
      <c r="I225">
        <f ca="1"/>
        <v>-0.18158558441706973</v>
      </c>
      <c r="J225">
        <f ca="1"/>
        <v>0.33426914227441884</v>
      </c>
      <c r="K225">
        <f ca="1"/>
        <v>0</v>
      </c>
      <c r="L225">
        <f ca="1"/>
        <v>0</v>
      </c>
    </row>
    <row r="226" spans="2:12" x14ac:dyDescent="0.3">
      <c r="B226">
        <v>0.216</v>
      </c>
      <c r="C226">
        <f ca="1"/>
        <v>0.1980322870901956</v>
      </c>
      <c r="D226">
        <f ca="1"/>
        <v>1</v>
      </c>
      <c r="E226">
        <f ca="1"/>
        <v>103.59164122418984</v>
      </c>
      <c r="F226">
        <f ca="1"/>
        <v>-1.7480335941045884</v>
      </c>
      <c r="G226">
        <f ca="1"/>
        <v>1.6874272609713248E-2</v>
      </c>
      <c r="H226">
        <f ca="1"/>
        <v>17.360111789291082</v>
      </c>
      <c r="I226">
        <f ca="1"/>
        <v>-0.16471131180735649</v>
      </c>
      <c r="J226">
        <f ca="1"/>
        <v>0.29739667097774358</v>
      </c>
      <c r="K226">
        <f ca="1"/>
        <v>0</v>
      </c>
      <c r="L226">
        <f ca="1"/>
        <v>0</v>
      </c>
    </row>
    <row r="227" spans="2:12" x14ac:dyDescent="0.3">
      <c r="B227">
        <v>0.217</v>
      </c>
      <c r="C227">
        <f ca="1"/>
        <v>0.18990571662232078</v>
      </c>
      <c r="D227">
        <f ca="1"/>
        <v>1</v>
      </c>
      <c r="E227">
        <f ca="1"/>
        <v>103.42134057435462</v>
      </c>
      <c r="F227">
        <f ca="1"/>
        <v>0.81143816864469298</v>
      </c>
      <c r="G227">
        <f ca="1"/>
        <v>-7.8459451805433789E-3</v>
      </c>
      <c r="H227">
        <f ca="1"/>
        <v>18.171549957935774</v>
      </c>
      <c r="I227">
        <f ca="1"/>
        <v>-0.17255725698789987</v>
      </c>
      <c r="J227">
        <f ca="1"/>
        <v>0.3254471144137483</v>
      </c>
      <c r="K227">
        <f ca="1"/>
        <v>0</v>
      </c>
      <c r="L227">
        <f ca="1"/>
        <v>0</v>
      </c>
    </row>
    <row r="228" spans="2:12" x14ac:dyDescent="0.3">
      <c r="B228">
        <v>0.218</v>
      </c>
      <c r="C228">
        <f ca="1"/>
        <v>0.21243045926765211</v>
      </c>
      <c r="D228">
        <f ca="1"/>
        <v>1</v>
      </c>
      <c r="E228">
        <f ca="1"/>
        <v>103.88622166827932</v>
      </c>
      <c r="F228">
        <f ca="1"/>
        <v>-3.4567110646104644</v>
      </c>
      <c r="G228">
        <f ca="1"/>
        <v>3.3274008902240582E-2</v>
      </c>
      <c r="H228">
        <f ca="1"/>
        <v>14.714838893325309</v>
      </c>
      <c r="I228">
        <f ca="1"/>
        <v>-0.13928324808565928</v>
      </c>
      <c r="J228">
        <f ca="1"/>
        <v>0.24522850802056695</v>
      </c>
      <c r="K228">
        <f ca="1"/>
        <v>0</v>
      </c>
      <c r="L228">
        <f ca="1"/>
        <v>0</v>
      </c>
    </row>
    <row r="229" spans="2:12" x14ac:dyDescent="0.3">
      <c r="B229">
        <v>0.219</v>
      </c>
      <c r="C229">
        <f ca="1"/>
        <v>0.18314617731272506</v>
      </c>
      <c r="D229">
        <f ca="1"/>
        <v>1</v>
      </c>
      <c r="E229">
        <f ca="1"/>
        <v>103.27748773549277</v>
      </c>
      <c r="F229">
        <f ca="1"/>
        <v>3.7197877666439201</v>
      </c>
      <c r="G229">
        <f ca="1"/>
        <v>-3.601741142436371E-2</v>
      </c>
      <c r="H229">
        <f ca="1"/>
        <v>18.434626659969229</v>
      </c>
      <c r="I229">
        <f ca="1"/>
        <v>-0.17530065951002299</v>
      </c>
      <c r="J229">
        <f ca="1"/>
        <v>0.33001494739903592</v>
      </c>
      <c r="K229">
        <f ca="1"/>
        <v>0</v>
      </c>
      <c r="L229">
        <f ca="1"/>
        <v>0</v>
      </c>
    </row>
    <row r="230" spans="2:12" x14ac:dyDescent="0.3">
      <c r="B230">
        <v>0.22</v>
      </c>
      <c r="C230">
        <f ca="1"/>
        <v>0.18361643548349627</v>
      </c>
      <c r="D230">
        <f ca="1"/>
        <v>1</v>
      </c>
      <c r="E230">
        <f ca="1"/>
        <v>103.28513588540642</v>
      </c>
      <c r="F230">
        <f ca="1"/>
        <v>-0.44924376695920148</v>
      </c>
      <c r="G230">
        <f ca="1"/>
        <v>4.3495490721688346E-3</v>
      </c>
      <c r="H230">
        <f ca="1"/>
        <v>17.985382893010026</v>
      </c>
      <c r="I230">
        <f ca="1"/>
        <v>-0.17095111043785416</v>
      </c>
      <c r="J230">
        <f ca="1"/>
        <v>0.32867422167513993</v>
      </c>
      <c r="K230">
        <f ca="1"/>
        <v>0</v>
      </c>
      <c r="L230">
        <f ca="1"/>
        <v>0</v>
      </c>
    </row>
    <row r="231" spans="2:12" x14ac:dyDescent="0.3">
      <c r="B231">
        <v>0.221</v>
      </c>
      <c r="C231">
        <f ca="1"/>
        <v>0.20146092107123745</v>
      </c>
      <c r="D231">
        <f ca="1"/>
        <v>1</v>
      </c>
      <c r="E231">
        <f ca="1"/>
        <v>103.65233539768472</v>
      </c>
      <c r="F231">
        <f ca="1"/>
        <v>-2.9751209749583833</v>
      </c>
      <c r="G231">
        <f ca="1"/>
        <v>2.8702884151559971E-2</v>
      </c>
      <c r="H231">
        <f ca="1"/>
        <v>15.010261918051643</v>
      </c>
      <c r="I231">
        <f ca="1"/>
        <v>-0.14224822628629419</v>
      </c>
      <c r="J231">
        <f ca="1"/>
        <v>0.26590105729892599</v>
      </c>
      <c r="K231">
        <f ca="1"/>
        <v>0</v>
      </c>
      <c r="L231">
        <f ca="1"/>
        <v>0</v>
      </c>
    </row>
    <row r="232" spans="2:12" x14ac:dyDescent="0.3">
      <c r="B232">
        <v>0.222</v>
      </c>
      <c r="C232">
        <f ca="1"/>
        <v>0.22158681843524938</v>
      </c>
      <c r="D232">
        <f ca="1"/>
        <v>1</v>
      </c>
      <c r="E232">
        <f ca="1"/>
        <v>104.06831408229652</v>
      </c>
      <c r="F232">
        <f ca="1"/>
        <v>-2.9952705302954721</v>
      </c>
      <c r="G232">
        <f ca="1"/>
        <v>2.8781772403143113E-2</v>
      </c>
      <c r="H232">
        <f ca="1"/>
        <v>12.014991387756172</v>
      </c>
      <c r="I232">
        <f ca="1"/>
        <v>-0.11346645388315107</v>
      </c>
      <c r="J232">
        <f ca="1"/>
        <v>0.20672882723999209</v>
      </c>
      <c r="K232">
        <f ca="1"/>
        <v>0</v>
      </c>
      <c r="L232">
        <f ca="1"/>
        <v>0</v>
      </c>
    </row>
    <row r="233" spans="2:12" x14ac:dyDescent="0.3">
      <c r="B233">
        <v>0.223</v>
      </c>
      <c r="C233">
        <f ca="1"/>
        <v>0.17715230905206164</v>
      </c>
      <c r="D233">
        <f ca="1"/>
        <v>1</v>
      </c>
      <c r="E233">
        <f ca="1"/>
        <v>103.14550361221355</v>
      </c>
      <c r="F233">
        <f ca="1"/>
        <v>5.7096227334750012</v>
      </c>
      <c r="G233">
        <f ca="1"/>
        <v>-5.5355032779140168E-2</v>
      </c>
      <c r="H233">
        <f ca="1"/>
        <v>17.724614121231173</v>
      </c>
      <c r="I233">
        <f ca="1"/>
        <v>-0.16882148666229124</v>
      </c>
      <c r="J233">
        <f ca="1"/>
        <v>0.3114368588865517</v>
      </c>
      <c r="K233">
        <f ca="1"/>
        <v>0</v>
      </c>
      <c r="L233">
        <f ca="1"/>
        <v>0</v>
      </c>
    </row>
    <row r="234" spans="2:12" x14ac:dyDescent="0.3">
      <c r="B234">
        <v>0.224</v>
      </c>
      <c r="C234">
        <f ca="1"/>
        <v>0.1651031071062809</v>
      </c>
      <c r="D234">
        <f ca="1"/>
        <v>1</v>
      </c>
      <c r="E234">
        <f ca="1"/>
        <v>102.89518074704222</v>
      </c>
      <c r="F234">
        <f ca="1"/>
        <v>1.5370158635311146</v>
      </c>
      <c r="G234">
        <f ca="1"/>
        <v>-1.4937685636703613E-2</v>
      </c>
      <c r="H234">
        <f ca="1"/>
        <v>19.261629984762287</v>
      </c>
      <c r="I234">
        <f ca="1"/>
        <v>-0.18375917229899486</v>
      </c>
      <c r="J234">
        <f ca="1"/>
        <v>0.35369673713033833</v>
      </c>
      <c r="K234">
        <f ca="1"/>
        <v>0</v>
      </c>
      <c r="L234">
        <f ca="1"/>
        <v>0</v>
      </c>
    </row>
    <row r="235" spans="2:12" x14ac:dyDescent="0.3">
      <c r="B235">
        <v>0.22500000000000001</v>
      </c>
      <c r="C235">
        <f ca="1"/>
        <v>0.13976895940128986</v>
      </c>
      <c r="D235">
        <f ca="1"/>
        <v>1</v>
      </c>
      <c r="E235">
        <f ca="1"/>
        <v>102.3730994969283</v>
      </c>
      <c r="F235">
        <f ca="1"/>
        <v>4.1584341704847159</v>
      </c>
      <c r="G235">
        <f ca="1"/>
        <v>-4.0620379679033647E-2</v>
      </c>
      <c r="H235">
        <f ca="1"/>
        <v>23.420064155247005</v>
      </c>
      <c r="I235">
        <f ca="1"/>
        <v>-0.2243795519780285</v>
      </c>
      <c r="J235">
        <f ca="1"/>
        <v>0.4496339555240958</v>
      </c>
      <c r="K235">
        <f ca="1"/>
        <v>0</v>
      </c>
      <c r="L235">
        <f ca="1"/>
        <v>0</v>
      </c>
    </row>
    <row r="236" spans="2:12" x14ac:dyDescent="0.3">
      <c r="B236">
        <v>0.22600000000000001</v>
      </c>
      <c r="C236">
        <f ca="1"/>
        <v>0.15251395646152185</v>
      </c>
      <c r="D236">
        <f ca="1"/>
        <v>1</v>
      </c>
      <c r="E236">
        <f ca="1"/>
        <v>102.63232866240331</v>
      </c>
      <c r="F236">
        <f ca="1"/>
        <v>-2.8583131820138257</v>
      </c>
      <c r="G236">
        <f ca="1"/>
        <v>2.7850027562133006E-2</v>
      </c>
      <c r="H236">
        <f ca="1"/>
        <v>20.561750973233178</v>
      </c>
      <c r="I236">
        <f ca="1"/>
        <v>-0.1965295244158955</v>
      </c>
      <c r="J236">
        <f ca="1"/>
        <v>0.39146823151517651</v>
      </c>
      <c r="K236">
        <f ca="1"/>
        <v>0</v>
      </c>
      <c r="L236">
        <f ca="1"/>
        <v>0</v>
      </c>
    </row>
    <row r="237" spans="2:12" x14ac:dyDescent="0.3">
      <c r="B237">
        <v>0.22700000000000001</v>
      </c>
      <c r="C237">
        <f ca="1"/>
        <v>0.13261070268558603</v>
      </c>
      <c r="D237">
        <f ca="1"/>
        <v>1</v>
      </c>
      <c r="E237">
        <f ca="1"/>
        <v>102.22255279085391</v>
      </c>
      <c r="F237">
        <f ca="1"/>
        <v>3.388901442514443</v>
      </c>
      <c r="G237">
        <f ca="1"/>
        <v>-3.3152189511918118E-2</v>
      </c>
      <c r="H237">
        <f ca="1"/>
        <v>23.950652415747619</v>
      </c>
      <c r="I237">
        <f ca="1"/>
        <v>-0.22968171392781361</v>
      </c>
      <c r="J237">
        <f ca="1"/>
        <v>0.4720012886678866</v>
      </c>
      <c r="K237">
        <f ca="1"/>
        <v>0</v>
      </c>
      <c r="L237">
        <f ca="1"/>
        <v>0</v>
      </c>
    </row>
    <row r="238" spans="2:12" x14ac:dyDescent="0.3">
      <c r="B238">
        <v>0.22800000000000001</v>
      </c>
      <c r="C238">
        <f ca="1"/>
        <v>0.13302114249255265</v>
      </c>
      <c r="D238">
        <f ca="1"/>
        <v>1</v>
      </c>
      <c r="E238">
        <f ca="1"/>
        <v>102.22889977779882</v>
      </c>
      <c r="F238">
        <f ca="1"/>
        <v>-0.55604515737634075</v>
      </c>
      <c r="G238">
        <f ca="1"/>
        <v>5.4392168807934071E-3</v>
      </c>
      <c r="H238">
        <f ca="1"/>
        <v>23.394607258371277</v>
      </c>
      <c r="I238">
        <f ca="1"/>
        <v>-0.22424249704702021</v>
      </c>
      <c r="J238">
        <f ca="1"/>
        <v>0.47054350182810012</v>
      </c>
      <c r="K238">
        <f ca="1"/>
        <v>0</v>
      </c>
      <c r="L238">
        <f ca="1"/>
        <v>0</v>
      </c>
    </row>
    <row r="239" spans="2:12" x14ac:dyDescent="0.3">
      <c r="B239">
        <v>0.22900000000000001</v>
      </c>
      <c r="C239">
        <f ca="1"/>
        <v>0.15113227158637413</v>
      </c>
      <c r="D239">
        <f ca="1"/>
        <v>1</v>
      </c>
      <c r="E239">
        <f ca="1"/>
        <v>102.5978154198059</v>
      </c>
      <c r="F239">
        <f ca="1"/>
        <v>-4.1056415966337561</v>
      </c>
      <c r="G239">
        <f ca="1"/>
        <v>4.0016852014191973E-2</v>
      </c>
      <c r="H239">
        <f ca="1"/>
        <v>19.288965661737521</v>
      </c>
      <c r="I239">
        <f ca="1"/>
        <v>-0.18422564503282823</v>
      </c>
      <c r="J239">
        <f ca="1"/>
        <v>0.38781693706472709</v>
      </c>
      <c r="K239">
        <f ca="1"/>
        <v>0</v>
      </c>
      <c r="L239">
        <f ca="1"/>
        <v>0</v>
      </c>
    </row>
    <row r="240" spans="2:12" x14ac:dyDescent="0.3">
      <c r="B240">
        <v>0.23</v>
      </c>
      <c r="C240">
        <f ca="1"/>
        <v>0.15940169280738833</v>
      </c>
      <c r="D240">
        <f ca="1"/>
        <v>1</v>
      </c>
      <c r="E240">
        <f ca="1"/>
        <v>102.76558539494656</v>
      </c>
      <c r="F240">
        <f ca="1"/>
        <v>-2.0911376097246919</v>
      </c>
      <c r="G240">
        <f ca="1"/>
        <v>2.0348617698114357E-2</v>
      </c>
      <c r="H240">
        <f ca="1"/>
        <v>17.197828052012831</v>
      </c>
      <c r="I240">
        <f ca="1"/>
        <v>-0.16387702733471388</v>
      </c>
      <c r="J240">
        <f ca="1"/>
        <v>0.35690940517730141</v>
      </c>
      <c r="K240">
        <f ca="1"/>
        <v>0</v>
      </c>
      <c r="L240">
        <f ca="1"/>
        <v>0</v>
      </c>
    </row>
    <row r="241" spans="2:12" x14ac:dyDescent="0.3">
      <c r="B241">
        <v>0.23100000000000001</v>
      </c>
      <c r="C241">
        <f ca="1"/>
        <v>0.15086882333118598</v>
      </c>
      <c r="D241">
        <f ca="1"/>
        <v>1</v>
      </c>
      <c r="E241">
        <f ca="1"/>
        <v>102.58830610481178</v>
      </c>
      <c r="F241">
        <f ca="1"/>
        <v>0.97951815630595229</v>
      </c>
      <c r="G241">
        <f ca="1"/>
        <v>-9.5480488322441381E-3</v>
      </c>
      <c r="H241">
        <f ca="1"/>
        <v>18.177346208318784</v>
      </c>
      <c r="I241">
        <f ca="1"/>
        <v>-0.17342507616695801</v>
      </c>
      <c r="J241">
        <f ca="1"/>
        <v>0.38596140825259795</v>
      </c>
      <c r="K241">
        <f ca="1"/>
        <v>0</v>
      </c>
      <c r="L241">
        <f ca="1"/>
        <v>0</v>
      </c>
    </row>
    <row r="242" spans="2:12" x14ac:dyDescent="0.3">
      <c r="B242">
        <v>0.23200000000000001</v>
      </c>
      <c r="C242">
        <f ca="1"/>
        <v>0.15654428390859731</v>
      </c>
      <c r="D242">
        <f ca="1"/>
        <v>1</v>
      </c>
      <c r="E242">
        <f ca="1"/>
        <v>102.70276532051426</v>
      </c>
      <c r="F242">
        <f ca="1"/>
        <v>-1.6978006698516523</v>
      </c>
      <c r="G242">
        <f ca="1"/>
        <v>1.6531206969482903E-2</v>
      </c>
      <c r="H242">
        <f ca="1"/>
        <v>16.479545538467132</v>
      </c>
      <c r="I242">
        <f ca="1"/>
        <v>-0.15689386919747511</v>
      </c>
      <c r="J242">
        <f ca="1"/>
        <v>0.36611131005138375</v>
      </c>
      <c r="K242">
        <f ca="1"/>
        <v>0</v>
      </c>
      <c r="L242">
        <f ca="1"/>
        <v>0</v>
      </c>
    </row>
    <row r="243" spans="2:12" x14ac:dyDescent="0.3">
      <c r="B243">
        <v>0.23300000000000001</v>
      </c>
      <c r="C243">
        <f ca="1"/>
        <v>0.18319713190977868</v>
      </c>
      <c r="D243">
        <f ca="1"/>
        <v>1</v>
      </c>
      <c r="E243">
        <f ca="1"/>
        <v>103.24962629028576</v>
      </c>
      <c r="F243">
        <f ca="1"/>
        <v>-5.0895820759394717</v>
      </c>
      <c r="G243">
        <f ca="1"/>
        <v>4.9293951550295589E-2</v>
      </c>
      <c r="H243">
        <f ca="1"/>
        <v>11.38996346252766</v>
      </c>
      <c r="I243">
        <f ca="1"/>
        <v>-0.10759991764717952</v>
      </c>
      <c r="J243">
        <f ca="1"/>
        <v>0.28031217659085073</v>
      </c>
      <c r="K243">
        <f ca="1"/>
        <v>0</v>
      </c>
      <c r="L243">
        <f ca="1"/>
        <v>0</v>
      </c>
    </row>
    <row r="244" spans="2:12" x14ac:dyDescent="0.3">
      <c r="B244">
        <v>0.23400000000000001</v>
      </c>
      <c r="C244">
        <f ca="1"/>
        <v>0.16559835415600996</v>
      </c>
      <c r="D244">
        <f ca="1"/>
        <v>1</v>
      </c>
      <c r="E244">
        <f ca="1"/>
        <v>102.88479394211795</v>
      </c>
      <c r="F244">
        <f ca="1"/>
        <v>2.078852967301692</v>
      </c>
      <c r="G244">
        <f ca="1"/>
        <v>-2.0205638633744416E-2</v>
      </c>
      <c r="H244">
        <f ca="1"/>
        <v>13.468816429829353</v>
      </c>
      <c r="I244">
        <f ca="1"/>
        <v>-0.12780555628092394</v>
      </c>
      <c r="J244">
        <f ca="1"/>
        <v>0.31956810720873463</v>
      </c>
      <c r="K244">
        <f ca="1"/>
        <v>0</v>
      </c>
      <c r="L244">
        <f ca="1"/>
        <v>0</v>
      </c>
    </row>
    <row r="245" spans="2:12" x14ac:dyDescent="0.3">
      <c r="B245">
        <v>0.23500000000000001</v>
      </c>
      <c r="C245">
        <f ca="1"/>
        <v>0.16883795162101298</v>
      </c>
      <c r="D245">
        <f ca="1"/>
        <v>1</v>
      </c>
      <c r="E245">
        <f ca="1"/>
        <v>102.94941759687049</v>
      </c>
      <c r="F245">
        <f ca="1"/>
        <v>-1.289684618733381</v>
      </c>
      <c r="G245">
        <f ca="1"/>
        <v>1.2527361968996564E-2</v>
      </c>
      <c r="H245">
        <f ca="1"/>
        <v>12.179131811095973</v>
      </c>
      <c r="I245">
        <f ca="1"/>
        <v>-0.11527819431192737</v>
      </c>
      <c r="J245">
        <f ca="1"/>
        <v>0.31130884506418077</v>
      </c>
      <c r="K245">
        <f ca="1"/>
        <v>0</v>
      </c>
      <c r="L245">
        <f ca="1"/>
        <v>0</v>
      </c>
    </row>
    <row r="246" spans="2:12" x14ac:dyDescent="0.3">
      <c r="B246">
        <v>0.23600000000000002</v>
      </c>
      <c r="C246">
        <f ca="1"/>
        <v>0.19518843181336201</v>
      </c>
      <c r="D246">
        <f ca="1"/>
        <v>1</v>
      </c>
      <c r="E246">
        <f ca="1"/>
        <v>103.4913332361767</v>
      </c>
      <c r="F246">
        <f ca="1"/>
        <v>-4.4925800116056473</v>
      </c>
      <c r="G246">
        <f ca="1"/>
        <v>4.3410205194218232E-2</v>
      </c>
      <c r="H246">
        <f ca="1"/>
        <v>7.6865517994903252</v>
      </c>
      <c r="I246">
        <f ca="1"/>
        <v>-7.1867989117709141E-2</v>
      </c>
      <c r="J246">
        <f ca="1"/>
        <v>0.2488377886955675</v>
      </c>
      <c r="K246">
        <f ca="1"/>
        <v>0</v>
      </c>
      <c r="L246">
        <f ca="1"/>
        <v>0</v>
      </c>
    </row>
    <row r="247" spans="2:12" x14ac:dyDescent="0.3">
      <c r="B247">
        <v>0.23700000000000002</v>
      </c>
      <c r="C247">
        <f ca="1"/>
        <v>0.22594635378915368</v>
      </c>
      <c r="D247">
        <f ca="1"/>
        <v>1</v>
      </c>
      <c r="E247">
        <f ca="1"/>
        <v>104.12784850942167</v>
      </c>
      <c r="F247">
        <f ca="1"/>
        <v>-3.6189778132336761</v>
      </c>
      <c r="G247">
        <f ca="1"/>
        <v>3.4755138659243734E-2</v>
      </c>
      <c r="H247">
        <f ca="1"/>
        <v>4.0675739862566491</v>
      </c>
      <c r="I247">
        <f ca="1"/>
        <v>-3.7112850458465407E-2</v>
      </c>
      <c r="J247">
        <f ca="1"/>
        <v>0.20309271596474288</v>
      </c>
      <c r="K247">
        <f ca="1"/>
        <v>0</v>
      </c>
      <c r="L247">
        <f ca="1"/>
        <v>0</v>
      </c>
    </row>
    <row r="248" spans="2:12" x14ac:dyDescent="0.3">
      <c r="B248">
        <v>0.23800000000000002</v>
      </c>
      <c r="C248">
        <f ca="1"/>
        <v>0.21815307029035119</v>
      </c>
      <c r="D248">
        <f ca="1"/>
        <v>1</v>
      </c>
      <c r="E248">
        <f ca="1"/>
        <v>103.96359606696188</v>
      </c>
      <c r="F248">
        <f ca="1"/>
        <v>6.1100122942202794E-4</v>
      </c>
      <c r="G248">
        <f ca="1"/>
        <v>-5.8770690177789575E-6</v>
      </c>
      <c r="H248">
        <f ca="1"/>
        <v>4.0681849874860712</v>
      </c>
      <c r="I248">
        <f ca="1"/>
        <v>-3.7118727527483186E-2</v>
      </c>
      <c r="J248">
        <f ca="1"/>
        <v>0.20918859229919029</v>
      </c>
      <c r="K248">
        <f ca="1"/>
        <v>0</v>
      </c>
      <c r="L248">
        <f ca="1"/>
        <v>0</v>
      </c>
    </row>
    <row r="249" spans="2:12" x14ac:dyDescent="0.3">
      <c r="B249">
        <v>0.23900000000000002</v>
      </c>
      <c r="C249">
        <f ca="1"/>
        <v>0.19529658612773507</v>
      </c>
      <c r="D249">
        <f ca="1"/>
        <v>1</v>
      </c>
      <c r="E249">
        <f ca="1"/>
        <v>103.48736243919899</v>
      </c>
      <c r="F249">
        <f ca="1"/>
        <v>1.3347911309400091</v>
      </c>
      <c r="G249">
        <f ca="1"/>
        <v>-1.2898107551288951E-2</v>
      </c>
      <c r="H249">
        <f ca="1"/>
        <v>5.4029761184260803</v>
      </c>
      <c r="I249">
        <f ca="1"/>
        <v>-5.0016835078772137E-2</v>
      </c>
      <c r="J249">
        <f ca="1"/>
        <v>0.22686577856754653</v>
      </c>
      <c r="K249">
        <f ca="1"/>
        <v>0</v>
      </c>
      <c r="L249">
        <f ca="1"/>
        <v>0</v>
      </c>
    </row>
    <row r="250" spans="2:12" x14ac:dyDescent="0.3">
      <c r="B250">
        <v>0.24</v>
      </c>
      <c r="C250">
        <f ca="1"/>
        <v>0.18975215876250134</v>
      </c>
      <c r="D250">
        <f ca="1"/>
        <v>1</v>
      </c>
      <c r="E250">
        <f ca="1"/>
        <v>103.37060297552831</v>
      </c>
      <c r="F250">
        <f ca="1"/>
        <v>-0.23893777126549151</v>
      </c>
      <c r="G250">
        <f ca="1"/>
        <v>2.3114673261803165E-3</v>
      </c>
      <c r="H250">
        <f ca="1"/>
        <v>5.1640383471605888</v>
      </c>
      <c r="I250">
        <f ca="1"/>
        <v>-4.7705367752591821E-2</v>
      </c>
      <c r="J250">
        <f ca="1"/>
        <v>0.23270571740584867</v>
      </c>
      <c r="K250">
        <f ca="1"/>
        <v>0</v>
      </c>
      <c r="L250">
        <f ca="1"/>
        <v>0</v>
      </c>
    </row>
    <row r="251" spans="2:12" x14ac:dyDescent="0.3">
      <c r="B251">
        <v>0.24099999999999999</v>
      </c>
      <c r="C251">
        <f ca="1"/>
        <v>0.28350788786996617</v>
      </c>
      <c r="D251">
        <f ca="1"/>
        <v>1</v>
      </c>
      <c r="E251">
        <f ca="1"/>
        <v>105.3251006588351</v>
      </c>
      <c r="F251">
        <f ca="1"/>
        <v>-4.7048235199210664</v>
      </c>
      <c r="G251">
        <f ca="1"/>
        <v>4.4669537370400858E-2</v>
      </c>
      <c r="H251">
        <f ca="1"/>
        <v>0.45921482723952245</v>
      </c>
      <c r="I251">
        <f ca="1"/>
        <v>-3.0358303821909627E-3</v>
      </c>
      <c r="J251">
        <f ca="1"/>
        <v>0.13946568665210946</v>
      </c>
      <c r="K251">
        <f ca="1"/>
        <v>0</v>
      </c>
      <c r="L251">
        <f ca="1"/>
        <v>0</v>
      </c>
    </row>
    <row r="252" spans="2:12" x14ac:dyDescent="0.3">
      <c r="B252">
        <v>0.24199999999999999</v>
      </c>
      <c r="C252">
        <f ca="1"/>
        <v>0.30784363646632962</v>
      </c>
      <c r="D252">
        <f ca="1"/>
        <v>1</v>
      </c>
      <c r="E252">
        <f ca="1"/>
        <v>105.83686649174409</v>
      </c>
      <c r="F252">
        <f ca="1"/>
        <v>-0.24341458977721156</v>
      </c>
      <c r="G252">
        <f ca="1"/>
        <v>2.2999035954659464E-3</v>
      </c>
      <c r="H252">
        <f ca="1"/>
        <v>0.21580023746231089</v>
      </c>
      <c r="I252">
        <f ca="1"/>
        <v>-7.3592678672501632E-4</v>
      </c>
      <c r="J252">
        <f ca="1"/>
        <v>0.13791205238799711</v>
      </c>
      <c r="K252">
        <f ca="1"/>
        <v>0</v>
      </c>
      <c r="L252">
        <f ca="1"/>
        <v>0</v>
      </c>
    </row>
    <row r="253" spans="2:12" x14ac:dyDescent="0.3">
      <c r="B253">
        <v>0.24299999999999999</v>
      </c>
      <c r="C253">
        <f ca="1"/>
        <v>0.23866786552467445</v>
      </c>
      <c r="D253">
        <f ca="1"/>
        <v>1</v>
      </c>
      <c r="E253">
        <f ca="1"/>
        <v>104.38059213666004</v>
      </c>
      <c r="F253">
        <f ca="1"/>
        <v>0.4531049468368798</v>
      </c>
      <c r="G253">
        <f ca="1"/>
        <v>-4.3408926655987279E-3</v>
      </c>
      <c r="H253">
        <f ca="1"/>
        <v>0.66890518429919066</v>
      </c>
      <c r="I253">
        <f ca="1"/>
        <v>-5.0768194523237442E-3</v>
      </c>
      <c r="J253">
        <f ca="1"/>
        <v>0.13898376369472409</v>
      </c>
      <c r="K253">
        <f ca="1"/>
        <v>0</v>
      </c>
      <c r="L253">
        <f ca="1"/>
        <v>0</v>
      </c>
    </row>
    <row r="254" spans="2:12" x14ac:dyDescent="0.3">
      <c r="B254">
        <v>0.24399999999999999</v>
      </c>
      <c r="C254">
        <f ca="1"/>
        <v>0.24659068254462152</v>
      </c>
      <c r="D254">
        <f ca="1"/>
        <v>1</v>
      </c>
      <c r="E254">
        <f ca="1"/>
        <v>104.54403001232396</v>
      </c>
      <c r="F254">
        <f ca="1"/>
        <v>-0.32036935772018799</v>
      </c>
      <c r="G254">
        <f ca="1"/>
        <v>3.0644443081295214E-3</v>
      </c>
      <c r="H254">
        <f ca="1"/>
        <v>0.34853582657900267</v>
      </c>
      <c r="I254">
        <f ca="1"/>
        <v>-2.0123751441942228E-3</v>
      </c>
      <c r="J254">
        <f ca="1"/>
        <v>0.1381540191083071</v>
      </c>
      <c r="K254">
        <f ca="1"/>
        <v>0</v>
      </c>
      <c r="L254">
        <f ca="1"/>
        <v>0</v>
      </c>
    </row>
    <row r="255" spans="2:12" x14ac:dyDescent="0.3">
      <c r="B255">
        <v>0.245</v>
      </c>
      <c r="C255">
        <f ca="1"/>
        <v>0.19123515993324924</v>
      </c>
      <c r="D255">
        <f ca="1"/>
        <v>1</v>
      </c>
      <c r="E255">
        <f ca="1"/>
        <v>103.39092765813069</v>
      </c>
      <c r="F255">
        <f ca="1"/>
        <v>0.72385473277203238</v>
      </c>
      <c r="G255">
        <f ca="1"/>
        <v>-7.0011436125760329E-3</v>
      </c>
      <c r="H255">
        <f ca="1"/>
        <v>1.072390559351035</v>
      </c>
      <c r="I255">
        <f ca="1"/>
        <v>-9.0135187567702557E-3</v>
      </c>
      <c r="J255">
        <f ca="1"/>
        <v>0.14047449362459741</v>
      </c>
      <c r="K255">
        <f ca="1"/>
        <v>0</v>
      </c>
      <c r="L255">
        <f ca="1"/>
        <v>0</v>
      </c>
    </row>
    <row r="256" spans="2:12" x14ac:dyDescent="0.3">
      <c r="B256">
        <v>0.246</v>
      </c>
      <c r="C256">
        <f ca="1"/>
        <v>0.22994345087367721</v>
      </c>
      <c r="D256">
        <f ca="1"/>
        <v>1</v>
      </c>
      <c r="E256">
        <f ca="1"/>
        <v>104.19236730066206</v>
      </c>
      <c r="F256">
        <f ca="1"/>
        <v>-0.87966815716432167</v>
      </c>
      <c r="G256">
        <f ca="1"/>
        <v>8.4427312667338938E-3</v>
      </c>
      <c r="H256">
        <f ca="1"/>
        <v>0.19272240218671333</v>
      </c>
      <c r="I256">
        <f ca="1"/>
        <v>-5.7078749003636187E-4</v>
      </c>
      <c r="J256">
        <f ca="1"/>
        <v>0.13325070237422174</v>
      </c>
      <c r="K256">
        <f ca="1"/>
        <v>0</v>
      </c>
      <c r="L256">
        <f ca="1"/>
        <v>0</v>
      </c>
    </row>
    <row r="257" spans="2:12" x14ac:dyDescent="0.3">
      <c r="B257">
        <v>0.247</v>
      </c>
      <c r="C257">
        <f ca="1"/>
        <v>0.23876659648277501</v>
      </c>
      <c r="D257">
        <f ca="1"/>
        <v>1</v>
      </c>
      <c r="E257">
        <f ca="1"/>
        <v>104.37430299793706</v>
      </c>
      <c r="F257">
        <f ca="1"/>
        <v>-5.4833708621538739E-2</v>
      </c>
      <c r="G257">
        <f ca="1"/>
        <v>5.2535640523149185E-4</v>
      </c>
      <c r="H257">
        <f ca="1"/>
        <v>0.13788869356517458</v>
      </c>
      <c r="I257">
        <f ca="1"/>
        <v>-4.5431084804870014E-5</v>
      </c>
      <c r="J257">
        <f ca="1"/>
        <v>0.13314685575422611</v>
      </c>
      <c r="K257">
        <f ca="1"/>
        <v>0</v>
      </c>
      <c r="L257">
        <f ca="1"/>
        <v>0</v>
      </c>
    </row>
    <row r="258" spans="2:12" x14ac:dyDescent="0.3">
      <c r="B258">
        <v>0.248</v>
      </c>
      <c r="C258">
        <f ca="1"/>
        <v>0.22386148307194459</v>
      </c>
      <c r="D258">
        <f ca="1"/>
        <v>1</v>
      </c>
      <c r="E258">
        <f ca="1"/>
        <v>104.06154288203592</v>
      </c>
      <c r="F258">
        <f ca="1"/>
        <v>-4.2923902040982028E-3</v>
      </c>
      <c r="G258">
        <f ca="1"/>
        <v>4.1248573538488209E-5</v>
      </c>
      <c r="H258">
        <f ca="1"/>
        <v>0.13359630336107639</v>
      </c>
      <c r="I258">
        <f ca="1"/>
        <v>-4.1825112663818054E-6</v>
      </c>
      <c r="J258">
        <f ca="1"/>
        <v>0.13316106478557521</v>
      </c>
      <c r="K258">
        <f ca="1"/>
        <v>0</v>
      </c>
      <c r="L258">
        <f ca="1"/>
        <v>0</v>
      </c>
    </row>
    <row r="259" spans="2:12" x14ac:dyDescent="0.3">
      <c r="B259">
        <v>0.249</v>
      </c>
      <c r="C259">
        <f ca="1"/>
        <v>0.25912224410534451</v>
      </c>
      <c r="D259">
        <f ca="1"/>
        <v>1</v>
      </c>
      <c r="E259">
        <f ca="1"/>
        <v>104.7958985145091</v>
      </c>
      <c r="F259">
        <f ca="1"/>
        <v>-4.3831001958740458E-4</v>
      </c>
      <c r="G259">
        <f ca="1"/>
        <v>4.1825112032101153E-6</v>
      </c>
      <c r="H259">
        <f ca="1"/>
        <v>0.13315799334148898</v>
      </c>
      <c r="I259">
        <f ca="1"/>
        <v>-6.3171690101171407E-14</v>
      </c>
      <c r="J259">
        <f ca="1"/>
        <v>0.13315799333486886</v>
      </c>
      <c r="K259">
        <f ca="1"/>
        <v>0</v>
      </c>
      <c r="L259">
        <f ca="1"/>
        <v>0</v>
      </c>
    </row>
    <row r="260" spans="2:12" x14ac:dyDescent="0.3">
      <c r="B260">
        <v>0.25</v>
      </c>
      <c r="C260">
        <f ca="1"/>
        <v>0.19033925876015667</v>
      </c>
      <c r="D260">
        <f ca="1"/>
        <v>1</v>
      </c>
      <c r="E260">
        <f ca="1"/>
        <v>103.36206698354209</v>
      </c>
      <c r="F260">
        <f ca="1"/>
        <v>-0.13315799334148898</v>
      </c>
      <c r="G260">
        <f ca="1"/>
        <v>6.3171690101171407E-14</v>
      </c>
      <c r="H260">
        <f ca="1"/>
        <v>0</v>
      </c>
      <c r="I260">
        <f ca="1"/>
        <v>0</v>
      </c>
      <c r="J260">
        <f ca="1"/>
        <v>0</v>
      </c>
      <c r="K260">
        <f ca="1"/>
        <v>0.13315799333495942</v>
      </c>
      <c r="L260">
        <f ca="1"/>
        <v>0</v>
      </c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2176-9762-418D-A70D-BD325D503A4F}">
  <dimension ref="B1:P260"/>
  <sheetViews>
    <sheetView tabSelected="1" workbookViewId="0">
      <selection activeCell="C7" sqref="C7"/>
    </sheetView>
  </sheetViews>
  <sheetFormatPr defaultRowHeight="18.75" x14ac:dyDescent="0.3"/>
  <cols>
    <col min="1" max="1" width="3.59765625" customWidth="1"/>
    <col min="2" max="2" width="9.8984375" bestFit="1" customWidth="1"/>
    <col min="7" max="7" width="11.69921875" bestFit="1" customWidth="1"/>
    <col min="10" max="10" width="10.19921875" bestFit="1" customWidth="1"/>
    <col min="13" max="13" width="11.69921875" bestFit="1" customWidth="1"/>
  </cols>
  <sheetData>
    <row r="1" spans="2:16" x14ac:dyDescent="0.3">
      <c r="B1" s="16" cm="1">
        <f t="array" aca="1" ref="B1" ca="1">_xll.MONTE.COUNT()</f>
        <v>12500</v>
      </c>
    </row>
    <row r="2" spans="2:16" x14ac:dyDescent="0.3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6" x14ac:dyDescent="0.3">
      <c r="B3" s="3" t="s">
        <v>16</v>
      </c>
      <c r="C3">
        <v>100</v>
      </c>
      <c r="F3" s="3" t="s">
        <v>28</v>
      </c>
      <c r="G3" s="7" cm="1">
        <f t="array" aca="1" ref="G3" ca="1">_xlfn.TAKE(S_,-1)</f>
        <v>93.161208142352365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3">
      <c r="B4" s="3" t="s">
        <v>14</v>
      </c>
      <c r="C4">
        <v>0.2</v>
      </c>
      <c r="F4" s="3" t="s">
        <v>24</v>
      </c>
      <c r="G4" s="10">
        <f ca="1">MAX(k - last,0)</f>
        <v>6.8387918576476352</v>
      </c>
      <c r="H4" s="10">
        <f t="array" aca="1" ref="H4:I4" ca="1">_xll.MONTE.STDEV(G4)</f>
        <v>4.0114943936303753</v>
      </c>
      <c r="I4" s="10">
        <f ca="1"/>
        <v>5.5546809834750386</v>
      </c>
      <c r="M4">
        <v>1E-3</v>
      </c>
      <c r="N4" s="6">
        <v>2</v>
      </c>
      <c r="O4" s="6">
        <v>1</v>
      </c>
      <c r="P4" s="6">
        <v>2</v>
      </c>
    </row>
    <row r="5" spans="2:16" x14ac:dyDescent="0.3">
      <c r="B5" s="3" t="s">
        <v>1</v>
      </c>
      <c r="C5">
        <v>0.25</v>
      </c>
      <c r="F5" s="3" t="s">
        <v>25</v>
      </c>
      <c r="G5" s="10" cm="1">
        <f t="array" aca="1" ref="G5" ca="1">_xlfn.TAKE(A,-1)</f>
        <v>-1.6815185673838897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3">
      <c r="B6" s="3" t="s">
        <v>21</v>
      </c>
      <c r="C6">
        <f>0.001</f>
        <v>1E-3</v>
      </c>
      <c r="F6" s="3" t="s">
        <v>29</v>
      </c>
      <c r="G6" s="10">
        <f ca="1">payoff-hedge</f>
        <v>8.5203104250315249</v>
      </c>
      <c r="H6" s="7">
        <f t="array" aca="1" ref="H6:I6" ca="1">_xll.MONTE.STDEV(error)</f>
        <v>2.5032805785303897E-2</v>
      </c>
      <c r="I6" s="12">
        <f ca="1"/>
        <v>12.09934413129969</v>
      </c>
      <c r="J6" s="15">
        <f ca="1">I6/put</f>
        <v>3.0341195529409197</v>
      </c>
      <c r="K6" s="14" t="s">
        <v>30</v>
      </c>
      <c r="M6">
        <v>0.1</v>
      </c>
    </row>
    <row r="7" spans="2:16" x14ac:dyDescent="0.3">
      <c r="B7" s="3" t="s">
        <v>17</v>
      </c>
      <c r="C7">
        <v>100</v>
      </c>
      <c r="K7" t="s">
        <v>33</v>
      </c>
    </row>
    <row r="8" spans="2:16" x14ac:dyDescent="0.3">
      <c r="D8" s="20" t="s">
        <v>0</v>
      </c>
      <c r="E8" s="20"/>
      <c r="F8" s="21" t="s">
        <v>10</v>
      </c>
      <c r="G8" s="21"/>
      <c r="H8" s="21" t="s">
        <v>13</v>
      </c>
      <c r="I8" s="21"/>
      <c r="J8" s="1" t="s">
        <v>11</v>
      </c>
      <c r="K8" s="2" t="s">
        <v>12</v>
      </c>
    </row>
    <row r="9" spans="2:16" x14ac:dyDescent="0.3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3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3.987761167674492</v>
      </c>
      <c r="G10" s="7" cm="1">
        <f t="array" aca="1" ref="G10:G260" ca="1">co(ad(_N))</f>
        <v>0</v>
      </c>
      <c r="H10" s="10" cm="1">
        <f t="array" aca="1" ref="H10:H260" ca="1">_xlfn.SCAN(0,M,_xlfn.LAMBDA(_xlpm.a,_xlpm.b,_xlpm.a+_xlpm.b))</f>
        <v>3.987761167674492</v>
      </c>
      <c r="I10" s="7" cm="1">
        <f t="array" aca="1" ref="I10:I260" ca="1">(S_ &lt; k) * 1</f>
        <v>0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3.987761167674492</v>
      </c>
      <c r="N10" s="19">
        <f ca="1">F10-M10</f>
        <v>0</v>
      </c>
    </row>
    <row r="11" spans="2:16" x14ac:dyDescent="0.3">
      <c r="B11">
        <v>1E-3</v>
      </c>
      <c r="C11">
        <f ca="1"/>
        <v>1.4652294975446721E-3</v>
      </c>
      <c r="D11">
        <f ca="1"/>
        <v>1</v>
      </c>
      <c r="E11" s="11">
        <f ca="1"/>
        <v>100.02730831799336</v>
      </c>
      <c r="F11" s="10">
        <f ca="1"/>
        <v>0</v>
      </c>
      <c r="G11" s="7">
        <f ca="1"/>
        <v>0</v>
      </c>
      <c r="H11" s="10">
        <f ca="1"/>
        <v>3.987761167674492</v>
      </c>
      <c r="I11" s="7">
        <f ca="1"/>
        <v>0</v>
      </c>
      <c r="J11" s="7">
        <f ca="1"/>
        <v>3.987761167674492</v>
      </c>
      <c r="K11">
        <f ca="1"/>
        <v>0</v>
      </c>
      <c r="L11">
        <f ca="1"/>
        <v>0</v>
      </c>
      <c r="M11" s="19">
        <f ca="1" xml:space="preserve"> - G11*E11</f>
        <v>0</v>
      </c>
      <c r="N11" s="19">
        <f ca="1">F11-M11</f>
        <v>0</v>
      </c>
    </row>
    <row r="12" spans="2:16" x14ac:dyDescent="0.3">
      <c r="B12">
        <v>2E-3</v>
      </c>
      <c r="C12">
        <f ca="1"/>
        <v>1.432356753679926E-2</v>
      </c>
      <c r="D12">
        <f ca="1"/>
        <v>1</v>
      </c>
      <c r="E12" s="11">
        <f ca="1"/>
        <v>100.28287067696147</v>
      </c>
      <c r="F12" s="10">
        <f ca="1"/>
        <v>0</v>
      </c>
      <c r="G12" s="7">
        <f ca="1"/>
        <v>0</v>
      </c>
      <c r="H12" s="10">
        <f ca="1"/>
        <v>3.987761167674492</v>
      </c>
      <c r="I12" s="7">
        <f ca="1"/>
        <v>0</v>
      </c>
      <c r="J12" s="7">
        <f ca="1"/>
        <v>3.987761167674492</v>
      </c>
      <c r="K12">
        <f ca="1"/>
        <v>0</v>
      </c>
      <c r="L12">
        <f ca="1"/>
        <v>0</v>
      </c>
    </row>
    <row r="13" spans="2:16" x14ac:dyDescent="0.3">
      <c r="B13">
        <v>3.0000000000000001E-3</v>
      </c>
      <c r="C13">
        <f ca="1"/>
        <v>-9.9571479091831346E-4</v>
      </c>
      <c r="D13">
        <f ca="1"/>
        <v>1</v>
      </c>
      <c r="E13" s="11">
        <f ca="1"/>
        <v>99.974089061645245</v>
      </c>
      <c r="F13" s="10">
        <f ca="1"/>
        <v>-99.974089061645245</v>
      </c>
      <c r="G13" s="7">
        <f ca="1"/>
        <v>1</v>
      </c>
      <c r="H13" s="10">
        <f ca="1"/>
        <v>-95.986327893970753</v>
      </c>
      <c r="I13" s="7">
        <f ca="1"/>
        <v>1</v>
      </c>
      <c r="J13" s="7">
        <f ca="1"/>
        <v>3.987761167674492</v>
      </c>
      <c r="K13">
        <f ca="1"/>
        <v>0</v>
      </c>
      <c r="L13">
        <f ca="1"/>
        <v>2.5910938354755331E-2</v>
      </c>
    </row>
    <row r="14" spans="2:16" x14ac:dyDescent="0.3">
      <c r="B14">
        <v>4.0000000000000001E-3</v>
      </c>
      <c r="C14">
        <f ca="1"/>
        <v>-1.3484472482127663E-2</v>
      </c>
      <c r="D14">
        <f ca="1"/>
        <v>1</v>
      </c>
      <c r="E14" s="11">
        <f ca="1"/>
        <v>99.722695750873442</v>
      </c>
      <c r="F14" s="10">
        <f ca="1"/>
        <v>0</v>
      </c>
      <c r="G14" s="7">
        <f ca="1"/>
        <v>0</v>
      </c>
      <c r="H14" s="10">
        <f ca="1"/>
        <v>-95.986327893970753</v>
      </c>
      <c r="I14" s="7">
        <f ca="1"/>
        <v>1</v>
      </c>
      <c r="J14" s="7">
        <f ca="1"/>
        <v>3.7363678569026888</v>
      </c>
      <c r="K14">
        <f ca="1"/>
        <v>0</v>
      </c>
      <c r="L14">
        <f ca="1"/>
        <v>0.27730424912655849</v>
      </c>
      <c r="M14" s="19">
        <f ca="1">f*EXP(sigma*C14-sigma^2*B14/2)</f>
        <v>99.722695750873442</v>
      </c>
      <c r="N14" s="19">
        <f ca="1">E14-M14</f>
        <v>0</v>
      </c>
    </row>
    <row r="15" spans="2:16" x14ac:dyDescent="0.3">
      <c r="B15">
        <v>5.0000000000000001E-3</v>
      </c>
      <c r="C15">
        <f ca="1"/>
        <v>8.2532292244492777E-3</v>
      </c>
      <c r="D15">
        <f ca="1"/>
        <v>1</v>
      </c>
      <c r="E15" s="11">
        <f ca="1"/>
        <v>100.1551848717821</v>
      </c>
      <c r="F15" s="10">
        <f ca="1"/>
        <v>100.1551848717821</v>
      </c>
      <c r="G15" s="7">
        <f ca="1"/>
        <v>-1</v>
      </c>
      <c r="H15" s="10">
        <f ca="1"/>
        <v>4.1688569778113447</v>
      </c>
      <c r="I15" s="7">
        <f ca="1"/>
        <v>0</v>
      </c>
      <c r="J15" s="7">
        <f ca="1"/>
        <v>4.1688569778113447</v>
      </c>
      <c r="K15">
        <f ca="1"/>
        <v>0</v>
      </c>
      <c r="L15">
        <f ca="1"/>
        <v>0</v>
      </c>
    </row>
    <row r="16" spans="2:16" x14ac:dyDescent="0.3">
      <c r="B16">
        <v>6.0000000000000001E-3</v>
      </c>
      <c r="C16">
        <f ca="1"/>
        <v>2.4820750526025033E-3</v>
      </c>
      <c r="D16">
        <f ca="1"/>
        <v>1</v>
      </c>
      <c r="E16" s="11">
        <f ca="1"/>
        <v>100.03764858635404</v>
      </c>
      <c r="F16" s="10">
        <f ca="1"/>
        <v>0</v>
      </c>
      <c r="G16" s="7">
        <f ca="1"/>
        <v>0</v>
      </c>
      <c r="H16" s="10">
        <f ca="1"/>
        <v>4.1688569778113447</v>
      </c>
      <c r="I16" s="7">
        <f ca="1"/>
        <v>0</v>
      </c>
      <c r="J16" s="7">
        <f ca="1"/>
        <v>4.1688569778113447</v>
      </c>
      <c r="K16">
        <f ca="1"/>
        <v>0</v>
      </c>
      <c r="L16">
        <f ca="1"/>
        <v>0</v>
      </c>
      <c r="M16" s="19" cm="1">
        <f t="array" aca="1" ref="M16" ca="1">_xll.OPTION.BLACK.PUT_DELTA(E16,sigma*SQRT(t - B16),k)</f>
        <v>-0.47878368607479443</v>
      </c>
      <c r="N16" s="19">
        <f ca="1">I16-M16</f>
        <v>0.47878368607479443</v>
      </c>
    </row>
    <row r="17" spans="2:16" x14ac:dyDescent="0.3">
      <c r="B17">
        <v>7.0000000000000001E-3</v>
      </c>
      <c r="C17">
        <f ca="1"/>
        <v>-3.6433084171578712E-3</v>
      </c>
      <c r="D17">
        <f ca="1"/>
        <v>1</v>
      </c>
      <c r="E17" s="11">
        <f ca="1"/>
        <v>99.913171549390739</v>
      </c>
      <c r="F17" s="10">
        <f ca="1"/>
        <v>-99.913171549390739</v>
      </c>
      <c r="G17" s="7">
        <f ca="1"/>
        <v>1</v>
      </c>
      <c r="H17" s="10">
        <f ca="1"/>
        <v>-95.744314571579395</v>
      </c>
      <c r="I17" s="7">
        <f ca="1"/>
        <v>1</v>
      </c>
      <c r="J17" s="7">
        <f ca="1"/>
        <v>4.1688569778113447</v>
      </c>
      <c r="K17">
        <f ca="1"/>
        <v>0</v>
      </c>
      <c r="L17">
        <f ca="1"/>
        <v>8.6828450609260699E-2</v>
      </c>
    </row>
    <row r="18" spans="2:16" x14ac:dyDescent="0.3">
      <c r="B18">
        <v>8.0000000000000002E-3</v>
      </c>
      <c r="C18">
        <f ca="1"/>
        <v>2.5019773535620099E-2</v>
      </c>
      <c r="D18">
        <f ca="1"/>
        <v>1</v>
      </c>
      <c r="E18" s="11">
        <f ca="1"/>
        <v>100.48557056216976</v>
      </c>
      <c r="F18" s="10">
        <f ca="1"/>
        <v>100.48557056216976</v>
      </c>
      <c r="G18" s="7">
        <f ca="1"/>
        <v>-1</v>
      </c>
      <c r="H18" s="10">
        <f ca="1"/>
        <v>4.7412559905903606</v>
      </c>
      <c r="I18" s="7">
        <f ca="1"/>
        <v>0</v>
      </c>
      <c r="J18" s="7">
        <f ca="1"/>
        <v>4.7412559905903606</v>
      </c>
      <c r="K18">
        <f ca="1"/>
        <v>0</v>
      </c>
      <c r="L18">
        <f ca="1"/>
        <v>0</v>
      </c>
    </row>
    <row r="19" spans="2:16" x14ac:dyDescent="0.3">
      <c r="B19">
        <v>9.0000000000000011E-3</v>
      </c>
      <c r="C19">
        <f ca="1"/>
        <v>4.4102401704303164E-2</v>
      </c>
      <c r="D19">
        <f ca="1"/>
        <v>1</v>
      </c>
      <c r="E19" s="11">
        <f ca="1"/>
        <v>100.86779170371183</v>
      </c>
      <c r="F19" s="10">
        <f ca="1"/>
        <v>0</v>
      </c>
      <c r="G19" s="7">
        <f ca="1"/>
        <v>0</v>
      </c>
      <c r="H19" s="10">
        <f ca="1"/>
        <v>4.7412559905903606</v>
      </c>
      <c r="I19" s="7">
        <f ca="1"/>
        <v>0</v>
      </c>
      <c r="J19" s="7">
        <f ca="1"/>
        <v>4.7412559905903606</v>
      </c>
      <c r="K19">
        <f ca="1"/>
        <v>0</v>
      </c>
      <c r="L19">
        <f ca="1"/>
        <v>0</v>
      </c>
    </row>
    <row r="20" spans="2:16" x14ac:dyDescent="0.3">
      <c r="B20">
        <v>0.01</v>
      </c>
      <c r="C20">
        <f ca="1"/>
        <v>3.8665569730160915E-3</v>
      </c>
      <c r="D20">
        <f ca="1"/>
        <v>1</v>
      </c>
      <c r="E20" s="11">
        <f ca="1"/>
        <v>100.05734757689919</v>
      </c>
      <c r="F20" s="10">
        <f ca="1"/>
        <v>0</v>
      </c>
      <c r="G20" s="7">
        <f ca="1"/>
        <v>0</v>
      </c>
      <c r="H20" s="10">
        <f ca="1"/>
        <v>4.7412559905903606</v>
      </c>
      <c r="I20" s="7">
        <f ca="1"/>
        <v>0</v>
      </c>
      <c r="J20" s="7">
        <f ca="1"/>
        <v>4.7412559905903606</v>
      </c>
      <c r="K20">
        <f ca="1"/>
        <v>0</v>
      </c>
      <c r="L20">
        <f ca="1"/>
        <v>0</v>
      </c>
      <c r="M20" s="6">
        <f t="array" aca="1" ref="M20:M21" ca="1">_xll.MONTE.STDEV(C20)</f>
        <v>-3.9354415742395903E-5</v>
      </c>
      <c r="N20" s="6">
        <v>0</v>
      </c>
      <c r="O20" s="6">
        <f t="array" aca="1" ref="O20:O21" ca="1">_xll.MONTE.STDEV(E20)</f>
        <v>99.999425995998479</v>
      </c>
      <c r="P20" s="6">
        <f>f*EXP(mu*B20)</f>
        <v>100</v>
      </c>
    </row>
    <row r="21" spans="2:16" x14ac:dyDescent="0.3">
      <c r="B21">
        <v>1.0999999999999999E-2</v>
      </c>
      <c r="C21">
        <f ca="1"/>
        <v>-1.9744252958206688E-2</v>
      </c>
      <c r="D21">
        <f ca="1"/>
        <v>1</v>
      </c>
      <c r="E21" s="11">
        <f ca="1"/>
        <v>99.583982700326615</v>
      </c>
      <c r="F21" s="10">
        <f ca="1"/>
        <v>-99.583982700326615</v>
      </c>
      <c r="G21" s="7">
        <f ca="1"/>
        <v>1</v>
      </c>
      <c r="H21" s="10">
        <f ca="1"/>
        <v>-94.842726709736255</v>
      </c>
      <c r="I21" s="7">
        <f ca="1"/>
        <v>1</v>
      </c>
      <c r="J21" s="7">
        <f ca="1"/>
        <v>4.7412559905903606</v>
      </c>
      <c r="K21">
        <f ca="1"/>
        <v>0</v>
      </c>
      <c r="L21">
        <f ca="1"/>
        <v>0.41601729967338485</v>
      </c>
      <c r="M21" s="6">
        <f ca="1"/>
        <v>0.10052887616722182</v>
      </c>
      <c r="N21" s="6">
        <f>SQRT(B20)</f>
        <v>0.1</v>
      </c>
      <c r="O21" s="6">
        <f ca="1"/>
        <v>2.0111622536586031</v>
      </c>
      <c r="P21" s="6"/>
    </row>
    <row r="22" spans="2:16" x14ac:dyDescent="0.3">
      <c r="B22">
        <v>1.2E-2</v>
      </c>
      <c r="C22">
        <f ca="1"/>
        <v>-2.5203868676855177E-2</v>
      </c>
      <c r="D22">
        <f ca="1"/>
        <v>1</v>
      </c>
      <c r="E22" s="11">
        <f ca="1"/>
        <v>99.473314503884055</v>
      </c>
      <c r="F22" s="10">
        <f ca="1"/>
        <v>0</v>
      </c>
      <c r="G22" s="7">
        <f ca="1"/>
        <v>0</v>
      </c>
      <c r="H22" s="10">
        <f ca="1"/>
        <v>-94.842726709736255</v>
      </c>
      <c r="I22" s="7">
        <f ca="1"/>
        <v>1</v>
      </c>
      <c r="J22" s="7">
        <f ca="1"/>
        <v>4.6305877941478002</v>
      </c>
      <c r="K22">
        <f ca="1"/>
        <v>0</v>
      </c>
      <c r="L22">
        <f ca="1"/>
        <v>0.52668549611594528</v>
      </c>
    </row>
    <row r="23" spans="2:16" x14ac:dyDescent="0.3">
      <c r="B23">
        <v>1.3000000000000001E-2</v>
      </c>
      <c r="C23">
        <f ca="1"/>
        <v>-3.0724593001715261E-2</v>
      </c>
      <c r="D23">
        <f ca="1"/>
        <v>1</v>
      </c>
      <c r="E23" s="11">
        <f ca="1"/>
        <v>99.361554916934892</v>
      </c>
      <c r="F23" s="10">
        <f ca="1"/>
        <v>0</v>
      </c>
      <c r="G23" s="7">
        <f ca="1"/>
        <v>0</v>
      </c>
      <c r="H23" s="10">
        <f ca="1"/>
        <v>-94.842726709736255</v>
      </c>
      <c r="I23" s="7">
        <f ca="1"/>
        <v>1</v>
      </c>
      <c r="J23" s="7">
        <f ca="1"/>
        <v>4.5188282071986379</v>
      </c>
      <c r="K23">
        <f ca="1"/>
        <v>0</v>
      </c>
      <c r="L23">
        <f ca="1"/>
        <v>0.63844508306510761</v>
      </c>
    </row>
    <row r="24" spans="2:16" x14ac:dyDescent="0.3">
      <c r="B24">
        <v>1.4E-2</v>
      </c>
      <c r="C24">
        <f ca="1"/>
        <v>-8.6507774097304563E-2</v>
      </c>
      <c r="D24">
        <f ca="1"/>
        <v>1</v>
      </c>
      <c r="E24" s="11">
        <f ca="1"/>
        <v>98.257209890721441</v>
      </c>
      <c r="F24" s="10">
        <f ca="1"/>
        <v>0</v>
      </c>
      <c r="G24" s="7">
        <f ca="1"/>
        <v>0</v>
      </c>
      <c r="H24" s="10">
        <f ca="1"/>
        <v>-94.842726709736255</v>
      </c>
      <c r="I24" s="7">
        <f ca="1"/>
        <v>1</v>
      </c>
      <c r="J24" s="7">
        <f ca="1"/>
        <v>3.4144831809851866</v>
      </c>
      <c r="K24">
        <f ca="1"/>
        <v>0</v>
      </c>
      <c r="L24">
        <f ca="1"/>
        <v>1.7427901092785589</v>
      </c>
    </row>
    <row r="25" spans="2:16" x14ac:dyDescent="0.3">
      <c r="B25">
        <v>1.4999999999999999E-2</v>
      </c>
      <c r="C25">
        <f ca="1"/>
        <v>-0.10155147669321764</v>
      </c>
      <c r="D25">
        <f ca="1"/>
        <v>1</v>
      </c>
      <c r="E25" s="11">
        <f ca="1"/>
        <v>97.960064513095745</v>
      </c>
      <c r="F25" s="10">
        <f ca="1"/>
        <v>0</v>
      </c>
      <c r="G25" s="7">
        <f ca="1"/>
        <v>0</v>
      </c>
      <c r="H25" s="10">
        <f ca="1"/>
        <v>-94.842726709736255</v>
      </c>
      <c r="I25" s="7">
        <f ca="1"/>
        <v>1</v>
      </c>
      <c r="J25" s="7">
        <f ca="1"/>
        <v>3.1173378033594901</v>
      </c>
      <c r="K25">
        <f ca="1"/>
        <v>0</v>
      </c>
      <c r="L25">
        <f ca="1"/>
        <v>2.0399354869042554</v>
      </c>
    </row>
    <row r="26" spans="2:16" x14ac:dyDescent="0.3">
      <c r="B26">
        <v>1.6E-2</v>
      </c>
      <c r="C26">
        <f ca="1"/>
        <v>-0.13832130199982473</v>
      </c>
      <c r="D26">
        <f ca="1"/>
        <v>1</v>
      </c>
      <c r="E26" s="11">
        <f ca="1"/>
        <v>97.240367192566708</v>
      </c>
      <c r="F26" s="10">
        <f ca="1"/>
        <v>0</v>
      </c>
      <c r="G26" s="7">
        <f ca="1"/>
        <v>0</v>
      </c>
      <c r="H26" s="10">
        <f ca="1"/>
        <v>-94.842726709736255</v>
      </c>
      <c r="I26" s="7">
        <f ca="1"/>
        <v>1</v>
      </c>
      <c r="J26" s="7">
        <f ca="1"/>
        <v>2.3976404828304538</v>
      </c>
      <c r="K26">
        <f ca="1"/>
        <v>0</v>
      </c>
      <c r="L26">
        <f ca="1"/>
        <v>2.7596328074332916</v>
      </c>
    </row>
    <row r="27" spans="2:16" x14ac:dyDescent="0.3">
      <c r="B27">
        <v>1.7000000000000001E-2</v>
      </c>
      <c r="C27">
        <f ca="1"/>
        <v>-9.247591266383702E-2</v>
      </c>
      <c r="D27">
        <f ca="1"/>
        <v>1</v>
      </c>
      <c r="E27" s="11">
        <f ca="1"/>
        <v>98.13410910676933</v>
      </c>
      <c r="F27" s="10">
        <f ca="1"/>
        <v>0</v>
      </c>
      <c r="G27" s="7">
        <f ca="1"/>
        <v>0</v>
      </c>
      <c r="H27" s="10">
        <f ca="1"/>
        <v>-94.842726709736255</v>
      </c>
      <c r="I27" s="7">
        <f ca="1"/>
        <v>1</v>
      </c>
      <c r="J27" s="7">
        <f ca="1"/>
        <v>3.2913823970330753</v>
      </c>
      <c r="K27">
        <f ca="1"/>
        <v>0</v>
      </c>
      <c r="L27">
        <f ca="1"/>
        <v>1.8658908932306701</v>
      </c>
    </row>
    <row r="28" spans="2:16" x14ac:dyDescent="0.3">
      <c r="B28">
        <v>1.8000000000000002E-2</v>
      </c>
      <c r="C28">
        <f ca="1"/>
        <v>-0.10391705646461</v>
      </c>
      <c r="D28">
        <f ca="1"/>
        <v>1</v>
      </c>
      <c r="E28" s="11">
        <f ca="1"/>
        <v>97.907854358091541</v>
      </c>
      <c r="F28" s="10">
        <f ca="1"/>
        <v>0</v>
      </c>
      <c r="G28" s="7">
        <f ca="1"/>
        <v>0</v>
      </c>
      <c r="H28" s="10">
        <f ca="1"/>
        <v>-94.842726709736255</v>
      </c>
      <c r="I28" s="7">
        <f ca="1"/>
        <v>1</v>
      </c>
      <c r="J28" s="7">
        <f ca="1"/>
        <v>3.0651276483552863</v>
      </c>
      <c r="K28">
        <f ca="1"/>
        <v>0</v>
      </c>
      <c r="L28">
        <f ca="1"/>
        <v>2.0921456419084592</v>
      </c>
    </row>
    <row r="29" spans="2:16" x14ac:dyDescent="0.3">
      <c r="B29">
        <v>1.9E-2</v>
      </c>
      <c r="C29">
        <f ca="1"/>
        <v>-0.11410889671398358</v>
      </c>
      <c r="D29">
        <f ca="1"/>
        <v>1</v>
      </c>
      <c r="E29" s="11">
        <f ca="1"/>
        <v>97.706531228479705</v>
      </c>
      <c r="F29" s="10">
        <f ca="1"/>
        <v>0</v>
      </c>
      <c r="G29" s="7">
        <f ca="1"/>
        <v>0</v>
      </c>
      <c r="H29" s="10">
        <f ca="1"/>
        <v>-94.842726709736255</v>
      </c>
      <c r="I29" s="7">
        <f ca="1"/>
        <v>1</v>
      </c>
      <c r="J29" s="7">
        <f ca="1"/>
        <v>2.86380451874345</v>
      </c>
      <c r="K29">
        <f ca="1"/>
        <v>0</v>
      </c>
      <c r="L29">
        <f ca="1"/>
        <v>2.2934687715202955</v>
      </c>
    </row>
    <row r="30" spans="2:16" x14ac:dyDescent="0.3">
      <c r="B30">
        <v>0.02</v>
      </c>
      <c r="C30">
        <f ca="1"/>
        <v>-0.15293533181698635</v>
      </c>
      <c r="D30">
        <f ca="1"/>
        <v>1</v>
      </c>
      <c r="E30" s="11">
        <f ca="1"/>
        <v>96.948811200187009</v>
      </c>
      <c r="F30" s="10">
        <f ca="1"/>
        <v>0</v>
      </c>
      <c r="G30" s="7">
        <f ca="1"/>
        <v>0</v>
      </c>
      <c r="H30" s="10">
        <f ca="1"/>
        <v>-94.842726709736255</v>
      </c>
      <c r="I30" s="7">
        <f ca="1"/>
        <v>1</v>
      </c>
      <c r="J30" s="7">
        <f ca="1"/>
        <v>2.1060844904507547</v>
      </c>
      <c r="K30">
        <f ca="1"/>
        <v>0</v>
      </c>
      <c r="L30">
        <f ca="1"/>
        <v>3.0511887998129907</v>
      </c>
    </row>
    <row r="31" spans="2:16" x14ac:dyDescent="0.3">
      <c r="B31">
        <v>2.1000000000000001E-2</v>
      </c>
      <c r="C31">
        <f ca="1"/>
        <v>-0.14253768026145042</v>
      </c>
      <c r="D31">
        <f ca="1"/>
        <v>1</v>
      </c>
      <c r="E31" s="11">
        <f ca="1"/>
        <v>97.148685968901745</v>
      </c>
      <c r="F31" s="10">
        <f ca="1"/>
        <v>0</v>
      </c>
      <c r="G31" s="7">
        <f ca="1"/>
        <v>0</v>
      </c>
      <c r="H31" s="10">
        <f ca="1"/>
        <v>-94.842726709736255</v>
      </c>
      <c r="I31" s="7">
        <f ca="1"/>
        <v>1</v>
      </c>
      <c r="J31" s="7">
        <f ca="1"/>
        <v>2.3059592591654905</v>
      </c>
      <c r="K31">
        <f ca="1"/>
        <v>0</v>
      </c>
      <c r="L31">
        <f ca="1"/>
        <v>2.851314031098255</v>
      </c>
    </row>
    <row r="32" spans="2:16" x14ac:dyDescent="0.3">
      <c r="B32">
        <v>2.1999999999999999E-2</v>
      </c>
      <c r="C32">
        <f ca="1"/>
        <v>-0.17194383526096838</v>
      </c>
      <c r="D32">
        <f ca="1"/>
        <v>1</v>
      </c>
      <c r="E32" s="11">
        <f ca="1"/>
        <v>96.577077387634219</v>
      </c>
      <c r="F32" s="10">
        <f ca="1"/>
        <v>0</v>
      </c>
      <c r="G32" s="7">
        <f ca="1"/>
        <v>0</v>
      </c>
      <c r="H32" s="10">
        <f ca="1"/>
        <v>-94.842726709736255</v>
      </c>
      <c r="I32" s="7">
        <f ca="1"/>
        <v>1</v>
      </c>
      <c r="J32" s="7">
        <f ca="1"/>
        <v>1.7343506778979645</v>
      </c>
      <c r="K32">
        <f ca="1"/>
        <v>0</v>
      </c>
      <c r="L32">
        <f ca="1"/>
        <v>3.422922612365781</v>
      </c>
    </row>
    <row r="33" spans="2:12" x14ac:dyDescent="0.3">
      <c r="B33">
        <v>2.3E-2</v>
      </c>
      <c r="C33">
        <f ca="1"/>
        <v>-0.19229367214806672</v>
      </c>
      <c r="D33">
        <f ca="1"/>
        <v>1</v>
      </c>
      <c r="E33" s="11">
        <f ca="1"/>
        <v>96.18288695421468</v>
      </c>
      <c r="F33" s="10">
        <f ca="1"/>
        <v>0</v>
      </c>
      <c r="G33" s="7">
        <f ca="1"/>
        <v>0</v>
      </c>
      <c r="H33" s="10">
        <f ca="1"/>
        <v>-94.842726709736255</v>
      </c>
      <c r="I33" s="7">
        <f ca="1"/>
        <v>1</v>
      </c>
      <c r="J33" s="7">
        <f ca="1"/>
        <v>1.340160244478426</v>
      </c>
      <c r="K33">
        <f ca="1"/>
        <v>0</v>
      </c>
      <c r="L33">
        <f ca="1"/>
        <v>3.8171130457853195</v>
      </c>
    </row>
    <row r="34" spans="2:12" x14ac:dyDescent="0.3">
      <c r="B34">
        <v>2.4E-2</v>
      </c>
      <c r="C34">
        <f ca="1"/>
        <v>-0.17975293525050332</v>
      </c>
      <c r="D34">
        <f ca="1"/>
        <v>1</v>
      </c>
      <c r="E34" s="11">
        <f ca="1"/>
        <v>96.422502127657722</v>
      </c>
      <c r="F34" s="10">
        <f ca="1"/>
        <v>0</v>
      </c>
      <c r="G34" s="7">
        <f ca="1"/>
        <v>0</v>
      </c>
      <c r="H34" s="10">
        <f ca="1"/>
        <v>-94.842726709736255</v>
      </c>
      <c r="I34" s="7">
        <f ca="1"/>
        <v>1</v>
      </c>
      <c r="J34" s="7">
        <f ca="1"/>
        <v>1.5797754179214678</v>
      </c>
      <c r="K34">
        <f ca="1"/>
        <v>0</v>
      </c>
      <c r="L34">
        <f ca="1"/>
        <v>3.5774978723422777</v>
      </c>
    </row>
    <row r="35" spans="2:12" x14ac:dyDescent="0.3">
      <c r="B35">
        <v>2.5000000000000001E-2</v>
      </c>
      <c r="C35">
        <f ca="1"/>
        <v>-0.17841298746800135</v>
      </c>
      <c r="D35">
        <f ca="1"/>
        <v>1</v>
      </c>
      <c r="E35" s="11">
        <f ca="1"/>
        <v>96.446416866377177</v>
      </c>
      <c r="F35" s="10">
        <f ca="1"/>
        <v>0</v>
      </c>
      <c r="G35" s="7">
        <f ca="1"/>
        <v>0</v>
      </c>
      <c r="H35" s="10">
        <f ca="1"/>
        <v>-94.842726709736255</v>
      </c>
      <c r="I35" s="7">
        <f ca="1"/>
        <v>1</v>
      </c>
      <c r="J35" s="7">
        <f ca="1"/>
        <v>1.6036901566409227</v>
      </c>
      <c r="K35">
        <f ca="1"/>
        <v>0</v>
      </c>
      <c r="L35">
        <f ca="1"/>
        <v>3.5535831336228227</v>
      </c>
    </row>
    <row r="36" spans="2:12" x14ac:dyDescent="0.3">
      <c r="B36">
        <v>2.6000000000000002E-2</v>
      </c>
      <c r="C36">
        <f ca="1"/>
        <v>-0.12678820457764389</v>
      </c>
      <c r="D36">
        <f ca="1"/>
        <v>1</v>
      </c>
      <c r="E36" s="11">
        <f ca="1"/>
        <v>97.445431565232809</v>
      </c>
      <c r="F36" s="10">
        <f ca="1"/>
        <v>0</v>
      </c>
      <c r="G36" s="7">
        <f ca="1"/>
        <v>0</v>
      </c>
      <c r="H36" s="10">
        <f ca="1"/>
        <v>-94.842726709736255</v>
      </c>
      <c r="I36" s="7">
        <f ca="1"/>
        <v>1</v>
      </c>
      <c r="J36" s="7">
        <f ca="1"/>
        <v>2.6027048554965546</v>
      </c>
      <c r="K36">
        <f ca="1"/>
        <v>0</v>
      </c>
      <c r="L36">
        <f ca="1"/>
        <v>2.5545684347671909</v>
      </c>
    </row>
    <row r="37" spans="2:12" x14ac:dyDescent="0.3">
      <c r="B37">
        <v>2.7E-2</v>
      </c>
      <c r="C37">
        <f ca="1"/>
        <v>-0.14160710110114497</v>
      </c>
      <c r="D37">
        <f ca="1"/>
        <v>1</v>
      </c>
      <c r="E37" s="11">
        <f ca="1"/>
        <v>97.155109247446092</v>
      </c>
      <c r="F37" s="10">
        <f ca="1"/>
        <v>0</v>
      </c>
      <c r="G37" s="7">
        <f ca="1"/>
        <v>0</v>
      </c>
      <c r="H37" s="10">
        <f ca="1"/>
        <v>-94.842726709736255</v>
      </c>
      <c r="I37" s="7">
        <f ca="1"/>
        <v>1</v>
      </c>
      <c r="J37" s="7">
        <f ca="1"/>
        <v>2.312382537709837</v>
      </c>
      <c r="K37">
        <f ca="1"/>
        <v>0</v>
      </c>
      <c r="L37">
        <f ca="1"/>
        <v>2.8448907525539084</v>
      </c>
    </row>
    <row r="38" spans="2:12" x14ac:dyDescent="0.3">
      <c r="B38">
        <v>2.8000000000000001E-2</v>
      </c>
      <c r="C38">
        <f ca="1"/>
        <v>-0.16367377874866204</v>
      </c>
      <c r="D38">
        <f ca="1"/>
        <v>1</v>
      </c>
      <c r="E38" s="11">
        <f ca="1"/>
        <v>96.725341406171168</v>
      </c>
      <c r="F38" s="10">
        <f ca="1"/>
        <v>0</v>
      </c>
      <c r="G38" s="7">
        <f ca="1"/>
        <v>0</v>
      </c>
      <c r="H38" s="10">
        <f ca="1"/>
        <v>-94.842726709736255</v>
      </c>
      <c r="I38" s="7">
        <f ca="1"/>
        <v>1</v>
      </c>
      <c r="J38" s="7">
        <f ca="1"/>
        <v>1.8826146964349135</v>
      </c>
      <c r="K38">
        <f ca="1"/>
        <v>0</v>
      </c>
      <c r="L38">
        <f ca="1"/>
        <v>3.274658593828832</v>
      </c>
    </row>
    <row r="39" spans="2:12" x14ac:dyDescent="0.3">
      <c r="B39">
        <v>2.9000000000000001E-2</v>
      </c>
      <c r="C39">
        <f ca="1"/>
        <v>-0.15204213581931814</v>
      </c>
      <c r="D39">
        <f ca="1"/>
        <v>1</v>
      </c>
      <c r="E39" s="11">
        <f ca="1"/>
        <v>96.948679272289283</v>
      </c>
      <c r="F39" s="10">
        <f ca="1"/>
        <v>0</v>
      </c>
      <c r="G39" s="7">
        <f ca="1"/>
        <v>0</v>
      </c>
      <c r="H39" s="10">
        <f ca="1"/>
        <v>-94.842726709736255</v>
      </c>
      <c r="I39" s="7">
        <f ca="1"/>
        <v>1</v>
      </c>
      <c r="J39" s="7">
        <f ca="1"/>
        <v>2.1059525625530284</v>
      </c>
      <c r="K39">
        <f ca="1"/>
        <v>0</v>
      </c>
      <c r="L39">
        <f ca="1"/>
        <v>3.0513207277107171</v>
      </c>
    </row>
    <row r="40" spans="2:12" x14ac:dyDescent="0.3">
      <c r="B40">
        <v>0.03</v>
      </c>
      <c r="C40">
        <f ca="1"/>
        <v>-0.1546723242502204</v>
      </c>
      <c r="D40">
        <f ca="1"/>
        <v>1</v>
      </c>
      <c r="E40" s="11">
        <f ca="1"/>
        <v>96.895756090122106</v>
      </c>
      <c r="F40" s="10">
        <f ca="1"/>
        <v>0</v>
      </c>
      <c r="G40" s="7">
        <f ca="1"/>
        <v>0</v>
      </c>
      <c r="H40" s="10">
        <f ca="1"/>
        <v>-94.842726709736255</v>
      </c>
      <c r="I40" s="7">
        <f ca="1"/>
        <v>1</v>
      </c>
      <c r="J40" s="7">
        <f ca="1"/>
        <v>2.0530293803858513</v>
      </c>
      <c r="K40">
        <f ca="1"/>
        <v>0</v>
      </c>
      <c r="L40">
        <f ca="1"/>
        <v>3.1042439098778942</v>
      </c>
    </row>
    <row r="41" spans="2:12" x14ac:dyDescent="0.3">
      <c r="B41">
        <v>3.1E-2</v>
      </c>
      <c r="C41">
        <f ca="1"/>
        <v>-0.14997930758715061</v>
      </c>
      <c r="D41">
        <f ca="1"/>
        <v>1</v>
      </c>
      <c r="E41" s="11">
        <f ca="1"/>
        <v>96.984805748977436</v>
      </c>
      <c r="F41" s="10">
        <f ca="1"/>
        <v>0</v>
      </c>
      <c r="G41" s="7">
        <f ca="1"/>
        <v>0</v>
      </c>
      <c r="H41" s="10">
        <f ca="1"/>
        <v>-94.842726709736255</v>
      </c>
      <c r="I41" s="7">
        <f ca="1"/>
        <v>1</v>
      </c>
      <c r="J41" s="7">
        <f ca="1"/>
        <v>2.1420790392411817</v>
      </c>
      <c r="K41">
        <f ca="1"/>
        <v>0</v>
      </c>
      <c r="L41">
        <f ca="1"/>
        <v>3.0151942510225638</v>
      </c>
    </row>
    <row r="42" spans="2:12" x14ac:dyDescent="0.3">
      <c r="B42">
        <v>3.2000000000000001E-2</v>
      </c>
      <c r="C42">
        <f ca="1"/>
        <v>-0.17490417396280261</v>
      </c>
      <c r="D42">
        <f ca="1"/>
        <v>1</v>
      </c>
      <c r="E42" s="11">
        <f ca="1"/>
        <v>96.500612087023171</v>
      </c>
      <c r="F42" s="10">
        <f ca="1"/>
        <v>0</v>
      </c>
      <c r="G42" s="7">
        <f ca="1"/>
        <v>0</v>
      </c>
      <c r="H42" s="10">
        <f ca="1"/>
        <v>-94.842726709736255</v>
      </c>
      <c r="I42" s="7">
        <f ca="1"/>
        <v>1</v>
      </c>
      <c r="J42" s="7">
        <f ca="1"/>
        <v>1.6578853772869167</v>
      </c>
      <c r="K42">
        <f ca="1"/>
        <v>0</v>
      </c>
      <c r="L42">
        <f ca="1"/>
        <v>3.4993879129768288</v>
      </c>
    </row>
    <row r="43" spans="2:12" x14ac:dyDescent="0.3">
      <c r="B43">
        <v>3.3000000000000002E-2</v>
      </c>
      <c r="C43">
        <f ca="1"/>
        <v>-0.17639261248868995</v>
      </c>
      <c r="D43">
        <f ca="1"/>
        <v>1</v>
      </c>
      <c r="E43" s="11">
        <f ca="1"/>
        <v>96.469959898190595</v>
      </c>
      <c r="F43" s="10">
        <f ca="1"/>
        <v>0</v>
      </c>
      <c r="G43" s="7">
        <f ca="1"/>
        <v>0</v>
      </c>
      <c r="H43" s="10">
        <f ca="1"/>
        <v>-94.842726709736255</v>
      </c>
      <c r="I43" s="7">
        <f ca="1"/>
        <v>1</v>
      </c>
      <c r="J43" s="7">
        <f ca="1"/>
        <v>1.6272331884543405</v>
      </c>
      <c r="K43">
        <f ca="1"/>
        <v>0</v>
      </c>
      <c r="L43">
        <f ca="1"/>
        <v>3.530040101809405</v>
      </c>
    </row>
    <row r="44" spans="2:12" x14ac:dyDescent="0.3">
      <c r="B44">
        <v>3.4000000000000002E-2</v>
      </c>
      <c r="C44">
        <f ca="1"/>
        <v>-0.19088579948789028</v>
      </c>
      <c r="D44">
        <f ca="1"/>
        <v>1</v>
      </c>
      <c r="E44" s="11">
        <f ca="1"/>
        <v>96.188809552807442</v>
      </c>
      <c r="F44" s="10">
        <f ca="1"/>
        <v>0</v>
      </c>
      <c r="G44" s="7">
        <f ca="1"/>
        <v>0</v>
      </c>
      <c r="H44" s="10">
        <f ca="1"/>
        <v>-94.842726709736255</v>
      </c>
      <c r="I44" s="7">
        <f ca="1"/>
        <v>1</v>
      </c>
      <c r="J44" s="7">
        <f ca="1"/>
        <v>1.3460828430711871</v>
      </c>
      <c r="K44">
        <f ca="1"/>
        <v>0</v>
      </c>
      <c r="L44">
        <f ca="1"/>
        <v>3.8111904471925584</v>
      </c>
    </row>
    <row r="45" spans="2:12" x14ac:dyDescent="0.3">
      <c r="B45">
        <v>3.5000000000000003E-2</v>
      </c>
      <c r="C45">
        <f ca="1"/>
        <v>-0.24215658796621797</v>
      </c>
      <c r="D45">
        <f ca="1"/>
        <v>1</v>
      </c>
      <c r="E45" s="11">
        <f ca="1"/>
        <v>95.205609977371495</v>
      </c>
      <c r="F45" s="10">
        <f ca="1"/>
        <v>0</v>
      </c>
      <c r="G45" s="7">
        <f ca="1"/>
        <v>0</v>
      </c>
      <c r="H45" s="10">
        <f ca="1"/>
        <v>-94.842726709736255</v>
      </c>
      <c r="I45" s="7">
        <f ca="1"/>
        <v>1</v>
      </c>
      <c r="J45" s="7">
        <f ca="1"/>
        <v>0.36288326763524026</v>
      </c>
      <c r="K45">
        <f ca="1"/>
        <v>0</v>
      </c>
      <c r="L45">
        <f ca="1"/>
        <v>4.7943900226285052</v>
      </c>
    </row>
    <row r="46" spans="2:12" x14ac:dyDescent="0.3">
      <c r="B46">
        <v>3.6000000000000004E-2</v>
      </c>
      <c r="C46">
        <f ca="1"/>
        <v>-0.20634121300632308</v>
      </c>
      <c r="D46">
        <f ca="1"/>
        <v>1</v>
      </c>
      <c r="E46" s="11">
        <f ca="1"/>
        <v>95.888105445310572</v>
      </c>
      <c r="F46" s="10">
        <f ca="1"/>
        <v>0</v>
      </c>
      <c r="G46" s="7">
        <f ca="1"/>
        <v>0</v>
      </c>
      <c r="H46" s="10">
        <f ca="1"/>
        <v>-94.842726709736255</v>
      </c>
      <c r="I46" s="7">
        <f ca="1"/>
        <v>1</v>
      </c>
      <c r="J46" s="7">
        <f ca="1"/>
        <v>1.0453787355743174</v>
      </c>
      <c r="K46">
        <f ca="1"/>
        <v>0</v>
      </c>
      <c r="L46">
        <f ca="1"/>
        <v>4.1118945546894281</v>
      </c>
    </row>
    <row r="47" spans="2:12" x14ac:dyDescent="0.3">
      <c r="B47">
        <v>3.6999999999999998E-2</v>
      </c>
      <c r="C47">
        <f ca="1"/>
        <v>-0.21399987897758438</v>
      </c>
      <c r="D47">
        <f ca="1"/>
        <v>1</v>
      </c>
      <c r="E47" s="11">
        <f ca="1"/>
        <v>95.739428072797253</v>
      </c>
      <c r="F47" s="10">
        <f ca="1"/>
        <v>0</v>
      </c>
      <c r="G47" s="7">
        <f ca="1"/>
        <v>0</v>
      </c>
      <c r="H47" s="10">
        <f ca="1"/>
        <v>-94.842726709736255</v>
      </c>
      <c r="I47" s="7">
        <f ca="1"/>
        <v>1</v>
      </c>
      <c r="J47" s="7">
        <f ca="1"/>
        <v>0.89670136306099835</v>
      </c>
      <c r="K47">
        <f ca="1"/>
        <v>0</v>
      </c>
      <c r="L47">
        <f ca="1"/>
        <v>4.2605719272027471</v>
      </c>
    </row>
    <row r="48" spans="2:12" x14ac:dyDescent="0.3">
      <c r="B48">
        <v>3.7999999999999999E-2</v>
      </c>
      <c r="C48">
        <f ca="1"/>
        <v>-0.23223133360722523</v>
      </c>
      <c r="D48">
        <f ca="1"/>
        <v>1</v>
      </c>
      <c r="E48" s="11">
        <f ca="1"/>
        <v>95.389062140578503</v>
      </c>
      <c r="F48" s="10">
        <f ca="1"/>
        <v>0</v>
      </c>
      <c r="G48" s="7">
        <f ca="1"/>
        <v>0</v>
      </c>
      <c r="H48" s="10">
        <f ca="1"/>
        <v>-94.842726709736255</v>
      </c>
      <c r="I48" s="7">
        <f ca="1"/>
        <v>1</v>
      </c>
      <c r="J48" s="7">
        <f ca="1"/>
        <v>0.54633543084224812</v>
      </c>
      <c r="K48">
        <f ca="1"/>
        <v>0</v>
      </c>
      <c r="L48">
        <f ca="1"/>
        <v>4.6109378594214974</v>
      </c>
    </row>
    <row r="49" spans="2:12" x14ac:dyDescent="0.3">
      <c r="B49">
        <v>3.9E-2</v>
      </c>
      <c r="C49">
        <f ca="1"/>
        <v>-0.22816751783746794</v>
      </c>
      <c r="D49">
        <f ca="1"/>
        <v>1</v>
      </c>
      <c r="E49" s="11">
        <f ca="1"/>
        <v>95.464713057001035</v>
      </c>
      <c r="F49" s="10">
        <f ca="1"/>
        <v>0</v>
      </c>
      <c r="G49" s="7">
        <f ca="1"/>
        <v>0</v>
      </c>
      <c r="H49" s="10">
        <f ca="1"/>
        <v>-94.842726709736255</v>
      </c>
      <c r="I49" s="7">
        <f ca="1"/>
        <v>1</v>
      </c>
      <c r="J49" s="7">
        <f ca="1"/>
        <v>0.62198634726478019</v>
      </c>
      <c r="K49">
        <f ca="1"/>
        <v>0</v>
      </c>
      <c r="L49">
        <f ca="1"/>
        <v>4.5352869429989653</v>
      </c>
    </row>
    <row r="50" spans="2:12" x14ac:dyDescent="0.3">
      <c r="B50">
        <v>0.04</v>
      </c>
      <c r="C50">
        <f ca="1"/>
        <v>-0.21908304797214484</v>
      </c>
      <c r="D50">
        <f ca="1"/>
        <v>1</v>
      </c>
      <c r="E50" s="11">
        <f ca="1"/>
        <v>95.636407236454062</v>
      </c>
      <c r="F50" s="10">
        <f ca="1"/>
        <v>0</v>
      </c>
      <c r="G50" s="7">
        <f ca="1"/>
        <v>0</v>
      </c>
      <c r="H50" s="10">
        <f ca="1"/>
        <v>-94.842726709736255</v>
      </c>
      <c r="I50" s="7">
        <f ca="1"/>
        <v>1</v>
      </c>
      <c r="J50" s="7">
        <f ca="1"/>
        <v>0.79368052671780731</v>
      </c>
      <c r="K50">
        <f ca="1"/>
        <v>0</v>
      </c>
      <c r="L50">
        <f ca="1"/>
        <v>4.3635927635459382</v>
      </c>
    </row>
    <row r="51" spans="2:12" x14ac:dyDescent="0.3">
      <c r="B51">
        <v>4.1000000000000002E-2</v>
      </c>
      <c r="C51">
        <f ca="1"/>
        <v>-0.29767765134538177</v>
      </c>
      <c r="D51">
        <f ca="1"/>
        <v>1</v>
      </c>
      <c r="E51" s="11">
        <f ca="1"/>
        <v>94.142976729951684</v>
      </c>
      <c r="F51" s="10">
        <f ca="1"/>
        <v>0</v>
      </c>
      <c r="G51" s="7">
        <f ca="1"/>
        <v>0</v>
      </c>
      <c r="H51" s="10">
        <f ca="1"/>
        <v>-94.842726709736255</v>
      </c>
      <c r="I51" s="7">
        <f ca="1"/>
        <v>1</v>
      </c>
      <c r="J51" s="7">
        <f ca="1"/>
        <v>-0.69974997978457054</v>
      </c>
      <c r="K51">
        <f ca="1"/>
        <v>0</v>
      </c>
      <c r="L51">
        <f ca="1"/>
        <v>5.857023270048316</v>
      </c>
    </row>
    <row r="52" spans="2:12" x14ac:dyDescent="0.3">
      <c r="B52">
        <v>4.2000000000000003E-2</v>
      </c>
      <c r="C52">
        <f ca="1"/>
        <v>-0.26039210383243028</v>
      </c>
      <c r="D52">
        <f ca="1"/>
        <v>1</v>
      </c>
      <c r="E52" s="11">
        <f ca="1"/>
        <v>94.845738375269789</v>
      </c>
      <c r="F52" s="10">
        <f ca="1"/>
        <v>0</v>
      </c>
      <c r="G52" s="7">
        <f ca="1"/>
        <v>0</v>
      </c>
      <c r="H52" s="10">
        <f ca="1"/>
        <v>-94.842726709736255</v>
      </c>
      <c r="I52" s="7">
        <f ca="1"/>
        <v>1</v>
      </c>
      <c r="J52" s="7">
        <f ca="1"/>
        <v>3.0116655335348241E-3</v>
      </c>
      <c r="K52">
        <f ca="1"/>
        <v>0</v>
      </c>
      <c r="L52">
        <f ca="1"/>
        <v>5.1542616247302107</v>
      </c>
    </row>
    <row r="53" spans="2:12" x14ac:dyDescent="0.3">
      <c r="B53">
        <v>4.3000000000000003E-2</v>
      </c>
      <c r="C53">
        <f ca="1"/>
        <v>-0.23167409728706148</v>
      </c>
      <c r="D53">
        <f ca="1"/>
        <v>1</v>
      </c>
      <c r="E53" s="11">
        <f ca="1"/>
        <v>95.390154090608576</v>
      </c>
      <c r="F53" s="10">
        <f ca="1"/>
        <v>0</v>
      </c>
      <c r="G53" s="7">
        <f ca="1"/>
        <v>0</v>
      </c>
      <c r="H53" s="10">
        <f ca="1"/>
        <v>-94.842726709736255</v>
      </c>
      <c r="I53" s="7">
        <f ca="1"/>
        <v>1</v>
      </c>
      <c r="J53" s="7">
        <f ca="1"/>
        <v>0.54742738087232112</v>
      </c>
      <c r="K53">
        <f ca="1"/>
        <v>0</v>
      </c>
      <c r="L53">
        <f ca="1"/>
        <v>4.6098459093914244</v>
      </c>
    </row>
    <row r="54" spans="2:12" x14ac:dyDescent="0.3">
      <c r="B54">
        <v>4.3999999999999997E-2</v>
      </c>
      <c r="C54">
        <f ca="1"/>
        <v>-0.22250964974514698</v>
      </c>
      <c r="D54">
        <f ca="1"/>
        <v>1</v>
      </c>
      <c r="E54" s="11">
        <f ca="1"/>
        <v>95.563242748062379</v>
      </c>
      <c r="F54" s="10">
        <f ca="1"/>
        <v>0</v>
      </c>
      <c r="G54" s="7">
        <f ca="1"/>
        <v>0</v>
      </c>
      <c r="H54" s="10">
        <f ca="1"/>
        <v>-94.842726709736255</v>
      </c>
      <c r="I54" s="7">
        <f ca="1"/>
        <v>1</v>
      </c>
      <c r="J54" s="7">
        <f ca="1"/>
        <v>0.72051603832612443</v>
      </c>
      <c r="K54">
        <f ca="1"/>
        <v>0</v>
      </c>
      <c r="L54">
        <f ca="1"/>
        <v>4.436757251937621</v>
      </c>
    </row>
    <row r="55" spans="2:12" x14ac:dyDescent="0.3">
      <c r="B55">
        <v>4.4999999999999998E-2</v>
      </c>
      <c r="C55">
        <f ca="1"/>
        <v>-0.1953936437994723</v>
      </c>
      <c r="D55">
        <f ca="1"/>
        <v>1</v>
      </c>
      <c r="E55" s="11">
        <f ca="1"/>
        <v>96.080987655253793</v>
      </c>
      <c r="F55" s="10">
        <f ca="1"/>
        <v>0</v>
      </c>
      <c r="G55" s="7">
        <f ca="1"/>
        <v>0</v>
      </c>
      <c r="H55" s="10">
        <f ca="1"/>
        <v>-94.842726709736255</v>
      </c>
      <c r="I55" s="7">
        <f ca="1"/>
        <v>1</v>
      </c>
      <c r="J55" s="7">
        <f ca="1"/>
        <v>1.2382609455175384</v>
      </c>
      <c r="K55">
        <f ca="1"/>
        <v>0</v>
      </c>
      <c r="L55">
        <f ca="1"/>
        <v>3.9190123447462071</v>
      </c>
    </row>
    <row r="56" spans="2:12" x14ac:dyDescent="0.3">
      <c r="B56">
        <v>4.5999999999999999E-2</v>
      </c>
      <c r="C56">
        <f ca="1"/>
        <v>-0.20377035825608197</v>
      </c>
      <c r="D56">
        <f ca="1"/>
        <v>1</v>
      </c>
      <c r="E56" s="11">
        <f ca="1"/>
        <v>95.918235435232603</v>
      </c>
      <c r="F56" s="10">
        <f ca="1"/>
        <v>0</v>
      </c>
      <c r="G56" s="7">
        <f ca="1"/>
        <v>0</v>
      </c>
      <c r="H56" s="10">
        <f ca="1"/>
        <v>-94.842726709736255</v>
      </c>
      <c r="I56" s="7">
        <f ca="1"/>
        <v>1</v>
      </c>
      <c r="J56" s="7">
        <f ca="1"/>
        <v>1.0755087254963485</v>
      </c>
      <c r="K56">
        <f ca="1"/>
        <v>0</v>
      </c>
      <c r="L56">
        <f ca="1"/>
        <v>4.081764564767397</v>
      </c>
    </row>
    <row r="57" spans="2:12" x14ac:dyDescent="0.3">
      <c r="B57">
        <v>4.7E-2</v>
      </c>
      <c r="C57">
        <f ca="1"/>
        <v>-0.19323678523451918</v>
      </c>
      <c r="D57">
        <f ca="1"/>
        <v>1</v>
      </c>
      <c r="E57" s="11">
        <f ca="1"/>
        <v>96.118598395388076</v>
      </c>
      <c r="F57" s="10">
        <f ca="1"/>
        <v>0</v>
      </c>
      <c r="G57" s="7">
        <f ca="1"/>
        <v>0</v>
      </c>
      <c r="H57" s="10">
        <f ca="1"/>
        <v>-94.842726709736255</v>
      </c>
      <c r="I57" s="7">
        <f ca="1"/>
        <v>1</v>
      </c>
      <c r="J57" s="7">
        <f ca="1"/>
        <v>1.275871685651822</v>
      </c>
      <c r="K57">
        <f ca="1"/>
        <v>0</v>
      </c>
      <c r="L57">
        <f ca="1"/>
        <v>3.8814016046119235</v>
      </c>
    </row>
    <row r="58" spans="2:12" x14ac:dyDescent="0.3">
      <c r="B58">
        <v>4.8000000000000001E-2</v>
      </c>
      <c r="C58">
        <f ca="1"/>
        <v>-0.180003040816333</v>
      </c>
      <c r="D58">
        <f ca="1"/>
        <v>1</v>
      </c>
      <c r="E58" s="11">
        <f ca="1"/>
        <v>96.371409706972699</v>
      </c>
      <c r="F58" s="10">
        <f ca="1"/>
        <v>0</v>
      </c>
      <c r="G58" s="7">
        <f ca="1"/>
        <v>0</v>
      </c>
      <c r="H58" s="10">
        <f ca="1"/>
        <v>-94.842726709736255</v>
      </c>
      <c r="I58" s="7">
        <f ca="1"/>
        <v>1</v>
      </c>
      <c r="J58" s="7">
        <f ca="1"/>
        <v>1.5286829972364444</v>
      </c>
      <c r="K58">
        <f ca="1"/>
        <v>0</v>
      </c>
      <c r="L58">
        <f ca="1"/>
        <v>3.6285902930273011</v>
      </c>
    </row>
    <row r="59" spans="2:12" x14ac:dyDescent="0.3">
      <c r="B59">
        <v>4.9000000000000002E-2</v>
      </c>
      <c r="C59">
        <f ca="1"/>
        <v>-0.18372096258809617</v>
      </c>
      <c r="D59">
        <f ca="1"/>
        <v>1</v>
      </c>
      <c r="E59" s="11">
        <f ca="1"/>
        <v>96.297850094372336</v>
      </c>
      <c r="F59" s="10">
        <f ca="1"/>
        <v>0</v>
      </c>
      <c r="G59" s="7">
        <f ca="1"/>
        <v>0</v>
      </c>
      <c r="H59" s="10">
        <f ca="1"/>
        <v>-94.842726709736255</v>
      </c>
      <c r="I59" s="7">
        <f ca="1"/>
        <v>1</v>
      </c>
      <c r="J59" s="7">
        <f ca="1"/>
        <v>1.4551233846360816</v>
      </c>
      <c r="K59">
        <f ca="1"/>
        <v>0</v>
      </c>
      <c r="L59">
        <f ca="1"/>
        <v>3.7021499056276639</v>
      </c>
    </row>
    <row r="60" spans="2:12" x14ac:dyDescent="0.3">
      <c r="B60">
        <v>0.05</v>
      </c>
      <c r="C60">
        <f ca="1"/>
        <v>-0.22009165633111552</v>
      </c>
      <c r="D60">
        <f ca="1"/>
        <v>1</v>
      </c>
      <c r="E60" s="11">
        <f ca="1"/>
        <v>95.597995734937527</v>
      </c>
      <c r="F60" s="10">
        <f ca="1"/>
        <v>0</v>
      </c>
      <c r="G60" s="7">
        <f ca="1"/>
        <v>0</v>
      </c>
      <c r="H60" s="10">
        <f ca="1"/>
        <v>-94.842726709736255</v>
      </c>
      <c r="I60" s="7">
        <f ca="1"/>
        <v>1</v>
      </c>
      <c r="J60" s="7">
        <f ca="1"/>
        <v>0.75526902520127237</v>
      </c>
      <c r="K60">
        <f ca="1"/>
        <v>0</v>
      </c>
      <c r="L60">
        <f ca="1"/>
        <v>4.4020042650624731</v>
      </c>
    </row>
    <row r="61" spans="2:12" x14ac:dyDescent="0.3">
      <c r="B61">
        <v>5.1000000000000004E-2</v>
      </c>
      <c r="C61">
        <f ca="1"/>
        <v>-0.19372098362678775</v>
      </c>
      <c r="D61">
        <f ca="1"/>
        <v>1</v>
      </c>
      <c r="E61" s="11">
        <f ca="1"/>
        <v>96.1016023161893</v>
      </c>
      <c r="F61" s="10">
        <f ca="1"/>
        <v>0</v>
      </c>
      <c r="G61" s="7">
        <f ca="1"/>
        <v>0</v>
      </c>
      <c r="H61" s="10">
        <f ca="1"/>
        <v>-94.842726709736255</v>
      </c>
      <c r="I61" s="7">
        <f ca="1"/>
        <v>1</v>
      </c>
      <c r="J61" s="7">
        <f ca="1"/>
        <v>1.2588756064530457</v>
      </c>
      <c r="K61">
        <f ca="1"/>
        <v>0</v>
      </c>
      <c r="L61">
        <f ca="1"/>
        <v>3.8983976838106997</v>
      </c>
    </row>
    <row r="62" spans="2:12" x14ac:dyDescent="0.3">
      <c r="B62">
        <v>5.2000000000000005E-2</v>
      </c>
      <c r="C62">
        <f ca="1"/>
        <v>-0.16072297770356242</v>
      </c>
      <c r="D62">
        <f ca="1"/>
        <v>1</v>
      </c>
      <c r="E62" s="11">
        <f ca="1"/>
        <v>96.735997276913693</v>
      </c>
      <c r="F62" s="10">
        <f ca="1"/>
        <v>0</v>
      </c>
      <c r="G62" s="7">
        <f ca="1"/>
        <v>0</v>
      </c>
      <c r="H62" s="10">
        <f ca="1"/>
        <v>-94.842726709736255</v>
      </c>
      <c r="I62" s="7">
        <f ca="1"/>
        <v>1</v>
      </c>
      <c r="J62" s="7">
        <f ca="1"/>
        <v>1.8932705671774386</v>
      </c>
      <c r="K62">
        <f ca="1"/>
        <v>0</v>
      </c>
      <c r="L62">
        <f ca="1"/>
        <v>3.2640027230863069</v>
      </c>
    </row>
    <row r="63" spans="2:12" x14ac:dyDescent="0.3">
      <c r="B63">
        <v>5.2999999999999999E-2</v>
      </c>
      <c r="C63">
        <f ca="1"/>
        <v>-0.1366099138784781</v>
      </c>
      <c r="D63">
        <f ca="1"/>
        <v>1</v>
      </c>
      <c r="E63" s="11">
        <f ca="1"/>
        <v>97.20170021258123</v>
      </c>
      <c r="F63" s="10">
        <f ca="1"/>
        <v>0</v>
      </c>
      <c r="G63" s="7">
        <f ca="1"/>
        <v>0</v>
      </c>
      <c r="H63" s="10">
        <f ca="1"/>
        <v>-94.842726709736255</v>
      </c>
      <c r="I63" s="7">
        <f ca="1"/>
        <v>1</v>
      </c>
      <c r="J63" s="7">
        <f ca="1"/>
        <v>2.3589735028449752</v>
      </c>
      <c r="K63">
        <f ca="1"/>
        <v>0</v>
      </c>
      <c r="L63">
        <f ca="1"/>
        <v>2.7982997874187703</v>
      </c>
    </row>
    <row r="64" spans="2:12" x14ac:dyDescent="0.3">
      <c r="B64">
        <v>5.3999999999999999E-2</v>
      </c>
      <c r="C64">
        <f ca="1"/>
        <v>-8.2845907589471135E-2</v>
      </c>
      <c r="D64">
        <f ca="1"/>
        <v>1</v>
      </c>
      <c r="E64" s="11">
        <f ca="1"/>
        <v>98.250565304697517</v>
      </c>
      <c r="F64" s="10">
        <f ca="1"/>
        <v>0</v>
      </c>
      <c r="G64" s="7">
        <f ca="1"/>
        <v>0</v>
      </c>
      <c r="H64" s="10">
        <f ca="1"/>
        <v>-94.842726709736255</v>
      </c>
      <c r="I64" s="7">
        <f ca="1"/>
        <v>1</v>
      </c>
      <c r="J64" s="7">
        <f ca="1"/>
        <v>3.4078385949612624</v>
      </c>
      <c r="K64">
        <f ca="1"/>
        <v>0</v>
      </c>
      <c r="L64">
        <f ca="1"/>
        <v>1.7494346953024831</v>
      </c>
    </row>
    <row r="65" spans="2:12" x14ac:dyDescent="0.3">
      <c r="B65">
        <v>5.5E-2</v>
      </c>
      <c r="C65">
        <f ca="1"/>
        <v>-5.7746207184771733E-2</v>
      </c>
      <c r="D65">
        <f ca="1"/>
        <v>1</v>
      </c>
      <c r="E65" s="11">
        <f ca="1"/>
        <v>98.743042396144773</v>
      </c>
      <c r="F65" s="10">
        <f ca="1"/>
        <v>0</v>
      </c>
      <c r="G65" s="7">
        <f ca="1"/>
        <v>0</v>
      </c>
      <c r="H65" s="10">
        <f ca="1"/>
        <v>-94.842726709736255</v>
      </c>
      <c r="I65" s="7">
        <f ca="1"/>
        <v>1</v>
      </c>
      <c r="J65" s="7">
        <f ca="1"/>
        <v>3.9003156864085184</v>
      </c>
      <c r="K65">
        <f ca="1"/>
        <v>0</v>
      </c>
      <c r="L65">
        <f ca="1"/>
        <v>1.256957603855227</v>
      </c>
    </row>
    <row r="66" spans="2:12" x14ac:dyDescent="0.3">
      <c r="B66">
        <v>5.6000000000000001E-2</v>
      </c>
      <c r="C66">
        <f ca="1"/>
        <v>-8.6483443704424318E-2</v>
      </c>
      <c r="D66">
        <f ca="1"/>
        <v>1</v>
      </c>
      <c r="E66" s="11">
        <f ca="1"/>
        <v>98.175186216860709</v>
      </c>
      <c r="F66" s="10">
        <f ca="1"/>
        <v>0</v>
      </c>
      <c r="G66" s="7">
        <f ca="1"/>
        <v>0</v>
      </c>
      <c r="H66" s="10">
        <f ca="1"/>
        <v>-94.842726709736255</v>
      </c>
      <c r="I66" s="7">
        <f ca="1"/>
        <v>1</v>
      </c>
      <c r="J66" s="7">
        <f ca="1"/>
        <v>3.3324595071244545</v>
      </c>
      <c r="K66">
        <f ca="1"/>
        <v>0</v>
      </c>
      <c r="L66">
        <f ca="1"/>
        <v>1.824813783139291</v>
      </c>
    </row>
    <row r="67" spans="2:12" x14ac:dyDescent="0.3">
      <c r="B67">
        <v>5.7000000000000002E-2</v>
      </c>
      <c r="C67">
        <f ca="1"/>
        <v>-0.13256063244169491</v>
      </c>
      <c r="D67">
        <f ca="1"/>
        <v>1</v>
      </c>
      <c r="E67" s="11">
        <f ca="1"/>
        <v>97.272669380119325</v>
      </c>
      <c r="F67" s="10">
        <f ca="1"/>
        <v>0</v>
      </c>
      <c r="G67" s="7">
        <f ca="1"/>
        <v>0</v>
      </c>
      <c r="H67" s="10">
        <f ca="1"/>
        <v>-94.842726709736255</v>
      </c>
      <c r="I67" s="7">
        <f ca="1"/>
        <v>1</v>
      </c>
      <c r="J67" s="7">
        <f ca="1"/>
        <v>2.4299426703830704</v>
      </c>
      <c r="K67">
        <f ca="1"/>
        <v>0</v>
      </c>
      <c r="L67">
        <f ca="1"/>
        <v>2.727330619880675</v>
      </c>
    </row>
    <row r="68" spans="2:12" x14ac:dyDescent="0.3">
      <c r="B68">
        <v>5.8000000000000003E-2</v>
      </c>
      <c r="C68">
        <f ca="1"/>
        <v>-0.15794394443930981</v>
      </c>
      <c r="D68">
        <f ca="1"/>
        <v>1</v>
      </c>
      <c r="E68" s="11">
        <f ca="1"/>
        <v>96.778164655841834</v>
      </c>
      <c r="F68" s="10">
        <f ca="1"/>
        <v>0</v>
      </c>
      <c r="G68" s="7">
        <f ca="1"/>
        <v>0</v>
      </c>
      <c r="H68" s="10">
        <f ca="1"/>
        <v>-94.842726709736255</v>
      </c>
      <c r="I68" s="7">
        <f ca="1"/>
        <v>1</v>
      </c>
      <c r="J68" s="7">
        <f ca="1"/>
        <v>1.93543794610558</v>
      </c>
      <c r="K68">
        <f ca="1"/>
        <v>0</v>
      </c>
      <c r="L68">
        <f ca="1"/>
        <v>3.2218353441581655</v>
      </c>
    </row>
    <row r="69" spans="2:12" x14ac:dyDescent="0.3">
      <c r="B69">
        <v>5.9000000000000004E-2</v>
      </c>
      <c r="C69">
        <f ca="1"/>
        <v>-0.17752225593316123</v>
      </c>
      <c r="D69">
        <f ca="1"/>
        <v>1</v>
      </c>
      <c r="E69" s="11">
        <f ca="1"/>
        <v>96.39802701922045</v>
      </c>
      <c r="F69" s="10">
        <f ca="1"/>
        <v>0</v>
      </c>
      <c r="G69" s="7">
        <f ca="1"/>
        <v>0</v>
      </c>
      <c r="H69" s="10">
        <f ca="1"/>
        <v>-94.842726709736255</v>
      </c>
      <c r="I69" s="7">
        <f ca="1"/>
        <v>1</v>
      </c>
      <c r="J69" s="7">
        <f ca="1"/>
        <v>1.5553003094841955</v>
      </c>
      <c r="K69">
        <f ca="1"/>
        <v>0</v>
      </c>
      <c r="L69">
        <f ca="1"/>
        <v>3.60197298077955</v>
      </c>
    </row>
    <row r="70" spans="2:12" x14ac:dyDescent="0.3">
      <c r="B70">
        <v>0.06</v>
      </c>
      <c r="C70">
        <f ca="1"/>
        <v>-0.21682744909888954</v>
      </c>
      <c r="D70">
        <f ca="1"/>
        <v>1</v>
      </c>
      <c r="E70" s="11">
        <f ca="1"/>
        <v>95.641296273002581</v>
      </c>
      <c r="F70" s="10">
        <f ca="1"/>
        <v>0</v>
      </c>
      <c r="G70" s="7">
        <f ca="1"/>
        <v>0</v>
      </c>
      <c r="H70" s="10">
        <f ca="1"/>
        <v>-94.842726709736255</v>
      </c>
      <c r="I70" s="7">
        <f ca="1"/>
        <v>1</v>
      </c>
      <c r="J70" s="7">
        <f ca="1"/>
        <v>0.79856956326632655</v>
      </c>
      <c r="K70">
        <f ca="1"/>
        <v>0</v>
      </c>
      <c r="L70">
        <f ca="1"/>
        <v>4.3587037269974189</v>
      </c>
    </row>
    <row r="71" spans="2:12" x14ac:dyDescent="0.3">
      <c r="B71">
        <v>6.0999999999999999E-2</v>
      </c>
      <c r="C71">
        <f ca="1"/>
        <v>-0.22942292854493845</v>
      </c>
      <c r="D71">
        <f ca="1"/>
        <v>1</v>
      </c>
      <c r="E71" s="11">
        <f ca="1"/>
        <v>95.398761890126138</v>
      </c>
      <c r="F71" s="10">
        <f ca="1"/>
        <v>0</v>
      </c>
      <c r="G71" s="7">
        <f ca="1"/>
        <v>0</v>
      </c>
      <c r="H71" s="10">
        <f ca="1"/>
        <v>-94.842726709736255</v>
      </c>
      <c r="I71" s="7">
        <f ca="1"/>
        <v>1</v>
      </c>
      <c r="J71" s="7">
        <f ca="1"/>
        <v>0.55603518038988398</v>
      </c>
      <c r="K71">
        <f ca="1"/>
        <v>0</v>
      </c>
      <c r="L71">
        <f ca="1"/>
        <v>4.6012381098738615</v>
      </c>
    </row>
    <row r="72" spans="2:12" x14ac:dyDescent="0.3">
      <c r="B72">
        <v>6.2E-2</v>
      </c>
      <c r="C72">
        <f ca="1"/>
        <v>-0.29256443079265265</v>
      </c>
      <c r="D72">
        <f ca="1"/>
        <v>1</v>
      </c>
      <c r="E72" s="11">
        <f ca="1"/>
        <v>94.19972853928148</v>
      </c>
      <c r="F72" s="10">
        <f ca="1"/>
        <v>0</v>
      </c>
      <c r="G72" s="7">
        <f ca="1"/>
        <v>0</v>
      </c>
      <c r="H72" s="10">
        <f ca="1"/>
        <v>-94.842726709736255</v>
      </c>
      <c r="I72" s="7">
        <f ca="1"/>
        <v>1</v>
      </c>
      <c r="J72" s="7">
        <f ca="1"/>
        <v>-0.64299817045477425</v>
      </c>
      <c r="K72">
        <f ca="1"/>
        <v>0</v>
      </c>
      <c r="L72">
        <f ca="1"/>
        <v>5.8002714607185197</v>
      </c>
    </row>
    <row r="73" spans="2:12" x14ac:dyDescent="0.3">
      <c r="B73">
        <v>6.3E-2</v>
      </c>
      <c r="C73">
        <f ca="1"/>
        <v>-0.32995881851918962</v>
      </c>
      <c r="D73">
        <f ca="1"/>
        <v>1</v>
      </c>
      <c r="E73" s="11">
        <f ca="1"/>
        <v>93.495978276524582</v>
      </c>
      <c r="F73" s="10">
        <f ca="1"/>
        <v>0</v>
      </c>
      <c r="G73" s="7">
        <f ca="1"/>
        <v>0</v>
      </c>
      <c r="H73" s="10">
        <f ca="1"/>
        <v>-94.842726709736255</v>
      </c>
      <c r="I73" s="7">
        <f ca="1"/>
        <v>1</v>
      </c>
      <c r="J73" s="7">
        <f ca="1"/>
        <v>-1.3467484332116726</v>
      </c>
      <c r="K73">
        <f ca="1"/>
        <v>0</v>
      </c>
      <c r="L73">
        <f ca="1"/>
        <v>6.5040217234754181</v>
      </c>
    </row>
    <row r="74" spans="2:12" x14ac:dyDescent="0.3">
      <c r="B74">
        <v>6.4000000000000001E-2</v>
      </c>
      <c r="C74">
        <f ca="1"/>
        <v>-0.33833001422660247</v>
      </c>
      <c r="D74">
        <f ca="1"/>
        <v>1</v>
      </c>
      <c r="E74" s="11">
        <f ca="1"/>
        <v>93.337707842398402</v>
      </c>
      <c r="F74" s="10">
        <f ca="1"/>
        <v>0</v>
      </c>
      <c r="G74" s="7">
        <f ca="1"/>
        <v>0</v>
      </c>
      <c r="H74" s="10">
        <f ca="1"/>
        <v>-94.842726709736255</v>
      </c>
      <c r="I74" s="7">
        <f ca="1"/>
        <v>1</v>
      </c>
      <c r="J74" s="7">
        <f ca="1"/>
        <v>-1.5050188673378528</v>
      </c>
      <c r="K74">
        <f ca="1"/>
        <v>0</v>
      </c>
      <c r="L74">
        <f ca="1"/>
        <v>6.6622921576015983</v>
      </c>
    </row>
    <row r="75" spans="2:12" x14ac:dyDescent="0.3">
      <c r="B75">
        <v>6.5000000000000002E-2</v>
      </c>
      <c r="C75">
        <f ca="1"/>
        <v>-0.3336330235951423</v>
      </c>
      <c r="D75">
        <f ca="1"/>
        <v>1</v>
      </c>
      <c r="E75" s="11">
        <f ca="1"/>
        <v>93.423561817045169</v>
      </c>
      <c r="F75" s="10">
        <f ca="1"/>
        <v>0</v>
      </c>
      <c r="G75" s="7">
        <f ca="1"/>
        <v>0</v>
      </c>
      <c r="H75" s="10">
        <f ca="1"/>
        <v>-94.842726709736255</v>
      </c>
      <c r="I75" s="7">
        <f ca="1"/>
        <v>1</v>
      </c>
      <c r="J75" s="7">
        <f ca="1"/>
        <v>-1.4191648926910858</v>
      </c>
      <c r="K75">
        <f ca="1"/>
        <v>0</v>
      </c>
      <c r="L75">
        <f ca="1"/>
        <v>6.5764381829548313</v>
      </c>
    </row>
    <row r="76" spans="2:12" x14ac:dyDescent="0.3">
      <c r="B76">
        <v>6.6000000000000003E-2</v>
      </c>
      <c r="C76">
        <f ca="1"/>
        <v>-0.27690340803007035</v>
      </c>
      <c r="D76">
        <f ca="1"/>
        <v>1</v>
      </c>
      <c r="E76" s="11">
        <f ca="1"/>
        <v>94.487684606435707</v>
      </c>
      <c r="F76" s="10">
        <f ca="1"/>
        <v>0</v>
      </c>
      <c r="G76" s="7">
        <f ca="1"/>
        <v>0</v>
      </c>
      <c r="H76" s="10">
        <f ca="1"/>
        <v>-94.842726709736255</v>
      </c>
      <c r="I76" s="7">
        <f ca="1"/>
        <v>1</v>
      </c>
      <c r="J76" s="7">
        <f ca="1"/>
        <v>-0.35504210330054775</v>
      </c>
      <c r="K76">
        <f ca="1"/>
        <v>0</v>
      </c>
      <c r="L76">
        <f ca="1"/>
        <v>5.5123153935642932</v>
      </c>
    </row>
    <row r="77" spans="2:12" x14ac:dyDescent="0.3">
      <c r="B77">
        <v>6.7000000000000004E-2</v>
      </c>
      <c r="C77">
        <f ca="1"/>
        <v>-0.2332732159109277</v>
      </c>
      <c r="D77">
        <f ca="1"/>
        <v>1</v>
      </c>
      <c r="E77" s="11">
        <f ca="1"/>
        <v>95.313889285523018</v>
      </c>
      <c r="F77" s="10">
        <f ca="1"/>
        <v>0</v>
      </c>
      <c r="G77" s="7">
        <f ca="1"/>
        <v>0</v>
      </c>
      <c r="H77" s="10">
        <f ca="1"/>
        <v>-94.842726709736255</v>
      </c>
      <c r="I77" s="7">
        <f ca="1"/>
        <v>1</v>
      </c>
      <c r="J77" s="7">
        <f ca="1"/>
        <v>0.47116257578676368</v>
      </c>
      <c r="K77">
        <f ca="1"/>
        <v>0</v>
      </c>
      <c r="L77">
        <f ca="1"/>
        <v>4.6861107144769818</v>
      </c>
    </row>
    <row r="78" spans="2:12" x14ac:dyDescent="0.3">
      <c r="B78">
        <v>6.8000000000000005E-2</v>
      </c>
      <c r="C78">
        <f ca="1"/>
        <v>-0.21374657593978497</v>
      </c>
      <c r="D78">
        <f ca="1"/>
        <v>1</v>
      </c>
      <c r="E78" s="11">
        <f ca="1"/>
        <v>95.684935358882015</v>
      </c>
      <c r="F78" s="10">
        <f ca="1"/>
        <v>0</v>
      </c>
      <c r="G78" s="7">
        <f ca="1"/>
        <v>0</v>
      </c>
      <c r="H78" s="10">
        <f ca="1"/>
        <v>-94.842726709736255</v>
      </c>
      <c r="I78" s="7">
        <f ca="1"/>
        <v>1</v>
      </c>
      <c r="J78" s="7">
        <f ca="1"/>
        <v>0.84220864914576055</v>
      </c>
      <c r="K78">
        <f ca="1"/>
        <v>0</v>
      </c>
      <c r="L78">
        <f ca="1"/>
        <v>4.3150646411179849</v>
      </c>
    </row>
    <row r="79" spans="2:12" x14ac:dyDescent="0.3">
      <c r="B79">
        <v>6.9000000000000006E-2</v>
      </c>
      <c r="C79">
        <f ca="1"/>
        <v>-0.18080848682206965</v>
      </c>
      <c r="D79">
        <f ca="1"/>
        <v>1</v>
      </c>
      <c r="E79" s="11">
        <f ca="1"/>
        <v>96.315425588951172</v>
      </c>
      <c r="F79" s="10">
        <f ca="1"/>
        <v>0</v>
      </c>
      <c r="G79" s="7">
        <f ca="1"/>
        <v>0</v>
      </c>
      <c r="H79" s="10">
        <f ca="1"/>
        <v>-94.842726709736255</v>
      </c>
      <c r="I79" s="7">
        <f ca="1"/>
        <v>1</v>
      </c>
      <c r="J79" s="7">
        <f ca="1"/>
        <v>1.4726988792149172</v>
      </c>
      <c r="K79">
        <f ca="1"/>
        <v>0</v>
      </c>
      <c r="L79">
        <f ca="1"/>
        <v>3.6845744110488283</v>
      </c>
    </row>
    <row r="80" spans="2:12" x14ac:dyDescent="0.3">
      <c r="B80">
        <v>7.0000000000000007E-2</v>
      </c>
      <c r="C80">
        <f ca="1"/>
        <v>-0.21556755319644988</v>
      </c>
      <c r="D80">
        <f ca="1"/>
        <v>1</v>
      </c>
      <c r="E80" s="11">
        <f ca="1"/>
        <v>95.646267758409408</v>
      </c>
      <c r="F80" s="10">
        <f ca="1"/>
        <v>0</v>
      </c>
      <c r="G80" s="7">
        <f ca="1"/>
        <v>0</v>
      </c>
      <c r="H80" s="10">
        <f ca="1"/>
        <v>-94.842726709736255</v>
      </c>
      <c r="I80" s="7">
        <f ca="1"/>
        <v>1</v>
      </c>
      <c r="J80" s="7">
        <f ca="1"/>
        <v>0.80354104867315357</v>
      </c>
      <c r="K80">
        <f ca="1"/>
        <v>0</v>
      </c>
      <c r="L80">
        <f ca="1"/>
        <v>4.3537322415905919</v>
      </c>
    </row>
    <row r="81" spans="2:12" x14ac:dyDescent="0.3">
      <c r="B81">
        <v>7.1000000000000008E-2</v>
      </c>
      <c r="C81">
        <f ca="1"/>
        <v>-0.15566941654984726</v>
      </c>
      <c r="D81">
        <f ca="1"/>
        <v>1</v>
      </c>
      <c r="E81" s="11">
        <f ca="1"/>
        <v>96.79702909828427</v>
      </c>
      <c r="F81" s="10">
        <f ca="1"/>
        <v>0</v>
      </c>
      <c r="G81" s="7">
        <f ca="1"/>
        <v>0</v>
      </c>
      <c r="H81" s="10">
        <f ca="1"/>
        <v>-94.842726709736255</v>
      </c>
      <c r="I81" s="7">
        <f ca="1"/>
        <v>1</v>
      </c>
      <c r="J81" s="7">
        <f ca="1"/>
        <v>1.9543023885480153</v>
      </c>
      <c r="K81">
        <f ca="1"/>
        <v>0</v>
      </c>
      <c r="L81">
        <f ca="1"/>
        <v>3.2029709017157302</v>
      </c>
    </row>
    <row r="82" spans="2:12" x14ac:dyDescent="0.3">
      <c r="B82">
        <v>7.2000000000000008E-2</v>
      </c>
      <c r="C82">
        <f ca="1"/>
        <v>-0.14201293592268729</v>
      </c>
      <c r="D82">
        <f ca="1"/>
        <v>1</v>
      </c>
      <c r="E82" s="11">
        <f ca="1"/>
        <v>97.059830613606323</v>
      </c>
      <c r="F82" s="10">
        <f ca="1"/>
        <v>0</v>
      </c>
      <c r="G82" s="7">
        <f ca="1"/>
        <v>0</v>
      </c>
      <c r="H82" s="10">
        <f ca="1"/>
        <v>-94.842726709736255</v>
      </c>
      <c r="I82" s="7">
        <f ca="1"/>
        <v>1</v>
      </c>
      <c r="J82" s="7">
        <f ca="1"/>
        <v>2.2171039038700684</v>
      </c>
      <c r="K82">
        <f ca="1"/>
        <v>0</v>
      </c>
      <c r="L82">
        <f ca="1"/>
        <v>2.9401693863936771</v>
      </c>
    </row>
    <row r="83" spans="2:12" x14ac:dyDescent="0.3">
      <c r="B83">
        <v>7.2999999999999995E-2</v>
      </c>
      <c r="C83">
        <f ca="1"/>
        <v>-0.13029309102200784</v>
      </c>
      <c r="D83">
        <f ca="1"/>
        <v>1</v>
      </c>
      <c r="E83" s="11">
        <f ca="1"/>
        <v>97.285656954237353</v>
      </c>
      <c r="F83" s="10">
        <f ca="1"/>
        <v>0</v>
      </c>
      <c r="G83" s="7">
        <f ca="1"/>
        <v>0</v>
      </c>
      <c r="H83" s="10">
        <f ca="1"/>
        <v>-94.842726709736255</v>
      </c>
      <c r="I83" s="7">
        <f ca="1"/>
        <v>1</v>
      </c>
      <c r="J83" s="7">
        <f ca="1"/>
        <v>2.442930244501099</v>
      </c>
      <c r="K83">
        <f ca="1"/>
        <v>0</v>
      </c>
      <c r="L83">
        <f ca="1"/>
        <v>2.7143430457626465</v>
      </c>
    </row>
    <row r="84" spans="2:12" x14ac:dyDescent="0.3">
      <c r="B84">
        <v>7.3999999999999996E-2</v>
      </c>
      <c r="C84">
        <f ca="1"/>
        <v>-0.10768570168332026</v>
      </c>
      <c r="D84">
        <f ca="1"/>
        <v>1</v>
      </c>
      <c r="E84" s="11">
        <f ca="1"/>
        <v>97.724573330885079</v>
      </c>
      <c r="F84" s="10">
        <f ca="1"/>
        <v>0</v>
      </c>
      <c r="G84" s="7">
        <f ca="1"/>
        <v>0</v>
      </c>
      <c r="H84" s="10">
        <f ca="1"/>
        <v>-94.842726709736255</v>
      </c>
      <c r="I84" s="7">
        <f ca="1"/>
        <v>1</v>
      </c>
      <c r="J84" s="7">
        <f ca="1"/>
        <v>2.8818466211488243</v>
      </c>
      <c r="K84">
        <f ca="1"/>
        <v>0</v>
      </c>
      <c r="L84">
        <f ca="1"/>
        <v>2.2754266691149212</v>
      </c>
    </row>
    <row r="85" spans="2:12" x14ac:dyDescent="0.3">
      <c r="B85">
        <v>7.4999999999999997E-2</v>
      </c>
      <c r="C85">
        <f ca="1"/>
        <v>-0.12597838691871199</v>
      </c>
      <c r="D85">
        <f ca="1"/>
        <v>1</v>
      </c>
      <c r="E85" s="11">
        <f ca="1"/>
        <v>97.365750244108341</v>
      </c>
      <c r="F85" s="10">
        <f ca="1"/>
        <v>0</v>
      </c>
      <c r="G85" s="7">
        <f ca="1"/>
        <v>0</v>
      </c>
      <c r="H85" s="10">
        <f ca="1"/>
        <v>-94.842726709736255</v>
      </c>
      <c r="I85" s="7">
        <f ca="1"/>
        <v>1</v>
      </c>
      <c r="J85" s="7">
        <f ca="1"/>
        <v>2.5230235343720864</v>
      </c>
      <c r="K85">
        <f ca="1"/>
        <v>0</v>
      </c>
      <c r="L85">
        <f ca="1"/>
        <v>2.6342497558916591</v>
      </c>
    </row>
    <row r="86" spans="2:12" x14ac:dyDescent="0.3">
      <c r="B86">
        <v>7.5999999999999998E-2</v>
      </c>
      <c r="C86">
        <f ca="1"/>
        <v>-0.15379076933686511</v>
      </c>
      <c r="D86">
        <f ca="1"/>
        <v>1</v>
      </c>
      <c r="E86" s="11">
        <f ca="1"/>
        <v>96.823722569081326</v>
      </c>
      <c r="F86" s="10">
        <f ca="1"/>
        <v>0</v>
      </c>
      <c r="G86" s="7">
        <f ca="1"/>
        <v>0</v>
      </c>
      <c r="H86" s="10">
        <f ca="1"/>
        <v>-94.842726709736255</v>
      </c>
      <c r="I86" s="7">
        <f ca="1"/>
        <v>1</v>
      </c>
      <c r="J86" s="7">
        <f ca="1"/>
        <v>1.9809958593450716</v>
      </c>
      <c r="K86">
        <f ca="1"/>
        <v>0</v>
      </c>
      <c r="L86">
        <f ca="1"/>
        <v>3.1762774309186739</v>
      </c>
    </row>
    <row r="87" spans="2:12" x14ac:dyDescent="0.3">
      <c r="B87">
        <v>7.6999999999999999E-2</v>
      </c>
      <c r="C87">
        <f ca="1"/>
        <v>-0.18780374979185938</v>
      </c>
      <c r="D87">
        <f ca="1"/>
        <v>1</v>
      </c>
      <c r="E87" s="11">
        <f ca="1"/>
        <v>96.165381768344346</v>
      </c>
      <c r="F87" s="10">
        <f ca="1"/>
        <v>0</v>
      </c>
      <c r="G87" s="7">
        <f ca="1"/>
        <v>0</v>
      </c>
      <c r="H87" s="10">
        <f ca="1"/>
        <v>-94.842726709736255</v>
      </c>
      <c r="I87" s="7">
        <f ca="1"/>
        <v>1</v>
      </c>
      <c r="J87" s="7">
        <f ca="1"/>
        <v>1.3226550586080918</v>
      </c>
      <c r="K87">
        <f ca="1"/>
        <v>0</v>
      </c>
      <c r="L87">
        <f ca="1"/>
        <v>3.8346182316556536</v>
      </c>
    </row>
    <row r="88" spans="2:12" x14ac:dyDescent="0.3">
      <c r="B88">
        <v>7.8E-2</v>
      </c>
      <c r="C88">
        <f ca="1"/>
        <v>-0.15730328341738226</v>
      </c>
      <c r="D88">
        <f ca="1"/>
        <v>1</v>
      </c>
      <c r="E88" s="11">
        <f ca="1"/>
        <v>96.751857365767762</v>
      </c>
      <c r="F88" s="10">
        <f ca="1"/>
        <v>0</v>
      </c>
      <c r="G88" s="7">
        <f ca="1"/>
        <v>0</v>
      </c>
      <c r="H88" s="10">
        <f ca="1"/>
        <v>-94.842726709736255</v>
      </c>
      <c r="I88" s="7">
        <f ca="1"/>
        <v>1</v>
      </c>
      <c r="J88" s="7">
        <f ca="1"/>
        <v>1.9091306560315076</v>
      </c>
      <c r="K88">
        <f ca="1"/>
        <v>0</v>
      </c>
      <c r="L88">
        <f ca="1"/>
        <v>3.2481426342322379</v>
      </c>
    </row>
    <row r="89" spans="2:12" x14ac:dyDescent="0.3">
      <c r="B89">
        <v>7.9000000000000001E-2</v>
      </c>
      <c r="C89">
        <f ca="1"/>
        <v>-0.17352905462773294</v>
      </c>
      <c r="D89">
        <f ca="1"/>
        <v>1</v>
      </c>
      <c r="E89" s="11">
        <f ca="1"/>
        <v>96.436462814398254</v>
      </c>
      <c r="F89" s="10">
        <f ca="1"/>
        <v>0</v>
      </c>
      <c r="G89" s="7">
        <f ca="1"/>
        <v>0</v>
      </c>
      <c r="H89" s="10">
        <f ca="1"/>
        <v>-94.842726709736255</v>
      </c>
      <c r="I89" s="7">
        <f ca="1"/>
        <v>1</v>
      </c>
      <c r="J89" s="7">
        <f ca="1"/>
        <v>1.5937361046619998</v>
      </c>
      <c r="K89">
        <f ca="1"/>
        <v>0</v>
      </c>
      <c r="L89">
        <f ca="1"/>
        <v>3.5635371856017457</v>
      </c>
    </row>
    <row r="90" spans="2:12" x14ac:dyDescent="0.3">
      <c r="B90">
        <v>0.08</v>
      </c>
      <c r="C90">
        <f ca="1"/>
        <v>-0.19421127692192364</v>
      </c>
      <c r="D90">
        <f ca="1"/>
        <v>1</v>
      </c>
      <c r="E90" s="11">
        <f ca="1"/>
        <v>96.036461879606733</v>
      </c>
      <c r="F90" s="10">
        <f ca="1"/>
        <v>0</v>
      </c>
      <c r="G90" s="7">
        <f ca="1"/>
        <v>0</v>
      </c>
      <c r="H90" s="10">
        <f ca="1"/>
        <v>-94.842726709736255</v>
      </c>
      <c r="I90" s="7">
        <f ca="1"/>
        <v>1</v>
      </c>
      <c r="J90" s="7">
        <f ca="1"/>
        <v>1.1937351698704788</v>
      </c>
      <c r="K90">
        <f ca="1"/>
        <v>0</v>
      </c>
      <c r="L90">
        <f ca="1"/>
        <v>3.9635381203932667</v>
      </c>
    </row>
    <row r="91" spans="2:12" x14ac:dyDescent="0.3">
      <c r="B91">
        <v>8.1000000000000003E-2</v>
      </c>
      <c r="C91">
        <f ca="1"/>
        <v>-0.19448168390366957</v>
      </c>
      <c r="D91">
        <f ca="1"/>
        <v>1</v>
      </c>
      <c r="E91" s="11">
        <f ca="1"/>
        <v>96.029347627930349</v>
      </c>
      <c r="F91" s="10">
        <f ca="1"/>
        <v>0</v>
      </c>
      <c r="G91" s="7">
        <f ca="1"/>
        <v>0</v>
      </c>
      <c r="H91" s="10">
        <f ca="1"/>
        <v>-94.842726709736255</v>
      </c>
      <c r="I91" s="7">
        <f ca="1"/>
        <v>1</v>
      </c>
      <c r="J91" s="7">
        <f ca="1"/>
        <v>1.1866209181940945</v>
      </c>
      <c r="K91">
        <f ca="1"/>
        <v>0</v>
      </c>
      <c r="L91">
        <f ca="1"/>
        <v>3.9706523720696509</v>
      </c>
    </row>
    <row r="92" spans="2:12" x14ac:dyDescent="0.3">
      <c r="B92">
        <v>8.2000000000000003E-2</v>
      </c>
      <c r="C92">
        <f ca="1"/>
        <v>-0.22578578315983858</v>
      </c>
      <c r="D92">
        <f ca="1"/>
        <v>1</v>
      </c>
      <c r="E92" s="11">
        <f ca="1"/>
        <v>95.428094752099184</v>
      </c>
      <c r="F92" s="10">
        <f ca="1"/>
        <v>0</v>
      </c>
      <c r="G92" s="7">
        <f ca="1"/>
        <v>0</v>
      </c>
      <c r="H92" s="10">
        <f ca="1"/>
        <v>-94.842726709736255</v>
      </c>
      <c r="I92" s="7">
        <f ca="1"/>
        <v>1</v>
      </c>
      <c r="J92" s="7">
        <f ca="1"/>
        <v>0.58536804236292994</v>
      </c>
      <c r="K92">
        <f ca="1"/>
        <v>0</v>
      </c>
      <c r="L92">
        <f ca="1"/>
        <v>4.5719052479008155</v>
      </c>
    </row>
    <row r="93" spans="2:12" x14ac:dyDescent="0.3">
      <c r="B93">
        <v>8.3000000000000004E-2</v>
      </c>
      <c r="C93">
        <f ca="1"/>
        <v>-0.22962115229654936</v>
      </c>
      <c r="D93">
        <f ca="1"/>
        <v>1</v>
      </c>
      <c r="E93" s="11">
        <f ca="1"/>
        <v>95.353015346720028</v>
      </c>
      <c r="F93" s="10">
        <f ca="1"/>
        <v>0</v>
      </c>
      <c r="G93" s="7">
        <f ca="1"/>
        <v>0</v>
      </c>
      <c r="H93" s="10">
        <f ca="1"/>
        <v>-94.842726709736255</v>
      </c>
      <c r="I93" s="7">
        <f ca="1"/>
        <v>1</v>
      </c>
      <c r="J93" s="7">
        <f ca="1"/>
        <v>0.51028863698377336</v>
      </c>
      <c r="K93">
        <f ca="1"/>
        <v>0</v>
      </c>
      <c r="L93">
        <f ca="1"/>
        <v>4.6469846532799721</v>
      </c>
    </row>
    <row r="94" spans="2:12" x14ac:dyDescent="0.3">
      <c r="B94">
        <v>8.4000000000000005E-2</v>
      </c>
      <c r="C94">
        <f ca="1"/>
        <v>-0.18972544834889424</v>
      </c>
      <c r="D94">
        <f ca="1"/>
        <v>1</v>
      </c>
      <c r="E94" s="11">
        <f ca="1"/>
        <v>96.114971656987152</v>
      </c>
      <c r="F94" s="10">
        <f ca="1"/>
        <v>0</v>
      </c>
      <c r="G94" s="7">
        <f ca="1"/>
        <v>0</v>
      </c>
      <c r="H94" s="10">
        <f ca="1"/>
        <v>-94.842726709736255</v>
      </c>
      <c r="I94" s="7">
        <f ca="1"/>
        <v>1</v>
      </c>
      <c r="J94" s="7">
        <f ca="1"/>
        <v>1.272244947250897</v>
      </c>
      <c r="K94">
        <f ca="1"/>
        <v>0</v>
      </c>
      <c r="L94">
        <f ca="1"/>
        <v>3.8850283430128485</v>
      </c>
    </row>
    <row r="95" spans="2:12" x14ac:dyDescent="0.3">
      <c r="B95">
        <v>8.5000000000000006E-2</v>
      </c>
      <c r="C95">
        <f ca="1"/>
        <v>-0.16782194363174796</v>
      </c>
      <c r="D95">
        <f ca="1"/>
        <v>1</v>
      </c>
      <c r="E95" s="11">
        <f ca="1"/>
        <v>96.535015481701635</v>
      </c>
      <c r="F95" s="10">
        <f ca="1"/>
        <v>0</v>
      </c>
      <c r="G95" s="7">
        <f ca="1"/>
        <v>0</v>
      </c>
      <c r="H95" s="10">
        <f ca="1"/>
        <v>-94.842726709736255</v>
      </c>
      <c r="I95" s="7">
        <f ca="1"/>
        <v>1</v>
      </c>
      <c r="J95" s="7">
        <f ca="1"/>
        <v>1.6922887719653801</v>
      </c>
      <c r="K95">
        <f ca="1"/>
        <v>0</v>
      </c>
      <c r="L95">
        <f ca="1"/>
        <v>3.4649845182983654</v>
      </c>
    </row>
    <row r="96" spans="2:12" x14ac:dyDescent="0.3">
      <c r="B96">
        <v>8.6000000000000007E-2</v>
      </c>
      <c r="C96">
        <f ca="1"/>
        <v>-0.17577072844045999</v>
      </c>
      <c r="D96">
        <f ca="1"/>
        <v>1</v>
      </c>
      <c r="E96" s="11">
        <f ca="1"/>
        <v>96.379742577827159</v>
      </c>
      <c r="F96" s="10">
        <f ca="1"/>
        <v>0</v>
      </c>
      <c r="G96" s="7">
        <f ca="1"/>
        <v>0</v>
      </c>
      <c r="H96" s="10">
        <f ca="1"/>
        <v>-94.842726709736255</v>
      </c>
      <c r="I96" s="7">
        <f ca="1"/>
        <v>1</v>
      </c>
      <c r="J96" s="7">
        <f ca="1"/>
        <v>1.5370158680909043</v>
      </c>
      <c r="K96">
        <f ca="1"/>
        <v>0</v>
      </c>
      <c r="L96">
        <f ca="1"/>
        <v>3.6202574221728412</v>
      </c>
    </row>
    <row r="97" spans="2:12" x14ac:dyDescent="0.3">
      <c r="B97">
        <v>8.7000000000000008E-2</v>
      </c>
      <c r="C97">
        <f ca="1"/>
        <v>-0.21867016314854459</v>
      </c>
      <c r="D97">
        <f ca="1"/>
        <v>1</v>
      </c>
      <c r="E97" s="11">
        <f ca="1"/>
        <v>95.554441522545304</v>
      </c>
      <c r="F97" s="10">
        <f ca="1"/>
        <v>0</v>
      </c>
      <c r="G97" s="7">
        <f ca="1"/>
        <v>0</v>
      </c>
      <c r="H97" s="10">
        <f ca="1"/>
        <v>-94.842726709736255</v>
      </c>
      <c r="I97" s="7">
        <f ca="1"/>
        <v>1</v>
      </c>
      <c r="J97" s="7">
        <f ca="1"/>
        <v>0.71171481280904914</v>
      </c>
      <c r="K97">
        <f ca="1"/>
        <v>0</v>
      </c>
      <c r="L97">
        <f ca="1"/>
        <v>4.4455584774546963</v>
      </c>
    </row>
    <row r="98" spans="2:12" x14ac:dyDescent="0.3">
      <c r="B98">
        <v>8.7999999999999995E-2</v>
      </c>
      <c r="C98">
        <f ca="1"/>
        <v>-0.18403976864287963</v>
      </c>
      <c r="D98">
        <f ca="1"/>
        <v>1</v>
      </c>
      <c r="E98" s="11">
        <f ca="1"/>
        <v>96.21663197293293</v>
      </c>
      <c r="F98" s="10">
        <f ca="1"/>
        <v>0</v>
      </c>
      <c r="G98" s="7">
        <f ca="1"/>
        <v>0</v>
      </c>
      <c r="H98" s="10">
        <f ca="1"/>
        <v>-94.842726709736255</v>
      </c>
      <c r="I98" s="7">
        <f ca="1"/>
        <v>1</v>
      </c>
      <c r="J98" s="7">
        <f ca="1"/>
        <v>1.3739052631966757</v>
      </c>
      <c r="K98">
        <f ca="1"/>
        <v>0</v>
      </c>
      <c r="L98">
        <f ca="1"/>
        <v>3.7833680270670698</v>
      </c>
    </row>
    <row r="99" spans="2:12" x14ac:dyDescent="0.3">
      <c r="B99">
        <v>8.8999999999999996E-2</v>
      </c>
      <c r="C99">
        <f ca="1"/>
        <v>-0.20602683798478713</v>
      </c>
      <c r="D99">
        <f ca="1"/>
        <v>1</v>
      </c>
      <c r="E99" s="11">
        <f ca="1"/>
        <v>95.792540671511759</v>
      </c>
      <c r="F99" s="10">
        <f ca="1"/>
        <v>0</v>
      </c>
      <c r="G99" s="7">
        <f ca="1"/>
        <v>0</v>
      </c>
      <c r="H99" s="10">
        <f ca="1"/>
        <v>-94.842726709736255</v>
      </c>
      <c r="I99" s="7">
        <f ca="1"/>
        <v>1</v>
      </c>
      <c r="J99">
        <f ca="1"/>
        <v>0.94981396177550437</v>
      </c>
      <c r="K99">
        <f ca="1"/>
        <v>0</v>
      </c>
      <c r="L99">
        <f ca="1"/>
        <v>4.2074593284882411</v>
      </c>
    </row>
    <row r="100" spans="2:12" x14ac:dyDescent="0.3">
      <c r="B100">
        <v>0.09</v>
      </c>
      <c r="C100">
        <f ca="1"/>
        <v>-0.21184274801410166</v>
      </c>
      <c r="D100">
        <f ca="1"/>
        <v>1</v>
      </c>
      <c r="E100" s="11">
        <f ca="1"/>
        <v>95.679267685587092</v>
      </c>
      <c r="F100" s="10">
        <f ca="1"/>
        <v>0</v>
      </c>
      <c r="G100" s="7">
        <f ca="1"/>
        <v>0</v>
      </c>
      <c r="H100" s="10">
        <f ca="1"/>
        <v>-94.842726709736255</v>
      </c>
      <c r="I100" s="7">
        <f ca="1"/>
        <v>1</v>
      </c>
      <c r="J100">
        <f ca="1"/>
        <v>0.83654097585083775</v>
      </c>
      <c r="K100">
        <f ca="1"/>
        <v>0</v>
      </c>
      <c r="L100">
        <f ca="1"/>
        <v>4.3207323144129077</v>
      </c>
    </row>
    <row r="101" spans="2:12" x14ac:dyDescent="0.3">
      <c r="B101">
        <v>9.0999999999999998E-2</v>
      </c>
      <c r="C101">
        <f ca="1"/>
        <v>-0.2515050589450164</v>
      </c>
      <c r="D101">
        <f ca="1"/>
        <v>1</v>
      </c>
      <c r="E101" s="11">
        <f ca="1"/>
        <v>94.921399380899629</v>
      </c>
      <c r="F101" s="10">
        <f ca="1"/>
        <v>0</v>
      </c>
      <c r="G101" s="7">
        <f ca="1"/>
        <v>0</v>
      </c>
      <c r="H101" s="10">
        <f ca="1"/>
        <v>-94.842726709736255</v>
      </c>
      <c r="I101" s="7">
        <f ca="1"/>
        <v>1</v>
      </c>
      <c r="J101">
        <f ca="1"/>
        <v>7.867267116337473E-2</v>
      </c>
      <c r="K101">
        <f ca="1"/>
        <v>0</v>
      </c>
      <c r="L101">
        <f ca="1"/>
        <v>5.0786006191003707</v>
      </c>
    </row>
    <row r="102" spans="2:12" x14ac:dyDescent="0.3">
      <c r="B102">
        <v>9.1999999999999998E-2</v>
      </c>
      <c r="C102">
        <f ca="1"/>
        <v>-0.2776137427419122</v>
      </c>
      <c r="D102">
        <f ca="1"/>
        <v>1</v>
      </c>
      <c r="E102" s="11">
        <f ca="1"/>
        <v>94.425148137945413</v>
      </c>
      <c r="F102" s="10">
        <f ca="1"/>
        <v>0</v>
      </c>
      <c r="G102" s="7">
        <f ca="1"/>
        <v>0</v>
      </c>
      <c r="H102" s="10">
        <f ca="1"/>
        <v>-94.842726709736255</v>
      </c>
      <c r="I102" s="7">
        <f ca="1"/>
        <v>1</v>
      </c>
      <c r="J102">
        <f ca="1"/>
        <v>-0.41757857179084112</v>
      </c>
      <c r="K102">
        <f ca="1"/>
        <v>0</v>
      </c>
      <c r="L102">
        <f ca="1"/>
        <v>5.5748518620545866</v>
      </c>
    </row>
    <row r="103" spans="2:12" x14ac:dyDescent="0.3">
      <c r="B103">
        <v>9.2999999999999999E-2</v>
      </c>
      <c r="C103">
        <f ca="1"/>
        <v>-0.32059157934007237</v>
      </c>
      <c r="D103">
        <f ca="1"/>
        <v>1</v>
      </c>
      <c r="E103" s="11">
        <f ca="1"/>
        <v>93.615116369692259</v>
      </c>
      <c r="F103" s="10">
        <f ca="1"/>
        <v>0</v>
      </c>
      <c r="G103" s="7">
        <f ca="1"/>
        <v>0</v>
      </c>
      <c r="H103" s="10">
        <f ca="1"/>
        <v>-94.842726709736255</v>
      </c>
      <c r="I103" s="7">
        <f ca="1"/>
        <v>1</v>
      </c>
      <c r="J103">
        <f ca="1"/>
        <v>-1.2276103400439951</v>
      </c>
      <c r="K103">
        <f ca="1"/>
        <v>0</v>
      </c>
      <c r="L103">
        <f ca="1"/>
        <v>6.3848836303077405</v>
      </c>
    </row>
    <row r="104" spans="2:12" x14ac:dyDescent="0.3">
      <c r="B104">
        <v>9.4E-2</v>
      </c>
      <c r="C104">
        <f ca="1"/>
        <v>-0.30244852943445649</v>
      </c>
      <c r="D104">
        <f ca="1"/>
        <v>1</v>
      </c>
      <c r="E104" s="11">
        <f ca="1"/>
        <v>93.953547077968338</v>
      </c>
      <c r="F104" s="10">
        <f ca="1"/>
        <v>0</v>
      </c>
      <c r="G104" s="7">
        <f ca="1"/>
        <v>0</v>
      </c>
      <c r="H104" s="10">
        <f ca="1"/>
        <v>-94.842726709736255</v>
      </c>
      <c r="I104" s="7">
        <f ca="1"/>
        <v>1</v>
      </c>
      <c r="J104">
        <f ca="1"/>
        <v>-0.88917963176791659</v>
      </c>
      <c r="K104">
        <f ca="1"/>
        <v>0</v>
      </c>
      <c r="L104">
        <f ca="1"/>
        <v>6.0464529220316621</v>
      </c>
    </row>
    <row r="105" spans="2:12" x14ac:dyDescent="0.3">
      <c r="B105">
        <v>9.5000000000000001E-2</v>
      </c>
      <c r="C105">
        <f ca="1"/>
        <v>-0.29850425650469087</v>
      </c>
      <c r="D105">
        <f ca="1"/>
        <v>1</v>
      </c>
      <c r="E105" s="11">
        <f ca="1"/>
        <v>94.025811470350689</v>
      </c>
      <c r="F105" s="10">
        <f ca="1"/>
        <v>0</v>
      </c>
      <c r="G105" s="7">
        <f ca="1"/>
        <v>0</v>
      </c>
      <c r="H105" s="10">
        <f ca="1"/>
        <v>-94.842726709736255</v>
      </c>
      <c r="I105" s="7">
        <f ca="1"/>
        <v>1</v>
      </c>
      <c r="J105">
        <f ca="1"/>
        <v>-0.81691523938556543</v>
      </c>
      <c r="K105">
        <f ca="1"/>
        <v>0</v>
      </c>
      <c r="L105">
        <f ca="1"/>
        <v>5.9741885296493109</v>
      </c>
    </row>
    <row r="106" spans="2:12" x14ac:dyDescent="0.3">
      <c r="B106">
        <v>9.6000000000000002E-2</v>
      </c>
      <c r="C106">
        <f ca="1"/>
        <v>-0.32411914765685179</v>
      </c>
      <c r="D106">
        <f ca="1"/>
        <v>1</v>
      </c>
      <c r="E106" s="11">
        <f ca="1"/>
        <v>93.543480141768541</v>
      </c>
      <c r="F106" s="10">
        <f ca="1"/>
        <v>0</v>
      </c>
      <c r="G106" s="7">
        <f ca="1"/>
        <v>0</v>
      </c>
      <c r="H106" s="10">
        <f ca="1"/>
        <v>-94.842726709736255</v>
      </c>
      <c r="I106" s="7">
        <f ca="1"/>
        <v>1</v>
      </c>
      <c r="J106">
        <f ca="1"/>
        <v>-1.2992465679677139</v>
      </c>
      <c r="K106">
        <f ca="1"/>
        <v>0</v>
      </c>
      <c r="L106">
        <f ca="1"/>
        <v>6.4565198582314594</v>
      </c>
    </row>
    <row r="107" spans="2:12" x14ac:dyDescent="0.3">
      <c r="B107">
        <v>9.7000000000000003E-2</v>
      </c>
      <c r="C107">
        <f ca="1"/>
        <v>-0.4157300841598483</v>
      </c>
      <c r="D107">
        <f ca="1"/>
        <v>1</v>
      </c>
      <c r="E107" s="11">
        <f ca="1"/>
        <v>91.843328028251875</v>
      </c>
      <c r="F107" s="10">
        <f ca="1"/>
        <v>0</v>
      </c>
      <c r="G107" s="7">
        <f ca="1"/>
        <v>0</v>
      </c>
      <c r="H107" s="10">
        <f ca="1"/>
        <v>-94.842726709736255</v>
      </c>
      <c r="I107" s="7">
        <f ca="1"/>
        <v>1</v>
      </c>
      <c r="J107">
        <f ca="1"/>
        <v>-2.9993986814843794</v>
      </c>
      <c r="K107">
        <f ca="1"/>
        <v>0</v>
      </c>
      <c r="L107">
        <f ca="1"/>
        <v>8.1566719717481249</v>
      </c>
    </row>
    <row r="108" spans="2:12" x14ac:dyDescent="0.3">
      <c r="B108">
        <v>9.8000000000000004E-2</v>
      </c>
      <c r="C108">
        <f ca="1"/>
        <v>-0.38299301756256177</v>
      </c>
      <c r="D108">
        <f ca="1"/>
        <v>1</v>
      </c>
      <c r="E108" s="11">
        <f ca="1"/>
        <v>92.4447882451027</v>
      </c>
      <c r="F108" s="10">
        <f ca="1"/>
        <v>0</v>
      </c>
      <c r="G108" s="7">
        <f ca="1"/>
        <v>0</v>
      </c>
      <c r="H108" s="10">
        <f ca="1"/>
        <v>-94.842726709736255</v>
      </c>
      <c r="I108" s="7">
        <f ca="1"/>
        <v>1</v>
      </c>
      <c r="J108">
        <f ca="1"/>
        <v>-2.3979384646335546</v>
      </c>
      <c r="K108">
        <f ca="1"/>
        <v>0</v>
      </c>
      <c r="L108">
        <f ca="1"/>
        <v>7.5552117548973001</v>
      </c>
    </row>
    <row r="109" spans="2:12" x14ac:dyDescent="0.3">
      <c r="B109">
        <v>9.9000000000000005E-2</v>
      </c>
      <c r="C109">
        <f ca="1"/>
        <v>-0.36998841813780925</v>
      </c>
      <c r="D109">
        <f ca="1"/>
        <v>1</v>
      </c>
      <c r="E109" s="11">
        <f ca="1"/>
        <v>92.683688996581793</v>
      </c>
      <c r="F109" s="10">
        <f ca="1"/>
        <v>0</v>
      </c>
      <c r="G109" s="7">
        <f ca="1"/>
        <v>0</v>
      </c>
      <c r="H109" s="10">
        <f ca="1"/>
        <v>-94.842726709736255</v>
      </c>
      <c r="I109" s="7">
        <f ca="1"/>
        <v>1</v>
      </c>
      <c r="J109">
        <f ca="1"/>
        <v>-2.1590377131544614</v>
      </c>
      <c r="K109">
        <f ca="1"/>
        <v>0</v>
      </c>
      <c r="L109">
        <f ca="1"/>
        <v>7.3163110034182068</v>
      </c>
    </row>
    <row r="110" spans="2:12" x14ac:dyDescent="0.3">
      <c r="B110">
        <v>0.1</v>
      </c>
      <c r="C110">
        <f ca="1"/>
        <v>-0.30484042643717085</v>
      </c>
      <c r="D110">
        <f ca="1"/>
        <v>1</v>
      </c>
      <c r="E110" s="11">
        <f ca="1"/>
        <v>93.897344027839651</v>
      </c>
      <c r="F110" s="10">
        <f ca="1"/>
        <v>0</v>
      </c>
      <c r="G110" s="7">
        <f ca="1"/>
        <v>0</v>
      </c>
      <c r="H110" s="10">
        <f ca="1"/>
        <v>-94.842726709736255</v>
      </c>
      <c r="I110" s="7">
        <f ca="1"/>
        <v>1</v>
      </c>
      <c r="J110">
        <f ca="1"/>
        <v>-0.94538268189660357</v>
      </c>
      <c r="K110">
        <f ca="1"/>
        <v>0</v>
      </c>
      <c r="L110">
        <f ca="1"/>
        <v>6.1026559721603491</v>
      </c>
    </row>
    <row r="111" spans="2:12" x14ac:dyDescent="0.3">
      <c r="B111">
        <v>0.10100000000000001</v>
      </c>
      <c r="C111">
        <f ca="1"/>
        <v>-0.29472305223979517</v>
      </c>
      <c r="D111">
        <f ca="1"/>
        <v>1</v>
      </c>
      <c r="E111">
        <f ca="1"/>
        <v>94.085653567817516</v>
      </c>
      <c r="F111" s="10">
        <f ca="1"/>
        <v>0</v>
      </c>
      <c r="G111" s="7">
        <f ca="1"/>
        <v>0</v>
      </c>
      <c r="H111" s="10">
        <f ca="1"/>
        <v>-94.842726709736255</v>
      </c>
      <c r="I111" s="7">
        <f ca="1"/>
        <v>1</v>
      </c>
      <c r="J111">
        <f ca="1"/>
        <v>-0.7570731419187382</v>
      </c>
      <c r="K111">
        <f ca="1"/>
        <v>0</v>
      </c>
      <c r="L111">
        <f ca="1"/>
        <v>5.9143464321824837</v>
      </c>
    </row>
    <row r="112" spans="2:12" x14ac:dyDescent="0.3">
      <c r="B112">
        <v>0.10200000000000001</v>
      </c>
      <c r="C112">
        <f ca="1"/>
        <v>-0.25082457961675408</v>
      </c>
      <c r="D112">
        <f ca="1"/>
        <v>1</v>
      </c>
      <c r="E112">
        <f ca="1"/>
        <v>94.913435417162944</v>
      </c>
      <c r="F112" s="10">
        <f ca="1"/>
        <v>0</v>
      </c>
      <c r="G112" s="7">
        <f ca="1"/>
        <v>0</v>
      </c>
      <c r="H112" s="10">
        <f ca="1"/>
        <v>-94.842726709736255</v>
      </c>
      <c r="I112" s="7">
        <f ca="1"/>
        <v>1</v>
      </c>
      <c r="J112">
        <f ca="1"/>
        <v>7.0708707426689443E-2</v>
      </c>
      <c r="K112">
        <f ca="1"/>
        <v>0</v>
      </c>
      <c r="L112">
        <f ca="1"/>
        <v>5.086564582837056</v>
      </c>
    </row>
    <row r="113" spans="2:12" x14ac:dyDescent="0.3">
      <c r="B113">
        <v>0.10300000000000001</v>
      </c>
      <c r="C113">
        <f ca="1"/>
        <v>-0.27656619557159012</v>
      </c>
      <c r="D113">
        <f ca="1"/>
        <v>1</v>
      </c>
      <c r="E113">
        <f ca="1"/>
        <v>94.424157569898711</v>
      </c>
      <c r="F113" s="10">
        <f ca="1"/>
        <v>0</v>
      </c>
      <c r="G113" s="7">
        <f ca="1"/>
        <v>0</v>
      </c>
      <c r="H113" s="10">
        <f ca="1"/>
        <v>-94.842726709736255</v>
      </c>
      <c r="I113" s="7">
        <f ca="1"/>
        <v>1</v>
      </c>
      <c r="J113">
        <f ca="1"/>
        <v>-0.41856913983754396</v>
      </c>
      <c r="K113">
        <f ca="1"/>
        <v>0</v>
      </c>
      <c r="L113">
        <f ca="1"/>
        <v>5.5758424301012894</v>
      </c>
    </row>
    <row r="114" spans="2:12" x14ac:dyDescent="0.3">
      <c r="B114">
        <v>0.10400000000000001</v>
      </c>
      <c r="C114">
        <f ca="1"/>
        <v>-0.28752787719189421</v>
      </c>
      <c r="D114">
        <f ca="1"/>
        <v>1</v>
      </c>
      <c r="E114">
        <f ca="1"/>
        <v>94.215490482235722</v>
      </c>
      <c r="F114" s="10">
        <f ca="1"/>
        <v>0</v>
      </c>
      <c r="G114" s="7">
        <f ca="1"/>
        <v>0</v>
      </c>
      <c r="H114" s="10">
        <f ca="1"/>
        <v>-94.842726709736255</v>
      </c>
      <c r="I114" s="7">
        <f ca="1"/>
        <v>1</v>
      </c>
      <c r="J114">
        <f ca="1"/>
        <v>-0.6272362275005321</v>
      </c>
      <c r="K114">
        <f ca="1"/>
        <v>0</v>
      </c>
      <c r="L114">
        <f ca="1"/>
        <v>5.7845095177642776</v>
      </c>
    </row>
    <row r="115" spans="2:12" x14ac:dyDescent="0.3">
      <c r="B115">
        <v>0.105</v>
      </c>
      <c r="C115">
        <f ca="1"/>
        <v>-0.28432203490687802</v>
      </c>
      <c r="D115">
        <f ca="1"/>
        <v>1</v>
      </c>
      <c r="E115">
        <f ca="1"/>
        <v>94.274032353383902</v>
      </c>
      <c r="F115" s="10">
        <f ca="1"/>
        <v>0</v>
      </c>
      <c r="G115" s="7">
        <f ca="1"/>
        <v>0</v>
      </c>
      <c r="H115" s="10">
        <f ca="1"/>
        <v>-94.842726709736255</v>
      </c>
      <c r="I115" s="7">
        <f ca="1"/>
        <v>1</v>
      </c>
      <c r="J115">
        <f ca="1"/>
        <v>-0.56869435635235277</v>
      </c>
      <c r="K115">
        <f ca="1"/>
        <v>0</v>
      </c>
      <c r="L115">
        <f ca="1"/>
        <v>5.7259676466160982</v>
      </c>
    </row>
    <row r="116" spans="2:12" x14ac:dyDescent="0.3">
      <c r="B116">
        <v>0.106</v>
      </c>
      <c r="C116">
        <f ca="1"/>
        <v>-0.25975308261485996</v>
      </c>
      <c r="D116">
        <f ca="1"/>
        <v>1</v>
      </c>
      <c r="E116">
        <f ca="1"/>
        <v>94.736520450290612</v>
      </c>
      <c r="F116" s="10">
        <f ca="1"/>
        <v>0</v>
      </c>
      <c r="G116" s="7">
        <f ca="1"/>
        <v>0</v>
      </c>
      <c r="H116" s="10">
        <f ca="1"/>
        <v>-94.842726709736255</v>
      </c>
      <c r="I116" s="7">
        <f ca="1"/>
        <v>1</v>
      </c>
      <c r="J116">
        <f ca="1"/>
        <v>-0.1062062594456421</v>
      </c>
      <c r="K116">
        <f ca="1"/>
        <v>0</v>
      </c>
      <c r="L116">
        <f ca="1"/>
        <v>5.2634795497093876</v>
      </c>
    </row>
    <row r="117" spans="2:12" x14ac:dyDescent="0.3">
      <c r="B117">
        <v>0.107</v>
      </c>
      <c r="C117">
        <f ca="1"/>
        <v>-0.27282266045321169</v>
      </c>
      <c r="D117">
        <f ca="1"/>
        <v>1</v>
      </c>
      <c r="E117">
        <f ca="1"/>
        <v>94.487320783759017</v>
      </c>
      <c r="F117" s="10">
        <f ca="1"/>
        <v>0</v>
      </c>
      <c r="G117" s="7">
        <f ca="1"/>
        <v>0</v>
      </c>
      <c r="H117" s="10">
        <f ca="1"/>
        <v>-94.842726709736255</v>
      </c>
      <c r="I117" s="7">
        <f ca="1"/>
        <v>1</v>
      </c>
      <c r="J117">
        <f ca="1"/>
        <v>-0.3554059259772373</v>
      </c>
      <c r="K117">
        <f ca="1"/>
        <v>0</v>
      </c>
      <c r="L117">
        <f ca="1"/>
        <v>5.5126792162409828</v>
      </c>
    </row>
    <row r="118" spans="2:12" x14ac:dyDescent="0.3">
      <c r="B118">
        <v>0.108</v>
      </c>
      <c r="C118">
        <f ca="1"/>
        <v>-0.26155979267911622</v>
      </c>
      <c r="D118">
        <f ca="1"/>
        <v>1</v>
      </c>
      <c r="E118">
        <f ca="1"/>
        <v>94.698506333323948</v>
      </c>
      <c r="F118" s="10">
        <f ca="1"/>
        <v>0</v>
      </c>
      <c r="G118" s="7">
        <f ca="1"/>
        <v>0</v>
      </c>
      <c r="H118" s="10">
        <f ca="1"/>
        <v>-94.842726709736255</v>
      </c>
      <c r="I118" s="7">
        <f ca="1"/>
        <v>1</v>
      </c>
      <c r="J118">
        <f ca="1"/>
        <v>-0.14422037641230645</v>
      </c>
      <c r="K118">
        <f ca="1"/>
        <v>0</v>
      </c>
      <c r="L118">
        <f ca="1"/>
        <v>5.3014936666760519</v>
      </c>
    </row>
    <row r="119" spans="2:12" x14ac:dyDescent="0.3">
      <c r="B119">
        <v>0.109</v>
      </c>
      <c r="C119">
        <f ca="1"/>
        <v>-0.27368641246392206</v>
      </c>
      <c r="D119">
        <f ca="1"/>
        <v>1</v>
      </c>
      <c r="E119">
        <f ca="1"/>
        <v>94.467220706490522</v>
      </c>
      <c r="F119" s="10">
        <f ca="1"/>
        <v>0</v>
      </c>
      <c r="G119" s="7">
        <f ca="1"/>
        <v>0</v>
      </c>
      <c r="H119" s="10">
        <f ca="1"/>
        <v>-94.842726709736255</v>
      </c>
      <c r="I119" s="7">
        <f ca="1"/>
        <v>1</v>
      </c>
      <c r="J119">
        <f ca="1"/>
        <v>-0.37550600324573224</v>
      </c>
      <c r="K119">
        <f ca="1"/>
        <v>0</v>
      </c>
      <c r="L119">
        <f ca="1"/>
        <v>5.5327792935094777</v>
      </c>
    </row>
    <row r="120" spans="2:12" x14ac:dyDescent="0.3">
      <c r="B120">
        <v>0.11</v>
      </c>
      <c r="C120">
        <f ca="1"/>
        <v>-0.28044486082002412</v>
      </c>
      <c r="D120">
        <f ca="1"/>
        <v>1</v>
      </c>
      <c r="E120">
        <f ca="1"/>
        <v>94.337729826533248</v>
      </c>
      <c r="F120" s="10">
        <f ca="1"/>
        <v>0</v>
      </c>
      <c r="G120" s="7">
        <f ca="1"/>
        <v>0</v>
      </c>
      <c r="H120" s="10">
        <f ca="1"/>
        <v>-94.842726709736255</v>
      </c>
      <c r="I120" s="7">
        <f ca="1"/>
        <v>1</v>
      </c>
      <c r="J120">
        <f ca="1"/>
        <v>-0.50499688320300606</v>
      </c>
      <c r="K120">
        <f ca="1"/>
        <v>0</v>
      </c>
      <c r="L120">
        <f ca="1"/>
        <v>5.6622701734667515</v>
      </c>
    </row>
    <row r="121" spans="2:12" x14ac:dyDescent="0.3">
      <c r="B121">
        <v>0.111</v>
      </c>
      <c r="C121">
        <f ca="1"/>
        <v>-0.28064727143330936</v>
      </c>
      <c r="D121">
        <f ca="1"/>
        <v>1</v>
      </c>
      <c r="E121">
        <f ca="1"/>
        <v>94.332024252931035</v>
      </c>
      <c r="F121" s="10">
        <f ca="1"/>
        <v>0</v>
      </c>
      <c r="G121" s="7">
        <f ca="1"/>
        <v>0</v>
      </c>
      <c r="H121" s="10">
        <f ca="1"/>
        <v>-94.842726709736255</v>
      </c>
      <c r="I121" s="7">
        <f ca="1"/>
        <v>1</v>
      </c>
      <c r="J121">
        <f ca="1"/>
        <v>-0.51070245680521964</v>
      </c>
      <c r="K121">
        <f ca="1"/>
        <v>0</v>
      </c>
      <c r="L121">
        <f ca="1"/>
        <v>5.6679757470689651</v>
      </c>
    </row>
    <row r="122" spans="2:12" x14ac:dyDescent="0.3">
      <c r="B122">
        <v>0.112</v>
      </c>
      <c r="C122">
        <f ca="1"/>
        <v>-0.27640372040508554</v>
      </c>
      <c r="D122">
        <f ca="1"/>
        <v>1</v>
      </c>
      <c r="E122">
        <f ca="1"/>
        <v>94.41023056485723</v>
      </c>
      <c r="F122" s="10">
        <f ca="1"/>
        <v>0</v>
      </c>
      <c r="G122" s="7">
        <f ca="1"/>
        <v>0</v>
      </c>
      <c r="H122" s="10">
        <f ca="1"/>
        <v>-94.842726709736255</v>
      </c>
      <c r="I122" s="7">
        <f ca="1"/>
        <v>1</v>
      </c>
      <c r="J122">
        <f ca="1"/>
        <v>-0.43249614487902477</v>
      </c>
      <c r="K122">
        <f ca="1"/>
        <v>0</v>
      </c>
      <c r="L122">
        <f ca="1"/>
        <v>5.5897694351427702</v>
      </c>
    </row>
    <row r="123" spans="2:12" x14ac:dyDescent="0.3">
      <c r="B123">
        <v>0.113</v>
      </c>
      <c r="C123">
        <f ca="1"/>
        <v>-0.23869913825839201</v>
      </c>
      <c r="D123">
        <f ca="1"/>
        <v>1</v>
      </c>
      <c r="E123">
        <f ca="1"/>
        <v>95.122958844352297</v>
      </c>
      <c r="F123" s="10">
        <f ca="1"/>
        <v>0</v>
      </c>
      <c r="G123" s="7">
        <f ca="1"/>
        <v>0</v>
      </c>
      <c r="H123" s="10">
        <f ca="1"/>
        <v>-94.842726709736255</v>
      </c>
      <c r="I123" s="7">
        <f ca="1"/>
        <v>1</v>
      </c>
      <c r="J123">
        <f ca="1"/>
        <v>0.28023213461604257</v>
      </c>
      <c r="K123">
        <f ca="1"/>
        <v>0</v>
      </c>
      <c r="L123">
        <f ca="1"/>
        <v>4.8770411556477029</v>
      </c>
    </row>
    <row r="124" spans="2:12" x14ac:dyDescent="0.3">
      <c r="B124">
        <v>0.114</v>
      </c>
      <c r="C124">
        <f ca="1"/>
        <v>-0.29076673086390159</v>
      </c>
      <c r="D124">
        <f ca="1"/>
        <v>1</v>
      </c>
      <c r="E124">
        <f ca="1"/>
        <v>94.135651194165348</v>
      </c>
      <c r="F124" s="10">
        <f ca="1"/>
        <v>0</v>
      </c>
      <c r="G124" s="7">
        <f ca="1"/>
        <v>0</v>
      </c>
      <c r="H124" s="10">
        <f ca="1"/>
        <v>-94.842726709736255</v>
      </c>
      <c r="I124" s="7">
        <f ca="1"/>
        <v>1</v>
      </c>
      <c r="J124">
        <f ca="1"/>
        <v>-0.70707551557090653</v>
      </c>
      <c r="K124">
        <f ca="1"/>
        <v>0</v>
      </c>
      <c r="L124">
        <f ca="1"/>
        <v>5.864348805834652</v>
      </c>
    </row>
    <row r="125" spans="2:12" x14ac:dyDescent="0.3">
      <c r="B125">
        <v>0.115</v>
      </c>
      <c r="C125">
        <f ca="1"/>
        <v>-0.26850627034687147</v>
      </c>
      <c r="D125">
        <f ca="1"/>
        <v>1</v>
      </c>
      <c r="E125">
        <f ca="1"/>
        <v>94.553795011946733</v>
      </c>
      <c r="F125" s="10">
        <f ca="1"/>
        <v>0</v>
      </c>
      <c r="G125" s="7">
        <f ca="1"/>
        <v>0</v>
      </c>
      <c r="H125" s="10">
        <f ca="1"/>
        <v>-94.842726709736255</v>
      </c>
      <c r="I125" s="7">
        <f ca="1"/>
        <v>1</v>
      </c>
      <c r="J125">
        <f ca="1"/>
        <v>-0.28893169778952199</v>
      </c>
      <c r="K125">
        <f ca="1"/>
        <v>0</v>
      </c>
      <c r="L125">
        <f ca="1"/>
        <v>5.4462049880532675</v>
      </c>
    </row>
    <row r="126" spans="2:12" x14ac:dyDescent="0.3">
      <c r="B126">
        <v>0.11600000000000001</v>
      </c>
      <c r="C126">
        <f ca="1"/>
        <v>-0.25192092409686595</v>
      </c>
      <c r="D126">
        <f ca="1"/>
        <v>1</v>
      </c>
      <c r="E126">
        <f ca="1"/>
        <v>94.866059918585051</v>
      </c>
      <c r="F126" s="10">
        <f ca="1"/>
        <v>0</v>
      </c>
      <c r="G126" s="7">
        <f ca="1"/>
        <v>0</v>
      </c>
      <c r="H126" s="10">
        <f ca="1"/>
        <v>-94.842726709736255</v>
      </c>
      <c r="I126" s="7">
        <f ca="1"/>
        <v>1</v>
      </c>
      <c r="J126">
        <f ca="1"/>
        <v>2.3333208848796971E-2</v>
      </c>
      <c r="K126">
        <f ca="1"/>
        <v>0</v>
      </c>
      <c r="L126">
        <f ca="1"/>
        <v>5.1339400814149485</v>
      </c>
    </row>
    <row r="127" spans="2:12" x14ac:dyDescent="0.3">
      <c r="B127">
        <v>0.11700000000000001</v>
      </c>
      <c r="C127">
        <f ca="1"/>
        <v>-0.28489719361501098</v>
      </c>
      <c r="D127">
        <f ca="1"/>
        <v>1</v>
      </c>
      <c r="E127">
        <f ca="1"/>
        <v>94.240568020289047</v>
      </c>
      <c r="F127" s="10">
        <f ca="1"/>
        <v>0</v>
      </c>
      <c r="G127" s="7">
        <f ca="1"/>
        <v>0</v>
      </c>
      <c r="H127" s="10">
        <f ca="1"/>
        <v>-94.842726709736255</v>
      </c>
      <c r="I127" s="7">
        <f ca="1"/>
        <v>1</v>
      </c>
      <c r="J127">
        <f ca="1"/>
        <v>-0.60215868944720796</v>
      </c>
      <c r="K127">
        <f ca="1"/>
        <v>0</v>
      </c>
      <c r="L127">
        <f ca="1"/>
        <v>5.7594319797109534</v>
      </c>
    </row>
    <row r="128" spans="2:12" x14ac:dyDescent="0.3">
      <c r="B128">
        <v>0.11800000000000001</v>
      </c>
      <c r="C128">
        <f ca="1"/>
        <v>-0.27663233366254419</v>
      </c>
      <c r="D128">
        <f ca="1"/>
        <v>1</v>
      </c>
      <c r="E128">
        <f ca="1"/>
        <v>94.394585947489631</v>
      </c>
      <c r="F128" s="10">
        <f ca="1"/>
        <v>0</v>
      </c>
      <c r="G128" s="7">
        <f ca="1"/>
        <v>0</v>
      </c>
      <c r="H128" s="10">
        <f ca="1"/>
        <v>-94.842726709736255</v>
      </c>
      <c r="I128" s="7">
        <f ca="1"/>
        <v>1</v>
      </c>
      <c r="J128">
        <f ca="1"/>
        <v>-0.44814076224662358</v>
      </c>
      <c r="K128">
        <f ca="1"/>
        <v>0</v>
      </c>
      <c r="L128">
        <f ca="1"/>
        <v>5.6054140525103691</v>
      </c>
    </row>
    <row r="129" spans="2:12" x14ac:dyDescent="0.3">
      <c r="B129">
        <v>0.11900000000000001</v>
      </c>
      <c r="C129">
        <f ca="1"/>
        <v>-0.2967664650663252</v>
      </c>
      <c r="D129">
        <f ca="1"/>
        <v>1</v>
      </c>
      <c r="E129">
        <f ca="1"/>
        <v>94.013359355484539</v>
      </c>
      <c r="F129" s="10">
        <f ca="1"/>
        <v>0</v>
      </c>
      <c r="G129" s="7">
        <f ca="1"/>
        <v>0</v>
      </c>
      <c r="H129" s="10">
        <f ca="1"/>
        <v>-94.842726709736255</v>
      </c>
      <c r="I129" s="7">
        <f ca="1"/>
        <v>1</v>
      </c>
      <c r="J129">
        <f ca="1"/>
        <v>-0.82936735425171548</v>
      </c>
      <c r="K129">
        <f ca="1"/>
        <v>0</v>
      </c>
      <c r="L129">
        <f ca="1"/>
        <v>5.986640644515461</v>
      </c>
    </row>
    <row r="130" spans="2:12" x14ac:dyDescent="0.3">
      <c r="B130">
        <v>0.12</v>
      </c>
      <c r="C130">
        <f ca="1"/>
        <v>-0.24991123821129049</v>
      </c>
      <c r="D130">
        <f ca="1"/>
        <v>1</v>
      </c>
      <c r="E130">
        <f ca="1"/>
        <v>94.896605746774313</v>
      </c>
      <c r="F130" s="10">
        <f ca="1"/>
        <v>0</v>
      </c>
      <c r="G130" s="7">
        <f ca="1"/>
        <v>0</v>
      </c>
      <c r="H130" s="10">
        <f ca="1"/>
        <v>-94.842726709736255</v>
      </c>
      <c r="I130" s="7">
        <f ca="1"/>
        <v>1</v>
      </c>
      <c r="J130">
        <f ca="1"/>
        <v>5.3879037038058186E-2</v>
      </c>
      <c r="K130">
        <f ca="1"/>
        <v>0</v>
      </c>
      <c r="L130">
        <f ca="1"/>
        <v>5.1033942532256873</v>
      </c>
    </row>
    <row r="131" spans="2:12" x14ac:dyDescent="0.3">
      <c r="B131">
        <v>0.121</v>
      </c>
      <c r="C131">
        <f ca="1"/>
        <v>-0.29129711903687744</v>
      </c>
      <c r="D131">
        <f ca="1"/>
        <v>1</v>
      </c>
      <c r="E131">
        <f ca="1"/>
        <v>94.11248936570928</v>
      </c>
      <c r="F131" s="10">
        <f ca="1"/>
        <v>0</v>
      </c>
      <c r="G131" s="7">
        <f ca="1"/>
        <v>0</v>
      </c>
      <c r="H131" s="10">
        <f ca="1"/>
        <v>-94.842726709736255</v>
      </c>
      <c r="I131" s="7">
        <f ca="1"/>
        <v>1</v>
      </c>
      <c r="J131">
        <f ca="1"/>
        <v>-0.73023734402697471</v>
      </c>
      <c r="K131">
        <f ca="1"/>
        <v>0</v>
      </c>
      <c r="L131">
        <f ca="1"/>
        <v>5.8875106342907202</v>
      </c>
    </row>
    <row r="132" spans="2:12" x14ac:dyDescent="0.3">
      <c r="B132">
        <v>0.122</v>
      </c>
      <c r="C132">
        <f ca="1"/>
        <v>-0.32125232492309352</v>
      </c>
      <c r="D132">
        <f ca="1"/>
        <v>1</v>
      </c>
      <c r="E132">
        <f ca="1"/>
        <v>93.54847218038563</v>
      </c>
      <c r="F132" s="10">
        <f ca="1"/>
        <v>0</v>
      </c>
      <c r="G132" s="7">
        <f ca="1"/>
        <v>0</v>
      </c>
      <c r="H132" s="10">
        <f ca="1"/>
        <v>-94.842726709736255</v>
      </c>
      <c r="I132" s="7">
        <f ca="1"/>
        <v>1</v>
      </c>
      <c r="J132">
        <f ca="1"/>
        <v>-1.2942545293506242</v>
      </c>
      <c r="K132">
        <f ca="1"/>
        <v>0</v>
      </c>
      <c r="L132">
        <f ca="1"/>
        <v>6.4515278196143697</v>
      </c>
    </row>
    <row r="133" spans="2:12" x14ac:dyDescent="0.3">
      <c r="B133">
        <v>0.123</v>
      </c>
      <c r="C133">
        <f ca="1"/>
        <v>-0.33542051323805355</v>
      </c>
      <c r="D133">
        <f ca="1"/>
        <v>1</v>
      </c>
      <c r="E133">
        <f ca="1"/>
        <v>93.281899269003659</v>
      </c>
      <c r="F133" s="10">
        <f ca="1"/>
        <v>0</v>
      </c>
      <c r="G133" s="7">
        <f ca="1"/>
        <v>0</v>
      </c>
      <c r="H133" s="10">
        <f ca="1"/>
        <v>-94.842726709736255</v>
      </c>
      <c r="I133" s="7">
        <f ca="1"/>
        <v>1</v>
      </c>
      <c r="J133">
        <f ca="1"/>
        <v>-1.5608274407325951</v>
      </c>
      <c r="K133">
        <f ca="1"/>
        <v>0</v>
      </c>
      <c r="L133">
        <f ca="1"/>
        <v>6.7181007309963405</v>
      </c>
    </row>
    <row r="134" spans="2:12" x14ac:dyDescent="0.3">
      <c r="B134">
        <v>0.124</v>
      </c>
      <c r="C134">
        <f ca="1"/>
        <v>-0.31406146730913143</v>
      </c>
      <c r="D134">
        <f ca="1"/>
        <v>1</v>
      </c>
      <c r="E134">
        <f ca="1"/>
        <v>93.679360471006675</v>
      </c>
      <c r="F134" s="10">
        <f ca="1"/>
        <v>0</v>
      </c>
      <c r="G134" s="7">
        <f ca="1"/>
        <v>0</v>
      </c>
      <c r="H134" s="10">
        <f ca="1"/>
        <v>-94.842726709736255</v>
      </c>
      <c r="I134" s="7">
        <f ca="1"/>
        <v>1</v>
      </c>
      <c r="J134">
        <f ca="1"/>
        <v>-1.16336623872958</v>
      </c>
      <c r="K134">
        <f ca="1"/>
        <v>0</v>
      </c>
      <c r="L134">
        <f ca="1"/>
        <v>6.3206395289933255</v>
      </c>
    </row>
    <row r="135" spans="2:12" x14ac:dyDescent="0.3">
      <c r="B135">
        <v>0.125</v>
      </c>
      <c r="C135">
        <f ca="1"/>
        <v>-0.33675061904454523</v>
      </c>
      <c r="D135">
        <f ca="1"/>
        <v>1</v>
      </c>
      <c r="E135">
        <f ca="1"/>
        <v>93.253357401291751</v>
      </c>
      <c r="F135" s="10">
        <f ca="1"/>
        <v>0</v>
      </c>
      <c r="G135" s="7">
        <f ca="1"/>
        <v>0</v>
      </c>
      <c r="H135" s="10">
        <f ca="1"/>
        <v>-94.842726709736255</v>
      </c>
      <c r="I135" s="7">
        <f ca="1"/>
        <v>1</v>
      </c>
      <c r="J135">
        <f ca="1"/>
        <v>-1.5893693084445033</v>
      </c>
      <c r="K135">
        <f ca="1"/>
        <v>0</v>
      </c>
      <c r="L135">
        <f ca="1"/>
        <v>6.7466425987082488</v>
      </c>
    </row>
    <row r="136" spans="2:12" x14ac:dyDescent="0.3">
      <c r="B136">
        <v>0.126</v>
      </c>
      <c r="C136">
        <f ca="1"/>
        <v>-0.35689365406659629</v>
      </c>
      <c r="D136">
        <f ca="1"/>
        <v>1</v>
      </c>
      <c r="E136">
        <f ca="1"/>
        <v>92.876574443054892</v>
      </c>
      <c r="F136" s="10">
        <f ca="1"/>
        <v>0</v>
      </c>
      <c r="G136" s="7">
        <f ca="1"/>
        <v>0</v>
      </c>
      <c r="H136" s="10">
        <f ca="1"/>
        <v>-94.842726709736255</v>
      </c>
      <c r="I136" s="7">
        <f ca="1"/>
        <v>1</v>
      </c>
      <c r="J136">
        <f ca="1"/>
        <v>-1.9661522666813624</v>
      </c>
      <c r="K136">
        <f ca="1"/>
        <v>0</v>
      </c>
      <c r="L136">
        <f ca="1"/>
        <v>7.1234255569451079</v>
      </c>
    </row>
    <row r="137" spans="2:12" x14ac:dyDescent="0.3">
      <c r="B137">
        <v>0.127</v>
      </c>
      <c r="C137">
        <f ca="1"/>
        <v>-0.37724269948740763</v>
      </c>
      <c r="D137">
        <f ca="1"/>
        <v>1</v>
      </c>
      <c r="E137">
        <f ca="1"/>
        <v>92.497502679143324</v>
      </c>
      <c r="F137" s="10">
        <f ca="1"/>
        <v>0</v>
      </c>
      <c r="G137" s="7">
        <f ca="1"/>
        <v>0</v>
      </c>
      <c r="H137" s="10">
        <f ca="1"/>
        <v>-94.842726709736255</v>
      </c>
      <c r="I137" s="7">
        <f ca="1"/>
        <v>1</v>
      </c>
      <c r="J137">
        <f ca="1"/>
        <v>-2.3452240305929308</v>
      </c>
      <c r="K137">
        <f ca="1"/>
        <v>0</v>
      </c>
      <c r="L137">
        <f ca="1"/>
        <v>7.5024973208566763</v>
      </c>
    </row>
    <row r="138" spans="2:12" x14ac:dyDescent="0.3">
      <c r="B138">
        <v>0.128</v>
      </c>
      <c r="C138">
        <f ca="1"/>
        <v>-0.40475396974527283</v>
      </c>
      <c r="D138">
        <f ca="1"/>
        <v>1</v>
      </c>
      <c r="E138">
        <f ca="1"/>
        <v>91.988115746729889</v>
      </c>
      <c r="F138" s="10">
        <f ca="1"/>
        <v>0</v>
      </c>
      <c r="G138" s="7">
        <f ca="1"/>
        <v>0</v>
      </c>
      <c r="H138" s="10">
        <f ca="1"/>
        <v>-94.842726709736255</v>
      </c>
      <c r="I138" s="7">
        <f ca="1"/>
        <v>1</v>
      </c>
      <c r="J138">
        <f ca="1"/>
        <v>-2.8546109630063654</v>
      </c>
      <c r="K138">
        <f ca="1"/>
        <v>0</v>
      </c>
      <c r="L138">
        <f ca="1"/>
        <v>8.0118842532701109</v>
      </c>
    </row>
    <row r="139" spans="2:12" x14ac:dyDescent="0.3">
      <c r="B139">
        <v>0.129</v>
      </c>
      <c r="C139">
        <f ca="1"/>
        <v>-0.43319491758015555</v>
      </c>
      <c r="D139">
        <f ca="1"/>
        <v>1</v>
      </c>
      <c r="E139">
        <f ca="1"/>
        <v>91.464525940767601</v>
      </c>
      <c r="F139" s="10">
        <f ca="1"/>
        <v>0</v>
      </c>
      <c r="G139" s="7">
        <f ca="1"/>
        <v>0</v>
      </c>
      <c r="H139" s="10">
        <f ca="1"/>
        <v>-94.842726709736255</v>
      </c>
      <c r="I139" s="7">
        <f ca="1"/>
        <v>1</v>
      </c>
      <c r="J139">
        <f ca="1"/>
        <v>-3.3782007689686537</v>
      </c>
      <c r="K139">
        <f ca="1"/>
        <v>0</v>
      </c>
      <c r="L139">
        <f ca="1"/>
        <v>8.5354740592323992</v>
      </c>
    </row>
    <row r="140" spans="2:12" x14ac:dyDescent="0.3">
      <c r="B140">
        <v>0.13</v>
      </c>
      <c r="C140">
        <f ca="1"/>
        <v>-0.4654649321604995</v>
      </c>
      <c r="D140">
        <f ca="1"/>
        <v>1</v>
      </c>
      <c r="E140">
        <f ca="1"/>
        <v>90.874296966666677</v>
      </c>
      <c r="F140" s="10">
        <f ca="1"/>
        <v>0</v>
      </c>
      <c r="G140" s="7">
        <f ca="1"/>
        <v>0</v>
      </c>
      <c r="H140" s="10">
        <f ca="1"/>
        <v>-94.842726709736255</v>
      </c>
      <c r="I140" s="7">
        <f ca="1"/>
        <v>1</v>
      </c>
      <c r="J140">
        <f ca="1"/>
        <v>-3.9684297430695779</v>
      </c>
      <c r="K140">
        <f ca="1"/>
        <v>0</v>
      </c>
      <c r="L140">
        <f ca="1"/>
        <v>9.1257030333333233</v>
      </c>
    </row>
    <row r="141" spans="2:12" x14ac:dyDescent="0.3">
      <c r="B141">
        <v>0.13100000000000001</v>
      </c>
      <c r="C141">
        <f ca="1"/>
        <v>-0.4864407544618507</v>
      </c>
      <c r="D141">
        <f ca="1"/>
        <v>1</v>
      </c>
      <c r="E141">
        <f ca="1"/>
        <v>90.492053036219431</v>
      </c>
      <c r="F141" s="10">
        <f ca="1"/>
        <v>0</v>
      </c>
      <c r="G141" s="7">
        <f ca="1"/>
        <v>0</v>
      </c>
      <c r="H141" s="10">
        <f ca="1"/>
        <v>-94.842726709736255</v>
      </c>
      <c r="I141" s="7">
        <f ca="1"/>
        <v>1</v>
      </c>
      <c r="J141">
        <f ca="1"/>
        <v>-4.3506736735168232</v>
      </c>
      <c r="K141">
        <f ca="1"/>
        <v>0</v>
      </c>
      <c r="L141">
        <f ca="1"/>
        <v>9.5079469637805687</v>
      </c>
    </row>
    <row r="142" spans="2:12" x14ac:dyDescent="0.3">
      <c r="B142">
        <v>0.13200000000000001</v>
      </c>
      <c r="C142">
        <f ca="1"/>
        <v>-0.50863624456287471</v>
      </c>
      <c r="D142">
        <f ca="1"/>
        <v>1</v>
      </c>
      <c r="E142">
        <f ca="1"/>
        <v>90.089438417822535</v>
      </c>
      <c r="F142" s="10">
        <f ca="1"/>
        <v>0</v>
      </c>
      <c r="G142" s="7">
        <f ca="1"/>
        <v>0</v>
      </c>
      <c r="H142" s="10">
        <f ca="1"/>
        <v>-94.842726709736255</v>
      </c>
      <c r="I142" s="7">
        <f ca="1"/>
        <v>1</v>
      </c>
      <c r="J142">
        <f ca="1"/>
        <v>-4.7532882919137194</v>
      </c>
      <c r="K142">
        <f ca="1"/>
        <v>0</v>
      </c>
      <c r="L142">
        <f ca="1"/>
        <v>9.9105615821774649</v>
      </c>
    </row>
    <row r="143" spans="2:12" x14ac:dyDescent="0.3">
      <c r="B143">
        <v>0.13300000000000001</v>
      </c>
      <c r="C143">
        <f ca="1"/>
        <v>-0.50768747049100749</v>
      </c>
      <c r="D143">
        <f ca="1"/>
        <v>1</v>
      </c>
      <c r="E143">
        <f ca="1"/>
        <v>90.10473283183164</v>
      </c>
      <c r="F143" s="10">
        <f ca="1"/>
        <v>0</v>
      </c>
      <c r="G143" s="7">
        <f ca="1"/>
        <v>0</v>
      </c>
      <c r="H143">
        <f ca="1"/>
        <v>-94.842726709736255</v>
      </c>
      <c r="I143" s="7">
        <f ca="1"/>
        <v>1</v>
      </c>
      <c r="J143">
        <f ca="1"/>
        <v>-4.7379938779046142</v>
      </c>
      <c r="K143">
        <f ca="1"/>
        <v>0</v>
      </c>
      <c r="L143">
        <f ca="1"/>
        <v>9.8952671681683597</v>
      </c>
    </row>
    <row r="144" spans="2:12" x14ac:dyDescent="0.3">
      <c r="B144">
        <v>0.13400000000000001</v>
      </c>
      <c r="C144">
        <f ca="1"/>
        <v>-0.49679675317632971</v>
      </c>
      <c r="D144">
        <f ca="1"/>
        <v>1</v>
      </c>
      <c r="E144">
        <f ca="1"/>
        <v>90.299401758150381</v>
      </c>
      <c r="F144" s="10">
        <f ca="1"/>
        <v>0</v>
      </c>
      <c r="G144" s="7">
        <f ca="1"/>
        <v>0</v>
      </c>
      <c r="H144">
        <f ca="1"/>
        <v>-94.842726709736255</v>
      </c>
      <c r="I144" s="7">
        <f ca="1"/>
        <v>1</v>
      </c>
      <c r="J144">
        <f ca="1"/>
        <v>-4.5433249515858734</v>
      </c>
      <c r="K144">
        <f ca="1"/>
        <v>0</v>
      </c>
      <c r="L144">
        <f ca="1"/>
        <v>9.7005982418496188</v>
      </c>
    </row>
    <row r="145" spans="2:12" x14ac:dyDescent="0.3">
      <c r="B145">
        <v>0.13500000000000001</v>
      </c>
      <c r="C145">
        <f ca="1"/>
        <v>-0.50003089646493981</v>
      </c>
      <c r="D145">
        <f ca="1"/>
        <v>1</v>
      </c>
      <c r="E145">
        <f ca="1"/>
        <v>90.23920760110785</v>
      </c>
      <c r="F145" s="10">
        <f ca="1"/>
        <v>0</v>
      </c>
      <c r="G145" s="7">
        <f ca="1"/>
        <v>0</v>
      </c>
      <c r="H145">
        <f ca="1"/>
        <v>-94.842726709736255</v>
      </c>
      <c r="I145" s="7">
        <f ca="1"/>
        <v>1</v>
      </c>
      <c r="J145">
        <f ca="1"/>
        <v>-4.6035191086284044</v>
      </c>
      <c r="K145">
        <f ca="1"/>
        <v>0</v>
      </c>
      <c r="L145">
        <f ca="1"/>
        <v>9.7607923988921499</v>
      </c>
    </row>
    <row r="146" spans="2:12" x14ac:dyDescent="0.3">
      <c r="B146">
        <v>0.13600000000000001</v>
      </c>
      <c r="C146">
        <f ca="1"/>
        <v>-0.48294828260048395</v>
      </c>
      <c r="D146">
        <f ca="1"/>
        <v>1</v>
      </c>
      <c r="E146">
        <f ca="1"/>
        <v>90.546228230854524</v>
      </c>
      <c r="F146" s="10">
        <f ca="1"/>
        <v>0</v>
      </c>
      <c r="G146" s="7">
        <f ca="1"/>
        <v>0</v>
      </c>
      <c r="H146">
        <f ca="1"/>
        <v>-94.842726709736255</v>
      </c>
      <c r="I146" s="7">
        <f ca="1"/>
        <v>1</v>
      </c>
      <c r="J146">
        <f ca="1"/>
        <v>-4.2964984788817304</v>
      </c>
      <c r="K146">
        <f ca="1"/>
        <v>0</v>
      </c>
      <c r="L146">
        <f ca="1"/>
        <v>9.4537717691454759</v>
      </c>
    </row>
    <row r="147" spans="2:12" x14ac:dyDescent="0.3">
      <c r="B147">
        <v>0.13700000000000001</v>
      </c>
      <c r="C147">
        <f ca="1"/>
        <v>-0.45357556569151686</v>
      </c>
      <c r="D147">
        <f ca="1"/>
        <v>1</v>
      </c>
      <c r="E147">
        <f ca="1"/>
        <v>91.077889851513433</v>
      </c>
      <c r="F147" s="10">
        <f ca="1"/>
        <v>0</v>
      </c>
      <c r="G147" s="7">
        <f ca="1"/>
        <v>0</v>
      </c>
      <c r="H147">
        <f ca="1"/>
        <v>-94.842726709736255</v>
      </c>
      <c r="I147" s="7">
        <f ca="1"/>
        <v>1</v>
      </c>
      <c r="J147">
        <f ca="1"/>
        <v>-3.7648368582228215</v>
      </c>
      <c r="K147">
        <f ca="1"/>
        <v>0</v>
      </c>
      <c r="L147">
        <f ca="1"/>
        <v>8.922110148486567</v>
      </c>
    </row>
    <row r="148" spans="2:12" x14ac:dyDescent="0.3">
      <c r="B148">
        <v>0.13800000000000001</v>
      </c>
      <c r="C148">
        <f ca="1"/>
        <v>-0.4537637698856008</v>
      </c>
      <c r="D148">
        <f ca="1"/>
        <v>1</v>
      </c>
      <c r="E148">
        <f ca="1"/>
        <v>91.072640196843423</v>
      </c>
      <c r="F148" s="10">
        <f ca="1"/>
        <v>0</v>
      </c>
      <c r="G148" s="7">
        <f ca="1"/>
        <v>0</v>
      </c>
      <c r="H148">
        <f ca="1"/>
        <v>-94.842726709736255</v>
      </c>
      <c r="I148" s="7">
        <f ca="1"/>
        <v>1</v>
      </c>
      <c r="J148">
        <f ca="1"/>
        <v>-3.7700865128928314</v>
      </c>
      <c r="K148">
        <f ca="1"/>
        <v>0</v>
      </c>
      <c r="L148">
        <f ca="1"/>
        <v>8.9273598031565768</v>
      </c>
    </row>
    <row r="149" spans="2:12" x14ac:dyDescent="0.3">
      <c r="B149">
        <v>0.13900000000000001</v>
      </c>
      <c r="C149">
        <f ca="1"/>
        <v>-0.42574547540323771</v>
      </c>
      <c r="D149">
        <f ca="1"/>
        <v>1</v>
      </c>
      <c r="E149">
        <f ca="1"/>
        <v>91.582581097648756</v>
      </c>
      <c r="F149" s="10">
        <f ca="1"/>
        <v>0</v>
      </c>
      <c r="G149" s="7">
        <f ca="1"/>
        <v>0</v>
      </c>
      <c r="H149">
        <f ca="1"/>
        <v>-94.842726709736255</v>
      </c>
      <c r="I149" s="7">
        <f ca="1"/>
        <v>1</v>
      </c>
      <c r="J149">
        <f ca="1"/>
        <v>-3.2601456120874985</v>
      </c>
      <c r="K149">
        <f ca="1"/>
        <v>0</v>
      </c>
      <c r="L149">
        <f ca="1"/>
        <v>8.417418902351244</v>
      </c>
    </row>
    <row r="150" spans="2:12" x14ac:dyDescent="0.3">
      <c r="B150">
        <v>0.14000000000000001</v>
      </c>
      <c r="C150">
        <f ca="1"/>
        <v>-0.40838942586418897</v>
      </c>
      <c r="D150">
        <f ca="1"/>
        <v>1</v>
      </c>
      <c r="E150">
        <f ca="1"/>
        <v>91.899197850087759</v>
      </c>
      <c r="F150" s="10">
        <f ca="1"/>
        <v>0</v>
      </c>
      <c r="G150" s="7">
        <f ca="1"/>
        <v>0</v>
      </c>
      <c r="H150">
        <f ca="1"/>
        <v>-94.842726709736255</v>
      </c>
      <c r="I150" s="7">
        <f ca="1"/>
        <v>1</v>
      </c>
      <c r="J150">
        <f ca="1"/>
        <v>-2.9435288596484952</v>
      </c>
      <c r="K150">
        <f ca="1"/>
        <v>0</v>
      </c>
      <c r="L150">
        <f ca="1"/>
        <v>8.1008021499122407</v>
      </c>
    </row>
    <row r="151" spans="2:12" x14ac:dyDescent="0.3">
      <c r="B151">
        <v>0.14100000000000001</v>
      </c>
      <c r="C151">
        <f ca="1"/>
        <v>-0.37814227653198873</v>
      </c>
      <c r="D151">
        <f ca="1"/>
        <v>1</v>
      </c>
      <c r="E151">
        <f ca="1"/>
        <v>92.454971433512227</v>
      </c>
      <c r="F151" s="10">
        <f ca="1"/>
        <v>0</v>
      </c>
      <c r="G151" s="7">
        <f ca="1"/>
        <v>0</v>
      </c>
      <c r="H151">
        <f ca="1"/>
        <v>-94.842726709736255</v>
      </c>
      <c r="I151" s="7">
        <f ca="1"/>
        <v>1</v>
      </c>
      <c r="J151">
        <f ca="1"/>
        <v>-2.3877552762240271</v>
      </c>
      <c r="K151">
        <f ca="1"/>
        <v>0</v>
      </c>
      <c r="L151">
        <f ca="1"/>
        <v>7.5450285664877725</v>
      </c>
    </row>
    <row r="152" spans="2:12" x14ac:dyDescent="0.3">
      <c r="B152">
        <v>0.14200000000000002</v>
      </c>
      <c r="C152">
        <f ca="1"/>
        <v>-0.36622050024367686</v>
      </c>
      <c r="D152">
        <f ca="1"/>
        <v>1</v>
      </c>
      <c r="E152">
        <f ca="1"/>
        <v>92.673826454875126</v>
      </c>
      <c r="F152" s="10">
        <f ca="1"/>
        <v>0</v>
      </c>
      <c r="G152" s="7">
        <f ca="1"/>
        <v>0</v>
      </c>
      <c r="H152">
        <f ca="1"/>
        <v>-94.842726709736255</v>
      </c>
      <c r="I152" s="7">
        <f ca="1"/>
        <v>1</v>
      </c>
      <c r="J152">
        <f ca="1"/>
        <v>-2.1689002548611285</v>
      </c>
      <c r="K152">
        <f ca="1"/>
        <v>0</v>
      </c>
      <c r="L152">
        <f ca="1"/>
        <v>7.326173545124874</v>
      </c>
    </row>
    <row r="153" spans="2:12" x14ac:dyDescent="0.3">
      <c r="B153">
        <v>0.14300000000000002</v>
      </c>
      <c r="C153">
        <f ca="1"/>
        <v>-0.35415520244603821</v>
      </c>
      <c r="D153">
        <f ca="1"/>
        <v>1</v>
      </c>
      <c r="E153">
        <f ca="1"/>
        <v>92.895866012170117</v>
      </c>
      <c r="F153" s="10">
        <f ca="1"/>
        <v>0</v>
      </c>
      <c r="G153" s="7">
        <f ca="1"/>
        <v>0</v>
      </c>
      <c r="H153">
        <f ca="1"/>
        <v>-94.842726709736255</v>
      </c>
      <c r="I153" s="7">
        <f ca="1"/>
        <v>1</v>
      </c>
      <c r="J153">
        <f ca="1"/>
        <v>-1.9468606975661373</v>
      </c>
      <c r="K153">
        <f ca="1"/>
        <v>0</v>
      </c>
      <c r="L153">
        <f ca="1"/>
        <v>7.1041339878298828</v>
      </c>
    </row>
    <row r="154" spans="2:12" x14ac:dyDescent="0.3">
      <c r="B154">
        <v>0.14400000000000002</v>
      </c>
      <c r="C154">
        <f ca="1"/>
        <v>-0.40414503579253586</v>
      </c>
      <c r="D154">
        <f ca="1"/>
        <v>1</v>
      </c>
      <c r="E154">
        <f ca="1"/>
        <v>91.969884293993303</v>
      </c>
      <c r="F154" s="10">
        <f ca="1"/>
        <v>0</v>
      </c>
      <c r="G154" s="7">
        <f ca="1"/>
        <v>0</v>
      </c>
      <c r="H154">
        <f ca="1"/>
        <v>-94.842726709736255</v>
      </c>
      <c r="I154" s="7">
        <f ca="1"/>
        <v>1</v>
      </c>
      <c r="J154">
        <f ca="1"/>
        <v>-2.8728424157429515</v>
      </c>
      <c r="K154">
        <f ca="1"/>
        <v>0</v>
      </c>
      <c r="L154">
        <f ca="1"/>
        <v>8.030115706006697</v>
      </c>
    </row>
    <row r="155" spans="2:12" x14ac:dyDescent="0.3">
      <c r="B155">
        <v>0.14499999999999999</v>
      </c>
      <c r="C155">
        <f ca="1"/>
        <v>-0.39638968196401703</v>
      </c>
      <c r="D155">
        <f ca="1"/>
        <v>1</v>
      </c>
      <c r="E155">
        <f ca="1"/>
        <v>92.110804547072377</v>
      </c>
      <c r="F155" s="10">
        <f ca="1"/>
        <v>0</v>
      </c>
      <c r="G155" s="7">
        <f ca="1"/>
        <v>0</v>
      </c>
      <c r="H155">
        <f ca="1"/>
        <v>-94.842726709736255</v>
      </c>
      <c r="I155" s="7">
        <f ca="1"/>
        <v>1</v>
      </c>
      <c r="J155">
        <f ca="1"/>
        <v>-2.7319221626638779</v>
      </c>
      <c r="K155">
        <f ca="1"/>
        <v>0</v>
      </c>
      <c r="L155">
        <f ca="1"/>
        <v>7.8891954529276234</v>
      </c>
    </row>
    <row r="156" spans="2:12" x14ac:dyDescent="0.3">
      <c r="B156">
        <v>0.14599999999999999</v>
      </c>
      <c r="C156">
        <f ca="1"/>
        <v>-0.38358015168908577</v>
      </c>
      <c r="D156">
        <f ca="1"/>
        <v>1</v>
      </c>
      <c r="E156">
        <f ca="1"/>
        <v>92.34523938832227</v>
      </c>
      <c r="F156" s="10">
        <f ca="1"/>
        <v>0</v>
      </c>
      <c r="G156" s="7">
        <f ca="1"/>
        <v>0</v>
      </c>
      <c r="H156">
        <f ca="1"/>
        <v>-94.842726709736255</v>
      </c>
      <c r="I156" s="7">
        <f ca="1"/>
        <v>1</v>
      </c>
      <c r="J156">
        <f ca="1"/>
        <v>-2.4974873214139848</v>
      </c>
      <c r="K156">
        <f ca="1"/>
        <v>0</v>
      </c>
      <c r="L156">
        <f ca="1"/>
        <v>7.6547606116777303</v>
      </c>
    </row>
    <row r="157" spans="2:12" x14ac:dyDescent="0.3">
      <c r="B157">
        <v>0.14699999999999999</v>
      </c>
      <c r="C157">
        <f ca="1"/>
        <v>-0.39942678685941696</v>
      </c>
      <c r="D157">
        <f ca="1"/>
        <v>1</v>
      </c>
      <c r="E157">
        <f ca="1"/>
        <v>92.051189379945924</v>
      </c>
      <c r="F157" s="10">
        <f ca="1"/>
        <v>0</v>
      </c>
      <c r="G157" s="7">
        <f ca="1"/>
        <v>0</v>
      </c>
      <c r="H157">
        <f ca="1"/>
        <v>-94.842726709736255</v>
      </c>
      <c r="I157" s="7">
        <f ca="1"/>
        <v>1</v>
      </c>
      <c r="J157">
        <f ca="1"/>
        <v>-2.7915373297903301</v>
      </c>
      <c r="K157">
        <f ca="1"/>
        <v>0</v>
      </c>
      <c r="L157">
        <f ca="1"/>
        <v>7.9488106200540756</v>
      </c>
    </row>
    <row r="158" spans="2:12" x14ac:dyDescent="0.3">
      <c r="B158">
        <v>0.14799999999999999</v>
      </c>
      <c r="C158">
        <f ca="1"/>
        <v>-0.36973435308320052</v>
      </c>
      <c r="D158">
        <f ca="1"/>
        <v>1</v>
      </c>
      <c r="E158">
        <f ca="1"/>
        <v>92.597608517290482</v>
      </c>
      <c r="F158" s="10">
        <f ca="1"/>
        <v>0</v>
      </c>
      <c r="G158" s="7">
        <f ca="1"/>
        <v>0</v>
      </c>
      <c r="H158">
        <f ca="1"/>
        <v>-94.842726709736255</v>
      </c>
      <c r="I158" s="7">
        <f ca="1"/>
        <v>1</v>
      </c>
      <c r="J158">
        <f ca="1"/>
        <v>-2.2451181924457728</v>
      </c>
      <c r="K158">
        <f ca="1"/>
        <v>0</v>
      </c>
      <c r="L158">
        <f ca="1"/>
        <v>7.4023914827095183</v>
      </c>
    </row>
    <row r="159" spans="2:12" x14ac:dyDescent="0.3">
      <c r="B159">
        <v>0.14899999999999999</v>
      </c>
      <c r="C159">
        <f ca="1"/>
        <v>-0.36638119226677801</v>
      </c>
      <c r="D159">
        <f ca="1"/>
        <v>1</v>
      </c>
      <c r="E159">
        <f ca="1"/>
        <v>92.657875103198634</v>
      </c>
      <c r="F159" s="10">
        <f ca="1"/>
        <v>0</v>
      </c>
      <c r="G159" s="7">
        <f ca="1"/>
        <v>0</v>
      </c>
      <c r="H159">
        <f ca="1"/>
        <v>-94.842726709736255</v>
      </c>
      <c r="I159" s="7">
        <f ca="1"/>
        <v>1</v>
      </c>
      <c r="J159">
        <f ca="1"/>
        <v>-2.1848516065376202</v>
      </c>
      <c r="K159">
        <f ca="1"/>
        <v>0</v>
      </c>
      <c r="L159">
        <f ca="1"/>
        <v>7.3421248968013657</v>
      </c>
    </row>
    <row r="160" spans="2:12" x14ac:dyDescent="0.3">
      <c r="B160">
        <v>0.15</v>
      </c>
      <c r="C160">
        <f ca="1"/>
        <v>-0.3808370050915833</v>
      </c>
      <c r="D160">
        <f ca="1"/>
        <v>1</v>
      </c>
      <c r="E160">
        <f ca="1"/>
        <v>92.388525216727899</v>
      </c>
      <c r="F160" s="10">
        <f ca="1"/>
        <v>0</v>
      </c>
      <c r="G160" s="7">
        <f ca="1"/>
        <v>0</v>
      </c>
      <c r="H160">
        <f ca="1"/>
        <v>-94.842726709736255</v>
      </c>
      <c r="I160" s="7">
        <f ca="1"/>
        <v>1</v>
      </c>
      <c r="J160">
        <f ca="1"/>
        <v>-2.4542014930083553</v>
      </c>
      <c r="K160">
        <f ca="1"/>
        <v>0</v>
      </c>
      <c r="L160">
        <f ca="1"/>
        <v>7.6114747832721008</v>
      </c>
    </row>
    <row r="161" spans="2:12" x14ac:dyDescent="0.3">
      <c r="B161">
        <v>0.151</v>
      </c>
      <c r="C161">
        <f ca="1"/>
        <v>-0.36659791779106721</v>
      </c>
      <c r="D161">
        <f ca="1"/>
        <v>1</v>
      </c>
      <c r="E161">
        <f ca="1"/>
        <v>92.65015284469294</v>
      </c>
      <c r="F161" s="10">
        <f ca="1"/>
        <v>0</v>
      </c>
      <c r="G161" s="7">
        <f ca="1"/>
        <v>0</v>
      </c>
      <c r="H161">
        <f ca="1"/>
        <v>-94.842726709736255</v>
      </c>
      <c r="I161" s="7">
        <f ca="1"/>
        <v>1</v>
      </c>
      <c r="J161">
        <f ca="1"/>
        <v>-2.1925738650433146</v>
      </c>
      <c r="K161">
        <f ca="1"/>
        <v>0</v>
      </c>
      <c r="L161">
        <f ca="1"/>
        <v>7.3498471553070601</v>
      </c>
    </row>
    <row r="162" spans="2:12" x14ac:dyDescent="0.3">
      <c r="B162">
        <v>0.152</v>
      </c>
      <c r="C162">
        <f ca="1"/>
        <v>-0.29587922507071346</v>
      </c>
      <c r="D162">
        <f ca="1"/>
        <v>1</v>
      </c>
      <c r="E162">
        <f ca="1"/>
        <v>93.968003964865673</v>
      </c>
      <c r="F162" s="10">
        <f ca="1"/>
        <v>0</v>
      </c>
      <c r="G162" s="7">
        <f ca="1"/>
        <v>0</v>
      </c>
      <c r="H162">
        <f ca="1"/>
        <v>-94.842726709736255</v>
      </c>
      <c r="I162" s="7">
        <f ca="1"/>
        <v>1</v>
      </c>
      <c r="J162">
        <f ca="1"/>
        <v>-0.87472274487058144</v>
      </c>
      <c r="K162">
        <f ca="1"/>
        <v>0</v>
      </c>
      <c r="L162">
        <f ca="1"/>
        <v>6.0319960351343269</v>
      </c>
    </row>
    <row r="163" spans="2:12" x14ac:dyDescent="0.3">
      <c r="B163">
        <v>0.153</v>
      </c>
      <c r="C163">
        <f ca="1"/>
        <v>-0.29854229172073221</v>
      </c>
      <c r="D163">
        <f ca="1"/>
        <v>1</v>
      </c>
      <c r="E163">
        <f ca="1"/>
        <v>93.916090338682878</v>
      </c>
      <c r="F163" s="10">
        <f ca="1"/>
        <v>0</v>
      </c>
      <c r="G163" s="7">
        <f ca="1"/>
        <v>0</v>
      </c>
      <c r="H163">
        <f ca="1"/>
        <v>-94.842726709736255</v>
      </c>
      <c r="I163" s="7">
        <f ca="1"/>
        <v>1</v>
      </c>
      <c r="J163">
        <f ca="1"/>
        <v>-0.92663637105337671</v>
      </c>
      <c r="K163">
        <f ca="1"/>
        <v>0</v>
      </c>
      <c r="L163">
        <f ca="1"/>
        <v>6.0839096613171222</v>
      </c>
    </row>
    <row r="164" spans="2:12" x14ac:dyDescent="0.3">
      <c r="B164">
        <v>0.154</v>
      </c>
      <c r="C164">
        <f ca="1"/>
        <v>-0.31767367784881223</v>
      </c>
      <c r="D164">
        <f ca="1"/>
        <v>1</v>
      </c>
      <c r="E164">
        <f ca="1"/>
        <v>93.555556819698964</v>
      </c>
      <c r="F164" s="10">
        <f ca="1"/>
        <v>0</v>
      </c>
      <c r="G164" s="7">
        <f ca="1"/>
        <v>0</v>
      </c>
      <c r="H164">
        <f ca="1"/>
        <v>-94.842726709736255</v>
      </c>
      <c r="I164" s="7">
        <f ca="1"/>
        <v>1</v>
      </c>
      <c r="J164">
        <f ca="1"/>
        <v>-1.2871698900372905</v>
      </c>
      <c r="K164">
        <f ca="1"/>
        <v>0</v>
      </c>
      <c r="L164">
        <f ca="1"/>
        <v>6.444443180301036</v>
      </c>
    </row>
    <row r="165" spans="2:12" x14ac:dyDescent="0.3">
      <c r="B165">
        <v>0.155</v>
      </c>
      <c r="C165">
        <f ca="1"/>
        <v>-0.34534670370061815</v>
      </c>
      <c r="D165">
        <f ca="1"/>
        <v>1</v>
      </c>
      <c r="E165">
        <f ca="1"/>
        <v>93.037333236193319</v>
      </c>
      <c r="F165" s="10">
        <f ca="1"/>
        <v>0</v>
      </c>
      <c r="G165" s="7">
        <f ca="1"/>
        <v>0</v>
      </c>
      <c r="H165">
        <f ca="1"/>
        <v>-94.842726709736255</v>
      </c>
      <c r="I165">
        <f ca="1"/>
        <v>1</v>
      </c>
      <c r="J165">
        <f ca="1"/>
        <v>-1.8053934735429351</v>
      </c>
      <c r="K165">
        <f ca="1"/>
        <v>0</v>
      </c>
      <c r="L165">
        <f ca="1"/>
        <v>6.9626667638066806</v>
      </c>
    </row>
    <row r="166" spans="2:12" x14ac:dyDescent="0.3">
      <c r="B166">
        <v>0.156</v>
      </c>
      <c r="C166">
        <f ca="1"/>
        <v>-0.33597502371378629</v>
      </c>
      <c r="D166">
        <f ca="1"/>
        <v>1</v>
      </c>
      <c r="E166">
        <f ca="1"/>
        <v>93.210015768548473</v>
      </c>
      <c r="F166" s="10">
        <f ca="1"/>
        <v>0</v>
      </c>
      <c r="G166" s="7">
        <f ca="1"/>
        <v>0</v>
      </c>
      <c r="H166">
        <f ca="1"/>
        <v>-94.842726709736255</v>
      </c>
      <c r="I166">
        <f ca="1"/>
        <v>1</v>
      </c>
      <c r="J166">
        <f ca="1"/>
        <v>-1.6327109411877814</v>
      </c>
      <c r="K166">
        <f ca="1"/>
        <v>0</v>
      </c>
      <c r="L166">
        <f ca="1"/>
        <v>6.7899842314515269</v>
      </c>
    </row>
    <row r="167" spans="2:12" x14ac:dyDescent="0.3">
      <c r="B167">
        <v>0.157</v>
      </c>
      <c r="C167">
        <f ca="1"/>
        <v>-0.32673636378907267</v>
      </c>
      <c r="D167">
        <f ca="1"/>
        <v>1</v>
      </c>
      <c r="E167">
        <f ca="1"/>
        <v>93.38053447946703</v>
      </c>
      <c r="F167" s="10">
        <f ca="1"/>
        <v>0</v>
      </c>
      <c r="G167" s="7">
        <f ca="1"/>
        <v>0</v>
      </c>
      <c r="H167">
        <f ca="1"/>
        <v>-94.842726709736255</v>
      </c>
      <c r="I167">
        <f ca="1"/>
        <v>1</v>
      </c>
      <c r="J167">
        <f ca="1"/>
        <v>-1.4621922302692241</v>
      </c>
      <c r="K167">
        <f ca="1"/>
        <v>0</v>
      </c>
      <c r="L167">
        <f ca="1"/>
        <v>6.6194655205329695</v>
      </c>
    </row>
    <row r="168" spans="2:12" x14ac:dyDescent="0.3">
      <c r="B168">
        <v>0.158</v>
      </c>
      <c r="C168">
        <f ca="1"/>
        <v>-0.3630665992162409</v>
      </c>
      <c r="D168">
        <f ca="1"/>
        <v>1</v>
      </c>
      <c r="E168">
        <f ca="1"/>
        <v>92.702632121587712</v>
      </c>
      <c r="F168" s="10">
        <f ca="1"/>
        <v>0</v>
      </c>
      <c r="G168" s="7">
        <f ca="1"/>
        <v>0</v>
      </c>
      <c r="H168">
        <f ca="1"/>
        <v>-94.842726709736255</v>
      </c>
      <c r="I168">
        <f ca="1"/>
        <v>1</v>
      </c>
      <c r="J168">
        <f ca="1"/>
        <v>-2.1400945881485427</v>
      </c>
      <c r="K168">
        <f ca="1"/>
        <v>0</v>
      </c>
      <c r="L168">
        <f ca="1"/>
        <v>7.2973678784122882</v>
      </c>
    </row>
    <row r="169" spans="2:12" x14ac:dyDescent="0.3">
      <c r="B169">
        <v>0.159</v>
      </c>
      <c r="C169">
        <f ca="1"/>
        <v>-0.34356945744537065</v>
      </c>
      <c r="D169">
        <f ca="1"/>
        <v>1</v>
      </c>
      <c r="E169">
        <f ca="1"/>
        <v>93.062963829754722</v>
      </c>
      <c r="F169" s="10">
        <f ca="1"/>
        <v>0</v>
      </c>
      <c r="G169" s="7">
        <f ca="1"/>
        <v>0</v>
      </c>
      <c r="H169">
        <f ca="1"/>
        <v>-94.842726709736255</v>
      </c>
      <c r="I169">
        <f ca="1"/>
        <v>1</v>
      </c>
      <c r="J169">
        <f ca="1"/>
        <v>-1.7797628799815328</v>
      </c>
      <c r="K169">
        <f ca="1"/>
        <v>0</v>
      </c>
      <c r="L169">
        <f ca="1"/>
        <v>6.9370361702452783</v>
      </c>
    </row>
    <row r="170" spans="2:12" x14ac:dyDescent="0.3">
      <c r="B170">
        <v>0.16</v>
      </c>
      <c r="C170">
        <f ca="1"/>
        <v>-0.35388156229791662</v>
      </c>
      <c r="D170">
        <f ca="1"/>
        <v>1</v>
      </c>
      <c r="E170">
        <f ca="1"/>
        <v>92.869369205010955</v>
      </c>
      <c r="F170" s="10">
        <f ca="1"/>
        <v>0</v>
      </c>
      <c r="G170" s="7">
        <f ca="1"/>
        <v>0</v>
      </c>
      <c r="H170">
        <f ca="1"/>
        <v>-94.842726709736255</v>
      </c>
      <c r="I170">
        <f ca="1"/>
        <v>1</v>
      </c>
      <c r="J170">
        <f ca="1"/>
        <v>-1.9733575047252998</v>
      </c>
      <c r="K170">
        <f ca="1"/>
        <v>0</v>
      </c>
      <c r="L170">
        <f ca="1"/>
        <v>7.1306307949890453</v>
      </c>
    </row>
    <row r="171" spans="2:12" x14ac:dyDescent="0.3">
      <c r="B171">
        <v>0.161</v>
      </c>
      <c r="C171">
        <f ca="1"/>
        <v>-0.32331528270477539</v>
      </c>
      <c r="D171">
        <f ca="1"/>
        <v>1</v>
      </c>
      <c r="E171">
        <f ca="1"/>
        <v>93.43697356172585</v>
      </c>
      <c r="F171" s="10">
        <f ca="1"/>
        <v>0</v>
      </c>
      <c r="G171" s="7">
        <f ca="1"/>
        <v>0</v>
      </c>
      <c r="H171">
        <f ca="1"/>
        <v>-94.842726709736255</v>
      </c>
      <c r="I171">
        <f ca="1"/>
        <v>1</v>
      </c>
      <c r="J171">
        <f ca="1"/>
        <v>-1.4057531480104046</v>
      </c>
      <c r="K171">
        <f ca="1"/>
        <v>0</v>
      </c>
      <c r="L171">
        <f ca="1"/>
        <v>6.5630264382741501</v>
      </c>
    </row>
    <row r="172" spans="2:12" x14ac:dyDescent="0.3">
      <c r="B172">
        <v>0.16200000000000001</v>
      </c>
      <c r="C172">
        <f ca="1"/>
        <v>-0.34223427354290414</v>
      </c>
      <c r="D172">
        <f ca="1"/>
        <v>1</v>
      </c>
      <c r="E172">
        <f ca="1"/>
        <v>93.082233280842928</v>
      </c>
      <c r="F172" s="10">
        <f ca="1"/>
        <v>0</v>
      </c>
      <c r="G172" s="7">
        <f ca="1"/>
        <v>0</v>
      </c>
      <c r="H172">
        <f ca="1"/>
        <v>-94.842726709736255</v>
      </c>
      <c r="I172">
        <f ca="1"/>
        <v>1</v>
      </c>
      <c r="J172">
        <f ca="1"/>
        <v>-1.7604934288933265</v>
      </c>
      <c r="K172">
        <f ca="1"/>
        <v>0</v>
      </c>
      <c r="L172">
        <f ca="1"/>
        <v>6.917766719157072</v>
      </c>
    </row>
    <row r="173" spans="2:12" x14ac:dyDescent="0.3">
      <c r="B173">
        <v>0.16300000000000001</v>
      </c>
      <c r="C173">
        <f ca="1"/>
        <v>-0.30997753125918126</v>
      </c>
      <c r="D173">
        <f ca="1"/>
        <v>1</v>
      </c>
      <c r="E173">
        <f ca="1"/>
        <v>93.682806736700925</v>
      </c>
      <c r="F173" s="10">
        <f ca="1"/>
        <v>0</v>
      </c>
      <c r="G173" s="7">
        <f ca="1"/>
        <v>0</v>
      </c>
      <c r="H173">
        <f ca="1"/>
        <v>-94.842726709736255</v>
      </c>
      <c r="I173">
        <f ca="1"/>
        <v>1</v>
      </c>
      <c r="J173">
        <f ca="1"/>
        <v>-1.1599199730353291</v>
      </c>
      <c r="K173">
        <f ca="1"/>
        <v>0</v>
      </c>
      <c r="L173">
        <f ca="1"/>
        <v>6.3171932632990746</v>
      </c>
    </row>
    <row r="174" spans="2:12" x14ac:dyDescent="0.3">
      <c r="B174">
        <v>0.16400000000000001</v>
      </c>
      <c r="C174">
        <f ca="1"/>
        <v>-0.34892408265869324</v>
      </c>
      <c r="D174">
        <f ca="1"/>
        <v>1</v>
      </c>
      <c r="E174">
        <f ca="1"/>
        <v>92.954057847675841</v>
      </c>
      <c r="F174" s="10">
        <f ca="1"/>
        <v>0</v>
      </c>
      <c r="G174" s="7">
        <f ca="1"/>
        <v>0</v>
      </c>
      <c r="H174">
        <f ca="1"/>
        <v>-94.842726709736255</v>
      </c>
      <c r="I174">
        <f ca="1"/>
        <v>1</v>
      </c>
      <c r="J174">
        <f ca="1"/>
        <v>-1.8886688620604133</v>
      </c>
      <c r="K174">
        <f ca="1"/>
        <v>0</v>
      </c>
      <c r="L174">
        <f ca="1"/>
        <v>7.0459421523241588</v>
      </c>
    </row>
    <row r="175" spans="2:12" x14ac:dyDescent="0.3">
      <c r="B175">
        <v>0.16500000000000001</v>
      </c>
      <c r="C175">
        <f ca="1"/>
        <v>-0.29955104019219009</v>
      </c>
      <c r="D175">
        <f ca="1"/>
        <v>1</v>
      </c>
      <c r="E175">
        <f ca="1"/>
        <v>93.874612096661593</v>
      </c>
      <c r="F175" s="10">
        <f ca="1"/>
        <v>0</v>
      </c>
      <c r="G175" s="7">
        <f ca="1"/>
        <v>0</v>
      </c>
      <c r="H175">
        <f ca="1"/>
        <v>-94.842726709736255</v>
      </c>
      <c r="I175">
        <f ca="1"/>
        <v>1</v>
      </c>
      <c r="J175">
        <f ca="1"/>
        <v>-0.96811461307466118</v>
      </c>
      <c r="K175">
        <f ca="1"/>
        <v>0</v>
      </c>
      <c r="L175">
        <f ca="1"/>
        <v>6.1253879033384067</v>
      </c>
    </row>
    <row r="176" spans="2:12" x14ac:dyDescent="0.3">
      <c r="B176">
        <v>0.16600000000000001</v>
      </c>
      <c r="C176">
        <f ca="1"/>
        <v>-0.29971624820040321</v>
      </c>
      <c r="D176">
        <f ca="1"/>
        <v>1</v>
      </c>
      <c r="E176">
        <f ca="1"/>
        <v>93.869632968934027</v>
      </c>
      <c r="F176" s="10">
        <f ca="1"/>
        <v>0</v>
      </c>
      <c r="G176" s="7">
        <f ca="1"/>
        <v>0</v>
      </c>
      <c r="H176">
        <f ca="1"/>
        <v>-94.842726709736255</v>
      </c>
      <c r="I176">
        <f ca="1"/>
        <v>1</v>
      </c>
      <c r="J176">
        <f ca="1"/>
        <v>-0.9730937408022271</v>
      </c>
      <c r="K176">
        <f ca="1"/>
        <v>0</v>
      </c>
      <c r="L176">
        <f ca="1"/>
        <v>6.1303670310659726</v>
      </c>
    </row>
    <row r="177" spans="2:12" x14ac:dyDescent="0.3">
      <c r="B177">
        <v>0.16700000000000001</v>
      </c>
      <c r="C177">
        <f ca="1"/>
        <v>-0.29394940246849682</v>
      </c>
      <c r="D177">
        <f ca="1"/>
        <v>1</v>
      </c>
      <c r="E177">
        <f ca="1"/>
        <v>93.9760822264805</v>
      </c>
      <c r="F177" s="10">
        <f ca="1"/>
        <v>0</v>
      </c>
      <c r="G177" s="7">
        <f ca="1"/>
        <v>0</v>
      </c>
      <c r="H177">
        <f ca="1"/>
        <v>-94.842726709736255</v>
      </c>
      <c r="I177">
        <f ca="1"/>
        <v>1</v>
      </c>
      <c r="J177">
        <f ca="1"/>
        <v>-0.86664448325575449</v>
      </c>
      <c r="K177">
        <f ca="1"/>
        <v>0</v>
      </c>
      <c r="L177">
        <f ca="1"/>
        <v>6.0239177735195</v>
      </c>
    </row>
    <row r="178" spans="2:12" x14ac:dyDescent="0.3">
      <c r="B178">
        <v>0.16800000000000001</v>
      </c>
      <c r="C178">
        <f ca="1"/>
        <v>-0.2791075745470048</v>
      </c>
      <c r="D178">
        <f ca="1"/>
        <v>1</v>
      </c>
      <c r="E178">
        <f ca="1"/>
        <v>94.25356693523571</v>
      </c>
      <c r="F178" s="10">
        <f ca="1"/>
        <v>0</v>
      </c>
      <c r="G178" s="7">
        <f ca="1"/>
        <v>0</v>
      </c>
      <c r="H178">
        <f ca="1"/>
        <v>-94.842726709736255</v>
      </c>
      <c r="I178">
        <f ca="1"/>
        <v>1</v>
      </c>
      <c r="J178">
        <f ca="1"/>
        <v>-0.58915977450054413</v>
      </c>
      <c r="K178">
        <f ca="1"/>
        <v>0</v>
      </c>
      <c r="L178">
        <f ca="1"/>
        <v>5.7464330647642896</v>
      </c>
    </row>
    <row r="179" spans="2:12" x14ac:dyDescent="0.3">
      <c r="B179">
        <v>0.16900000000000001</v>
      </c>
      <c r="C179">
        <f ca="1"/>
        <v>-0.30771961081244081</v>
      </c>
      <c r="D179">
        <f ca="1"/>
        <v>1</v>
      </c>
      <c r="E179">
        <f ca="1"/>
        <v>93.713875615548574</v>
      </c>
      <c r="F179" s="10">
        <f ca="1"/>
        <v>0</v>
      </c>
      <c r="G179" s="7">
        <f ca="1"/>
        <v>0</v>
      </c>
      <c r="H179">
        <f ca="1"/>
        <v>-94.842726709736255</v>
      </c>
      <c r="I179">
        <f ca="1"/>
        <v>1</v>
      </c>
      <c r="J179">
        <f ca="1"/>
        <v>-1.1288510941876808</v>
      </c>
      <c r="K179">
        <f ca="1"/>
        <v>0</v>
      </c>
      <c r="L179">
        <f ca="1"/>
        <v>6.2861243844514263</v>
      </c>
    </row>
    <row r="180" spans="2:12" x14ac:dyDescent="0.3">
      <c r="B180">
        <v>0.17</v>
      </c>
      <c r="C180">
        <f ca="1"/>
        <v>-0.29916410652465109</v>
      </c>
      <c r="D180">
        <f ca="1"/>
        <v>1</v>
      </c>
      <c r="E180">
        <f ca="1"/>
        <v>93.872489309043075</v>
      </c>
      <c r="F180" s="10">
        <f ca="1"/>
        <v>0</v>
      </c>
      <c r="G180" s="7">
        <f ca="1"/>
        <v>0</v>
      </c>
      <c r="H180">
        <f ca="1"/>
        <v>-94.842726709736255</v>
      </c>
      <c r="I180">
        <f ca="1"/>
        <v>1</v>
      </c>
      <c r="J180">
        <f ca="1"/>
        <v>-0.9702374006931791</v>
      </c>
      <c r="K180">
        <f ca="1"/>
        <v>0</v>
      </c>
      <c r="L180">
        <f ca="1"/>
        <v>6.1275106909569246</v>
      </c>
    </row>
    <row r="181" spans="2:12" x14ac:dyDescent="0.3">
      <c r="B181">
        <v>0.17100000000000001</v>
      </c>
      <c r="C181">
        <f ca="1"/>
        <v>-0.31629355794153263</v>
      </c>
      <c r="D181">
        <f ca="1"/>
        <v>1</v>
      </c>
      <c r="E181">
        <f ca="1"/>
        <v>93.549571699115091</v>
      </c>
      <c r="F181" s="10">
        <f ca="1"/>
        <v>0</v>
      </c>
      <c r="G181" s="7">
        <f ca="1"/>
        <v>0</v>
      </c>
      <c r="H181">
        <f ca="1"/>
        <v>-94.842726709736255</v>
      </c>
      <c r="I181">
        <f ca="1"/>
        <v>1</v>
      </c>
      <c r="J181">
        <f ca="1"/>
        <v>-1.2931550106211631</v>
      </c>
      <c r="K181">
        <f ca="1"/>
        <v>0</v>
      </c>
      <c r="L181">
        <f ca="1"/>
        <v>6.4504283008849086</v>
      </c>
    </row>
    <row r="182" spans="2:12" x14ac:dyDescent="0.3">
      <c r="B182">
        <v>0.17200000000000001</v>
      </c>
      <c r="C182">
        <f ca="1"/>
        <v>-0.28039264017983678</v>
      </c>
      <c r="D182">
        <f ca="1"/>
        <v>1</v>
      </c>
      <c r="E182">
        <f ca="1"/>
        <v>94.221807597910214</v>
      </c>
      <c r="F182" s="10">
        <f ca="1"/>
        <v>0</v>
      </c>
      <c r="G182" s="7">
        <f ca="1"/>
        <v>0</v>
      </c>
      <c r="H182">
        <f ca="1"/>
        <v>-94.842726709736255</v>
      </c>
      <c r="I182">
        <f ca="1"/>
        <v>1</v>
      </c>
      <c r="J182">
        <f ca="1"/>
        <v>-0.62091911182604065</v>
      </c>
      <c r="K182">
        <f ca="1"/>
        <v>0</v>
      </c>
      <c r="L182">
        <f ca="1"/>
        <v>5.7781924020897861</v>
      </c>
    </row>
    <row r="183" spans="2:12" x14ac:dyDescent="0.3">
      <c r="B183">
        <v>0.17300000000000001</v>
      </c>
      <c r="C183">
        <f ca="1"/>
        <v>-0.31183158750238016</v>
      </c>
      <c r="D183">
        <f ca="1"/>
        <v>1</v>
      </c>
      <c r="E183">
        <f ca="1"/>
        <v>93.629346796030759</v>
      </c>
      <c r="F183" s="10">
        <f ca="1"/>
        <v>0</v>
      </c>
      <c r="G183" s="7">
        <f ca="1"/>
        <v>0</v>
      </c>
      <c r="H183">
        <f ca="1"/>
        <v>-94.842726709736255</v>
      </c>
      <c r="I183">
        <f ca="1"/>
        <v>1</v>
      </c>
      <c r="J183">
        <f ca="1"/>
        <v>-1.213379913705495</v>
      </c>
      <c r="K183">
        <f ca="1"/>
        <v>0</v>
      </c>
      <c r="L183">
        <f ca="1"/>
        <v>6.3706532039692405</v>
      </c>
    </row>
    <row r="184" spans="2:12" x14ac:dyDescent="0.3">
      <c r="B184">
        <v>0.17400000000000002</v>
      </c>
      <c r="C184">
        <f ca="1"/>
        <v>-0.33415691753296783</v>
      </c>
      <c r="D184">
        <f ca="1"/>
        <v>1</v>
      </c>
      <c r="E184">
        <f ca="1"/>
        <v>93.21035330463954</v>
      </c>
      <c r="F184" s="10">
        <f ca="1"/>
        <v>0</v>
      </c>
      <c r="G184" s="7">
        <f ca="1"/>
        <v>0</v>
      </c>
      <c r="H184">
        <f ca="1"/>
        <v>-94.842726709736255</v>
      </c>
      <c r="I184">
        <f ca="1"/>
        <v>1</v>
      </c>
      <c r="J184">
        <f ca="1"/>
        <v>-1.6323734050967147</v>
      </c>
      <c r="K184">
        <f ca="1"/>
        <v>0</v>
      </c>
      <c r="L184">
        <f ca="1"/>
        <v>6.7896466953604602</v>
      </c>
    </row>
    <row r="185" spans="2:12" x14ac:dyDescent="0.3">
      <c r="B185">
        <v>0.17500000000000002</v>
      </c>
      <c r="C185">
        <f ca="1"/>
        <v>-0.30952327748958564</v>
      </c>
      <c r="D185">
        <f ca="1"/>
        <v>1</v>
      </c>
      <c r="E185">
        <f ca="1"/>
        <v>93.66883505866393</v>
      </c>
      <c r="F185" s="10">
        <f ca="1"/>
        <v>0</v>
      </c>
      <c r="G185" s="7">
        <f ca="1"/>
        <v>0</v>
      </c>
      <c r="H185">
        <f ca="1"/>
        <v>-94.842726709736255</v>
      </c>
      <c r="I185">
        <f ca="1"/>
        <v>1</v>
      </c>
      <c r="J185">
        <f ca="1"/>
        <v>-1.1738916510723243</v>
      </c>
      <c r="K185">
        <f ca="1"/>
        <v>0</v>
      </c>
      <c r="L185">
        <f ca="1"/>
        <v>6.3311649413360698</v>
      </c>
    </row>
    <row r="186" spans="2:12" x14ac:dyDescent="0.3">
      <c r="B186">
        <v>0.17599999999999999</v>
      </c>
      <c r="C186">
        <f ca="1"/>
        <v>-0.32984636112583943</v>
      </c>
      <c r="D186">
        <f ca="1"/>
        <v>1</v>
      </c>
      <c r="E186">
        <f ca="1"/>
        <v>93.287014095169624</v>
      </c>
      <c r="F186" s="10">
        <f ca="1"/>
        <v>0</v>
      </c>
      <c r="G186" s="7">
        <f ca="1"/>
        <v>0</v>
      </c>
      <c r="H186">
        <f ca="1"/>
        <v>-94.842726709736255</v>
      </c>
      <c r="I186">
        <f ca="1"/>
        <v>1</v>
      </c>
      <c r="J186">
        <f ca="1"/>
        <v>-1.5557126145666302</v>
      </c>
      <c r="K186">
        <f ca="1"/>
        <v>0</v>
      </c>
      <c r="L186">
        <f ca="1"/>
        <v>6.7129859048303757</v>
      </c>
    </row>
    <row r="187" spans="2:12" x14ac:dyDescent="0.3">
      <c r="B187">
        <v>0.17699999999999999</v>
      </c>
      <c r="C187">
        <f ca="1"/>
        <v>-0.29718317173041164</v>
      </c>
      <c r="D187">
        <f ca="1"/>
        <v>1</v>
      </c>
      <c r="E187">
        <f ca="1"/>
        <v>93.896541297369964</v>
      </c>
      <c r="F187">
        <f ca="1"/>
        <v>0</v>
      </c>
      <c r="G187" s="7">
        <f ca="1"/>
        <v>0</v>
      </c>
      <c r="H187">
        <f ca="1"/>
        <v>-94.842726709736255</v>
      </c>
      <c r="I187">
        <f ca="1"/>
        <v>1</v>
      </c>
      <c r="J187">
        <f ca="1"/>
        <v>-0.94618541236629028</v>
      </c>
      <c r="K187">
        <f ca="1"/>
        <v>0</v>
      </c>
      <c r="L187">
        <f ca="1"/>
        <v>6.1034587026300358</v>
      </c>
    </row>
    <row r="188" spans="2:12" x14ac:dyDescent="0.3">
      <c r="B188">
        <v>0.17799999999999999</v>
      </c>
      <c r="C188">
        <f ca="1"/>
        <v>-0.3308387585233955</v>
      </c>
      <c r="D188">
        <f ca="1"/>
        <v>1</v>
      </c>
      <c r="E188">
        <f ca="1"/>
        <v>93.264769709123271</v>
      </c>
      <c r="F188">
        <f ca="1"/>
        <v>0</v>
      </c>
      <c r="G188" s="7">
        <f ca="1"/>
        <v>0</v>
      </c>
      <c r="H188">
        <f ca="1"/>
        <v>-94.842726709736255</v>
      </c>
      <c r="I188">
        <f ca="1"/>
        <v>1</v>
      </c>
      <c r="J188">
        <f ca="1"/>
        <v>-1.5779570006129831</v>
      </c>
      <c r="K188">
        <f ca="1"/>
        <v>0</v>
      </c>
      <c r="L188">
        <f ca="1"/>
        <v>6.7352302908767285</v>
      </c>
    </row>
    <row r="189" spans="2:12" x14ac:dyDescent="0.3">
      <c r="B189">
        <v>0.17899999999999999</v>
      </c>
      <c r="C189">
        <f ca="1"/>
        <v>-0.31200157468842582</v>
      </c>
      <c r="D189">
        <f ca="1"/>
        <v>1</v>
      </c>
      <c r="E189">
        <f ca="1"/>
        <v>93.614929226739463</v>
      </c>
      <c r="F189">
        <f ca="1"/>
        <v>0</v>
      </c>
      <c r="G189" s="7">
        <f ca="1"/>
        <v>0</v>
      </c>
      <c r="H189">
        <f ca="1"/>
        <v>-94.842726709736255</v>
      </c>
      <c r="I189">
        <f ca="1"/>
        <v>1</v>
      </c>
      <c r="J189">
        <f ca="1"/>
        <v>-1.2277974829967917</v>
      </c>
      <c r="K189">
        <f ca="1"/>
        <v>0</v>
      </c>
      <c r="L189">
        <f ca="1"/>
        <v>6.3850707732605372</v>
      </c>
    </row>
    <row r="190" spans="2:12" x14ac:dyDescent="0.3">
      <c r="B190">
        <v>0.18</v>
      </c>
      <c r="C190">
        <f ca="1"/>
        <v>-0.30705634085299516</v>
      </c>
      <c r="D190">
        <f ca="1"/>
        <v>1</v>
      </c>
      <c r="E190">
        <f ca="1"/>
        <v>93.705690440085348</v>
      </c>
      <c r="F190">
        <f ca="1"/>
        <v>0</v>
      </c>
      <c r="G190" s="7">
        <f ca="1"/>
        <v>0</v>
      </c>
      <c r="H190">
        <f ca="1"/>
        <v>-94.842726709736255</v>
      </c>
      <c r="I190">
        <f ca="1"/>
        <v>1</v>
      </c>
      <c r="J190">
        <f ca="1"/>
        <v>-1.1370362696509062</v>
      </c>
      <c r="K190">
        <f ca="1"/>
        <v>0</v>
      </c>
      <c r="L190">
        <f ca="1"/>
        <v>6.2943095599146517</v>
      </c>
    </row>
    <row r="191" spans="2:12" x14ac:dyDescent="0.3">
      <c r="B191">
        <v>0.18099999999999999</v>
      </c>
      <c r="C191">
        <f ca="1"/>
        <v>-0.29347631308109928</v>
      </c>
      <c r="D191">
        <f ca="1"/>
        <v>1</v>
      </c>
      <c r="E191">
        <f ca="1"/>
        <v>93.958662355607402</v>
      </c>
      <c r="F191">
        <f ca="1"/>
        <v>0</v>
      </c>
      <c r="G191" s="7">
        <f ca="1"/>
        <v>0</v>
      </c>
      <c r="H191">
        <f ca="1"/>
        <v>-94.842726709736255</v>
      </c>
      <c r="I191">
        <f ca="1"/>
        <v>1</v>
      </c>
      <c r="J191">
        <f ca="1"/>
        <v>-0.88406435412885287</v>
      </c>
      <c r="K191">
        <f ca="1"/>
        <v>0</v>
      </c>
      <c r="L191">
        <f ca="1"/>
        <v>6.0413376443925983</v>
      </c>
    </row>
    <row r="192" spans="2:12" x14ac:dyDescent="0.3">
      <c r="B192">
        <v>0.182</v>
      </c>
      <c r="C192">
        <f ca="1"/>
        <v>-0.29516856782857315</v>
      </c>
      <c r="D192">
        <f ca="1"/>
        <v>1</v>
      </c>
      <c r="E192">
        <f ca="1"/>
        <v>93.924988819388844</v>
      </c>
      <c r="F192">
        <f ca="1"/>
        <v>0</v>
      </c>
      <c r="G192" s="7">
        <f ca="1"/>
        <v>0</v>
      </c>
      <c r="H192">
        <f ca="1"/>
        <v>-94.842726709736255</v>
      </c>
      <c r="I192">
        <f ca="1"/>
        <v>1</v>
      </c>
      <c r="J192">
        <f ca="1"/>
        <v>-0.91773789034741071</v>
      </c>
      <c r="K192">
        <f ca="1"/>
        <v>0</v>
      </c>
      <c r="L192">
        <f ca="1"/>
        <v>6.0750111806111562</v>
      </c>
    </row>
    <row r="193" spans="2:12" x14ac:dyDescent="0.3">
      <c r="B193">
        <v>0.183</v>
      </c>
      <c r="C193">
        <f ca="1"/>
        <v>-0.31420273146594263</v>
      </c>
      <c r="D193">
        <f ca="1"/>
        <v>1</v>
      </c>
      <c r="E193">
        <f ca="1"/>
        <v>93.56624047101927</v>
      </c>
      <c r="F193">
        <f ca="1"/>
        <v>0</v>
      </c>
      <c r="G193" s="7">
        <f ca="1"/>
        <v>0</v>
      </c>
      <c r="H193">
        <f ca="1"/>
        <v>-94.842726709736255</v>
      </c>
      <c r="I193">
        <f ca="1"/>
        <v>1</v>
      </c>
      <c r="J193">
        <f ca="1"/>
        <v>-1.2764862387169842</v>
      </c>
      <c r="K193">
        <f ca="1"/>
        <v>0</v>
      </c>
      <c r="L193">
        <f ca="1"/>
        <v>6.4337595289807297</v>
      </c>
    </row>
    <row r="194" spans="2:12" x14ac:dyDescent="0.3">
      <c r="B194">
        <v>0.184</v>
      </c>
      <c r="C194">
        <f ca="1"/>
        <v>-0.33845103709779645</v>
      </c>
      <c r="D194">
        <f ca="1"/>
        <v>1</v>
      </c>
      <c r="E194">
        <f ca="1"/>
        <v>93.111712184628544</v>
      </c>
      <c r="F194">
        <f ca="1"/>
        <v>0</v>
      </c>
      <c r="G194" s="7">
        <f ca="1"/>
        <v>0</v>
      </c>
      <c r="H194">
        <f ca="1"/>
        <v>-94.842726709736255</v>
      </c>
      <c r="I194">
        <f ca="1"/>
        <v>1</v>
      </c>
      <c r="J194">
        <f ca="1"/>
        <v>-1.7310145251077103</v>
      </c>
      <c r="K194">
        <f ca="1"/>
        <v>0</v>
      </c>
      <c r="L194">
        <f ca="1"/>
        <v>6.8882878153714557</v>
      </c>
    </row>
    <row r="195" spans="2:12" x14ac:dyDescent="0.3">
      <c r="B195">
        <v>0.185</v>
      </c>
      <c r="C195">
        <f ca="1"/>
        <v>-0.36680141221213214</v>
      </c>
      <c r="D195">
        <f ca="1"/>
        <v>1</v>
      </c>
      <c r="E195">
        <f ca="1"/>
        <v>92.583404038699769</v>
      </c>
      <c r="F195">
        <f ca="1"/>
        <v>0</v>
      </c>
      <c r="G195" s="7">
        <f ca="1"/>
        <v>0</v>
      </c>
      <c r="H195">
        <f ca="1"/>
        <v>-94.842726709736255</v>
      </c>
      <c r="I195">
        <f ca="1"/>
        <v>1</v>
      </c>
      <c r="J195">
        <f ca="1"/>
        <v>-2.259322671036486</v>
      </c>
      <c r="K195">
        <f ca="1"/>
        <v>0</v>
      </c>
      <c r="L195">
        <f ca="1"/>
        <v>7.4165959613002315</v>
      </c>
    </row>
    <row r="196" spans="2:12" x14ac:dyDescent="0.3">
      <c r="B196">
        <v>0.186</v>
      </c>
      <c r="C196">
        <f ca="1"/>
        <v>-0.31078805273107801</v>
      </c>
      <c r="D196">
        <f ca="1"/>
        <v>1</v>
      </c>
      <c r="E196">
        <f ca="1"/>
        <v>93.624544384829193</v>
      </c>
      <c r="F196">
        <f ca="1"/>
        <v>0</v>
      </c>
      <c r="G196" s="7">
        <f ca="1"/>
        <v>0</v>
      </c>
      <c r="H196">
        <f ca="1"/>
        <v>-94.842726709736255</v>
      </c>
      <c r="I196">
        <f ca="1"/>
        <v>1</v>
      </c>
      <c r="J196">
        <f ca="1"/>
        <v>-1.2181823249070618</v>
      </c>
      <c r="K196">
        <f ca="1"/>
        <v>0</v>
      </c>
      <c r="L196">
        <f ca="1"/>
        <v>6.3754556151708073</v>
      </c>
    </row>
    <row r="197" spans="2:12" x14ac:dyDescent="0.3">
      <c r="B197">
        <v>0.187</v>
      </c>
      <c r="C197">
        <f ca="1"/>
        <v>-0.35868649730660618</v>
      </c>
      <c r="D197">
        <f ca="1"/>
        <v>1</v>
      </c>
      <c r="E197">
        <f ca="1"/>
        <v>92.730078052231008</v>
      </c>
      <c r="F197">
        <f ca="1"/>
        <v>0</v>
      </c>
      <c r="G197" s="7">
        <f ca="1"/>
        <v>0</v>
      </c>
      <c r="H197">
        <f ca="1"/>
        <v>-94.842726709736255</v>
      </c>
      <c r="I197">
        <f ca="1"/>
        <v>1</v>
      </c>
      <c r="J197">
        <f ca="1"/>
        <v>-2.1126486575052468</v>
      </c>
      <c r="K197">
        <f ca="1"/>
        <v>0</v>
      </c>
      <c r="L197">
        <f ca="1"/>
        <v>7.2699219477689923</v>
      </c>
    </row>
    <row r="198" spans="2:12" x14ac:dyDescent="0.3">
      <c r="B198">
        <v>0.188</v>
      </c>
      <c r="C198">
        <f ca="1"/>
        <v>-0.37600185634379563</v>
      </c>
      <c r="D198">
        <f ca="1"/>
        <v>1</v>
      </c>
      <c r="E198">
        <f ca="1"/>
        <v>92.407654370049102</v>
      </c>
      <c r="F198">
        <f ca="1"/>
        <v>0</v>
      </c>
      <c r="G198" s="7">
        <f ca="1"/>
        <v>0</v>
      </c>
      <c r="H198">
        <f ca="1"/>
        <v>-94.842726709736255</v>
      </c>
      <c r="I198">
        <f ca="1"/>
        <v>1</v>
      </c>
      <c r="J198">
        <f ca="1"/>
        <v>-2.435072339687153</v>
      </c>
      <c r="K198">
        <f ca="1"/>
        <v>0</v>
      </c>
      <c r="L198">
        <f ca="1"/>
        <v>7.5923456299508985</v>
      </c>
    </row>
    <row r="199" spans="2:12" x14ac:dyDescent="0.3">
      <c r="B199">
        <v>0.189</v>
      </c>
      <c r="C199">
        <f ca="1"/>
        <v>-0.37363873267482334</v>
      </c>
      <c r="D199">
        <f ca="1"/>
        <v>1</v>
      </c>
      <c r="E199">
        <f ca="1"/>
        <v>92.449489827175995</v>
      </c>
      <c r="F199">
        <f ca="1"/>
        <v>0</v>
      </c>
      <c r="G199" s="7">
        <f ca="1"/>
        <v>0</v>
      </c>
      <c r="H199">
        <f ca="1"/>
        <v>-94.842726709736255</v>
      </c>
      <c r="I199">
        <f ca="1"/>
        <v>1</v>
      </c>
      <c r="J199">
        <f ca="1"/>
        <v>-2.3932368825602595</v>
      </c>
      <c r="K199">
        <f ca="1"/>
        <v>0</v>
      </c>
      <c r="L199">
        <f ca="1"/>
        <v>7.5505101728240049</v>
      </c>
    </row>
    <row r="200" spans="2:12" x14ac:dyDescent="0.3">
      <c r="B200">
        <v>0.19</v>
      </c>
      <c r="C200">
        <f ca="1"/>
        <v>-0.39053418626440656</v>
      </c>
      <c r="D200">
        <f ca="1"/>
        <v>1</v>
      </c>
      <c r="E200">
        <f ca="1"/>
        <v>92.135779092098502</v>
      </c>
      <c r="F200">
        <f ca="1"/>
        <v>0</v>
      </c>
      <c r="G200" s="7">
        <f ca="1"/>
        <v>0</v>
      </c>
      <c r="H200">
        <f ca="1"/>
        <v>-94.842726709736255</v>
      </c>
      <c r="I200">
        <f ca="1"/>
        <v>1</v>
      </c>
      <c r="J200">
        <f ca="1"/>
        <v>-2.706947617637752</v>
      </c>
      <c r="K200">
        <f ca="1"/>
        <v>0</v>
      </c>
      <c r="L200">
        <f ca="1"/>
        <v>7.8642209079014975</v>
      </c>
    </row>
    <row r="201" spans="2:12" x14ac:dyDescent="0.3">
      <c r="B201">
        <v>0.191</v>
      </c>
      <c r="C201">
        <f ca="1"/>
        <v>-0.43683332496581617</v>
      </c>
      <c r="D201">
        <f ca="1"/>
        <v>1</v>
      </c>
      <c r="E201">
        <f ca="1"/>
        <v>91.284729836002541</v>
      </c>
      <c r="F201">
        <f ca="1"/>
        <v>0</v>
      </c>
      <c r="G201" s="7">
        <f ca="1"/>
        <v>0</v>
      </c>
      <c r="H201">
        <f ca="1"/>
        <v>-94.842726709736255</v>
      </c>
      <c r="I201">
        <f ca="1"/>
        <v>1</v>
      </c>
      <c r="J201">
        <f ca="1"/>
        <v>-3.557996873733714</v>
      </c>
      <c r="K201">
        <f ca="1"/>
        <v>0</v>
      </c>
      <c r="L201">
        <f ca="1"/>
        <v>8.7152701639974595</v>
      </c>
    </row>
    <row r="202" spans="2:12" x14ac:dyDescent="0.3">
      <c r="B202">
        <v>0.192</v>
      </c>
      <c r="C202">
        <f ca="1"/>
        <v>-0.43485454628331982</v>
      </c>
      <c r="D202">
        <f ca="1"/>
        <v>1</v>
      </c>
      <c r="E202">
        <f ca="1"/>
        <v>91.319037042054291</v>
      </c>
      <c r="F202">
        <f ca="1"/>
        <v>0</v>
      </c>
      <c r="G202" s="7">
        <f ca="1"/>
        <v>0</v>
      </c>
      <c r="H202">
        <f ca="1"/>
        <v>-94.842726709736255</v>
      </c>
      <c r="I202">
        <f ca="1"/>
        <v>1</v>
      </c>
      <c r="J202">
        <f ca="1"/>
        <v>-3.523689667681964</v>
      </c>
      <c r="K202">
        <f ca="1"/>
        <v>0</v>
      </c>
      <c r="L202">
        <f ca="1"/>
        <v>8.6809629579457095</v>
      </c>
    </row>
    <row r="203" spans="2:12" x14ac:dyDescent="0.3">
      <c r="B203">
        <v>0.193</v>
      </c>
      <c r="C203">
        <f ca="1"/>
        <v>-0.42949201026513334</v>
      </c>
      <c r="D203">
        <f ca="1"/>
        <v>1</v>
      </c>
      <c r="E203">
        <f ca="1"/>
        <v>91.415201584429695</v>
      </c>
      <c r="F203">
        <f ca="1"/>
        <v>0</v>
      </c>
      <c r="G203" s="7">
        <f ca="1"/>
        <v>0</v>
      </c>
      <c r="H203">
        <f ca="1"/>
        <v>-94.842726709736255</v>
      </c>
      <c r="I203">
        <f ca="1"/>
        <v>1</v>
      </c>
      <c r="J203">
        <f ca="1"/>
        <v>-3.4275251253065591</v>
      </c>
      <c r="K203">
        <f ca="1"/>
        <v>0</v>
      </c>
      <c r="L203">
        <f ca="1"/>
        <v>8.5847984155703045</v>
      </c>
    </row>
    <row r="204" spans="2:12" x14ac:dyDescent="0.3">
      <c r="B204">
        <v>0.19400000000000001</v>
      </c>
      <c r="C204">
        <f ca="1"/>
        <v>-0.38579185776200053</v>
      </c>
      <c r="D204">
        <f ca="1"/>
        <v>1</v>
      </c>
      <c r="E204">
        <f ca="1"/>
        <v>92.215830611995301</v>
      </c>
      <c r="F204">
        <f ca="1"/>
        <v>0</v>
      </c>
      <c r="G204" s="7">
        <f ca="1"/>
        <v>0</v>
      </c>
      <c r="H204">
        <f ca="1"/>
        <v>-94.842726709736255</v>
      </c>
      <c r="I204">
        <f ca="1"/>
        <v>1</v>
      </c>
      <c r="J204">
        <f ca="1"/>
        <v>-2.6268960977409535</v>
      </c>
      <c r="K204">
        <f ca="1"/>
        <v>0</v>
      </c>
      <c r="L204">
        <f ca="1"/>
        <v>7.7841693880046989</v>
      </c>
    </row>
    <row r="205" spans="2:12" x14ac:dyDescent="0.3">
      <c r="B205">
        <v>0.19500000000000001</v>
      </c>
      <c r="C205">
        <f ca="1"/>
        <v>-0.36680069017728045</v>
      </c>
      <c r="D205">
        <f ca="1"/>
        <v>1</v>
      </c>
      <c r="E205">
        <f ca="1"/>
        <v>92.564902576452852</v>
      </c>
      <c r="F205">
        <f ca="1"/>
        <v>0</v>
      </c>
      <c r="G205" s="7">
        <f ca="1"/>
        <v>0</v>
      </c>
      <c r="H205">
        <f ca="1"/>
        <v>-94.842726709736255</v>
      </c>
      <c r="I205">
        <f ca="1"/>
        <v>1</v>
      </c>
      <c r="J205">
        <f ca="1"/>
        <v>-2.2778241332834028</v>
      </c>
      <c r="K205">
        <f ca="1"/>
        <v>0</v>
      </c>
      <c r="L205">
        <f ca="1"/>
        <v>7.4350974235471483</v>
      </c>
    </row>
    <row r="206" spans="2:12" x14ac:dyDescent="0.3">
      <c r="B206">
        <v>0.19600000000000001</v>
      </c>
      <c r="C206">
        <f ca="1"/>
        <v>-0.38093978803143441</v>
      </c>
      <c r="D206">
        <f ca="1"/>
        <v>1</v>
      </c>
      <c r="E206">
        <f ca="1"/>
        <v>92.301669433475084</v>
      </c>
      <c r="F206">
        <f ca="1"/>
        <v>0</v>
      </c>
      <c r="G206" s="7">
        <f ca="1"/>
        <v>0</v>
      </c>
      <c r="H206">
        <f ca="1"/>
        <v>-94.842726709736255</v>
      </c>
      <c r="I206">
        <f ca="1"/>
        <v>1</v>
      </c>
      <c r="J206">
        <f ca="1"/>
        <v>-2.5410572762611707</v>
      </c>
      <c r="K206">
        <f ca="1"/>
        <v>0</v>
      </c>
      <c r="L206">
        <f ca="1"/>
        <v>7.6983305665249162</v>
      </c>
    </row>
    <row r="207" spans="2:12" x14ac:dyDescent="0.3">
      <c r="B207">
        <v>0.19700000000000001</v>
      </c>
      <c r="C207">
        <f ca="1"/>
        <v>-0.44191987080366091</v>
      </c>
      <c r="D207">
        <f ca="1"/>
        <v>1</v>
      </c>
      <c r="E207">
        <f ca="1"/>
        <v>91.180969890653756</v>
      </c>
      <c r="F207">
        <f ca="1"/>
        <v>0</v>
      </c>
      <c r="G207" s="7">
        <f ca="1"/>
        <v>0</v>
      </c>
      <c r="H207">
        <f ca="1"/>
        <v>-94.842726709736255</v>
      </c>
      <c r="I207">
        <f ca="1"/>
        <v>1</v>
      </c>
      <c r="J207">
        <f ca="1"/>
        <v>-3.6617568190824983</v>
      </c>
      <c r="K207">
        <f ca="1"/>
        <v>0</v>
      </c>
      <c r="L207">
        <f ca="1"/>
        <v>8.8190301093462438</v>
      </c>
    </row>
    <row r="208" spans="2:12" x14ac:dyDescent="0.3">
      <c r="B208">
        <v>0.19800000000000001</v>
      </c>
      <c r="C208">
        <f ca="1"/>
        <v>-0.49085537339052465</v>
      </c>
      <c r="D208">
        <f ca="1"/>
        <v>1</v>
      </c>
      <c r="E208">
        <f ca="1"/>
        <v>90.29111951180154</v>
      </c>
      <c r="F208">
        <f ca="1"/>
        <v>0</v>
      </c>
      <c r="G208" s="7">
        <f ca="1"/>
        <v>0</v>
      </c>
      <c r="H208">
        <f ca="1"/>
        <v>-94.842726709736255</v>
      </c>
      <c r="I208">
        <f ca="1"/>
        <v>1</v>
      </c>
      <c r="J208">
        <f ca="1"/>
        <v>-4.5516071979347146</v>
      </c>
      <c r="K208">
        <f ca="1"/>
        <v>0</v>
      </c>
      <c r="L208">
        <f ca="1"/>
        <v>9.7088804881984601</v>
      </c>
    </row>
    <row r="209" spans="2:12" x14ac:dyDescent="0.3">
      <c r="B209">
        <v>0.19900000000000001</v>
      </c>
      <c r="C209">
        <f ca="1"/>
        <v>-0.43524055966048747</v>
      </c>
      <c r="D209">
        <f ca="1"/>
        <v>1</v>
      </c>
      <c r="E209">
        <f ca="1"/>
        <v>91.299204456813996</v>
      </c>
      <c r="F209">
        <f ca="1"/>
        <v>0</v>
      </c>
      <c r="G209">
        <f ca="1"/>
        <v>0</v>
      </c>
      <c r="H209">
        <f ca="1"/>
        <v>-94.842726709736255</v>
      </c>
      <c r="I209">
        <f ca="1"/>
        <v>1</v>
      </c>
      <c r="J209">
        <f ca="1"/>
        <v>-3.5435222529222585</v>
      </c>
      <c r="K209">
        <f ca="1"/>
        <v>0</v>
      </c>
      <c r="L209">
        <f ca="1"/>
        <v>8.700795543186004</v>
      </c>
    </row>
    <row r="210" spans="2:12" x14ac:dyDescent="0.3">
      <c r="B210">
        <v>0.2</v>
      </c>
      <c r="C210">
        <f ca="1"/>
        <v>-0.42232130678121776</v>
      </c>
      <c r="D210">
        <f ca="1"/>
        <v>1</v>
      </c>
      <c r="E210">
        <f ca="1"/>
        <v>91.533582301234404</v>
      </c>
      <c r="F210">
        <f ca="1"/>
        <v>0</v>
      </c>
      <c r="G210">
        <f ca="1"/>
        <v>0</v>
      </c>
      <c r="H210">
        <f ca="1"/>
        <v>-94.842726709736255</v>
      </c>
      <c r="I210">
        <f ca="1"/>
        <v>1</v>
      </c>
      <c r="J210">
        <f ca="1"/>
        <v>-3.3091444085018509</v>
      </c>
      <c r="K210">
        <f ca="1"/>
        <v>0</v>
      </c>
      <c r="L210">
        <f ca="1"/>
        <v>8.4664176987655964</v>
      </c>
    </row>
    <row r="211" spans="2:12" x14ac:dyDescent="0.3">
      <c r="B211">
        <v>0.20100000000000001</v>
      </c>
      <c r="C211">
        <f ca="1"/>
        <v>-0.41931119602355582</v>
      </c>
      <c r="D211">
        <f ca="1"/>
        <v>1</v>
      </c>
      <c r="E211">
        <f ca="1"/>
        <v>91.586872380241729</v>
      </c>
      <c r="F211">
        <f ca="1"/>
        <v>0</v>
      </c>
      <c r="G211">
        <f ca="1"/>
        <v>0</v>
      </c>
      <c r="H211">
        <f ca="1"/>
        <v>-94.842726709736255</v>
      </c>
      <c r="I211">
        <f ca="1"/>
        <v>1</v>
      </c>
      <c r="J211">
        <f ca="1"/>
        <v>-3.2558543294945252</v>
      </c>
      <c r="K211">
        <f ca="1"/>
        <v>0</v>
      </c>
      <c r="L211">
        <f ca="1"/>
        <v>8.4131276197582707</v>
      </c>
    </row>
    <row r="212" spans="2:12" x14ac:dyDescent="0.3">
      <c r="B212">
        <v>0.20200000000000001</v>
      </c>
      <c r="C212">
        <f ca="1"/>
        <v>-0.42612704079535402</v>
      </c>
      <c r="D212">
        <f ca="1"/>
        <v>1</v>
      </c>
      <c r="E212">
        <f ca="1"/>
        <v>91.460279831362811</v>
      </c>
      <c r="F212">
        <f ca="1"/>
        <v>0</v>
      </c>
      <c r="G212">
        <f ca="1"/>
        <v>0</v>
      </c>
      <c r="H212">
        <f ca="1"/>
        <v>-94.842726709736255</v>
      </c>
      <c r="I212">
        <f ca="1"/>
        <v>1</v>
      </c>
      <c r="J212">
        <f ca="1"/>
        <v>-3.3824468783734432</v>
      </c>
      <c r="K212">
        <f ca="1"/>
        <v>0</v>
      </c>
      <c r="L212">
        <f ca="1"/>
        <v>8.5397201686371886</v>
      </c>
    </row>
    <row r="213" spans="2:12" x14ac:dyDescent="0.3">
      <c r="B213">
        <v>0.20300000000000001</v>
      </c>
      <c r="C213">
        <f ca="1"/>
        <v>-0.46149278395182158</v>
      </c>
      <c r="D213">
        <f ca="1"/>
        <v>1</v>
      </c>
      <c r="E213">
        <f ca="1"/>
        <v>90.813833851738096</v>
      </c>
      <c r="F213">
        <f ca="1"/>
        <v>0</v>
      </c>
      <c r="G213">
        <f ca="1"/>
        <v>0</v>
      </c>
      <c r="H213">
        <f ca="1"/>
        <v>-94.842726709736255</v>
      </c>
      <c r="I213">
        <f ca="1"/>
        <v>1</v>
      </c>
      <c r="J213">
        <f ca="1"/>
        <v>-4.0288928579981587</v>
      </c>
      <c r="K213">
        <f ca="1"/>
        <v>0</v>
      </c>
      <c r="L213">
        <f ca="1"/>
        <v>9.1861661482619041</v>
      </c>
    </row>
    <row r="214" spans="2:12" x14ac:dyDescent="0.3">
      <c r="B214">
        <v>0.20400000000000001</v>
      </c>
      <c r="C214">
        <f ca="1"/>
        <v>-0.44390453870134877</v>
      </c>
      <c r="D214">
        <f ca="1"/>
        <v>1</v>
      </c>
      <c r="E214">
        <f ca="1"/>
        <v>91.132024907383098</v>
      </c>
      <c r="F214">
        <f ca="1"/>
        <v>0</v>
      </c>
      <c r="G214">
        <f ca="1"/>
        <v>0</v>
      </c>
      <c r="H214">
        <f ca="1"/>
        <v>-94.842726709736255</v>
      </c>
      <c r="I214">
        <f ca="1"/>
        <v>1</v>
      </c>
      <c r="J214">
        <f ca="1"/>
        <v>-3.7107018023531566</v>
      </c>
      <c r="K214">
        <f ca="1"/>
        <v>0</v>
      </c>
      <c r="L214">
        <f ca="1"/>
        <v>8.8679750926169021</v>
      </c>
    </row>
    <row r="215" spans="2:12" x14ac:dyDescent="0.3">
      <c r="B215">
        <v>0.20500000000000002</v>
      </c>
      <c r="C215">
        <f ca="1"/>
        <v>-0.43205392492740458</v>
      </c>
      <c r="D215">
        <f ca="1"/>
        <v>1</v>
      </c>
      <c r="E215">
        <f ca="1"/>
        <v>91.346448214665017</v>
      </c>
      <c r="F215">
        <f ca="1"/>
        <v>0</v>
      </c>
      <c r="G215">
        <f ca="1"/>
        <v>0</v>
      </c>
      <c r="H215">
        <f ca="1"/>
        <v>-94.842726709736255</v>
      </c>
      <c r="I215">
        <f ca="1"/>
        <v>1</v>
      </c>
      <c r="J215">
        <f ca="1"/>
        <v>-3.4962784950712376</v>
      </c>
      <c r="K215">
        <f ca="1"/>
        <v>0</v>
      </c>
      <c r="L215">
        <f ca="1"/>
        <v>8.653551785334983</v>
      </c>
    </row>
    <row r="216" spans="2:12" x14ac:dyDescent="0.3">
      <c r="B216">
        <v>0.20600000000000002</v>
      </c>
      <c r="C216">
        <f ca="1"/>
        <v>-0.45503060963551728</v>
      </c>
      <c r="D216">
        <f ca="1"/>
        <v>1</v>
      </c>
      <c r="E216">
        <f ca="1"/>
        <v>90.925824983355625</v>
      </c>
      <c r="F216">
        <f ca="1"/>
        <v>0</v>
      </c>
      <c r="G216">
        <f ca="1"/>
        <v>0</v>
      </c>
      <c r="H216">
        <f ca="1"/>
        <v>-94.842726709736255</v>
      </c>
      <c r="I216">
        <f ca="1"/>
        <v>1</v>
      </c>
      <c r="J216">
        <f ca="1"/>
        <v>-3.9169017263806296</v>
      </c>
      <c r="K216">
        <f ca="1"/>
        <v>0</v>
      </c>
      <c r="L216">
        <f ca="1"/>
        <v>9.0741750166443751</v>
      </c>
    </row>
    <row r="217" spans="2:12" x14ac:dyDescent="0.3">
      <c r="B217">
        <v>0.20700000000000002</v>
      </c>
      <c r="C217">
        <f ca="1"/>
        <v>-0.49507753728288539</v>
      </c>
      <c r="D217">
        <f ca="1"/>
        <v>1</v>
      </c>
      <c r="E217">
        <f ca="1"/>
        <v>90.198669691766924</v>
      </c>
      <c r="F217">
        <f ca="1"/>
        <v>0</v>
      </c>
      <c r="G217">
        <f ca="1"/>
        <v>0</v>
      </c>
      <c r="H217">
        <f ca="1"/>
        <v>-94.842726709736255</v>
      </c>
      <c r="I217">
        <f ca="1"/>
        <v>1</v>
      </c>
      <c r="J217">
        <f ca="1"/>
        <v>-4.644057017969331</v>
      </c>
      <c r="K217">
        <f ca="1"/>
        <v>0</v>
      </c>
      <c r="L217">
        <f ca="1"/>
        <v>9.8013303082330765</v>
      </c>
    </row>
    <row r="218" spans="2:12" x14ac:dyDescent="0.3">
      <c r="B218">
        <v>0.20800000000000002</v>
      </c>
      <c r="C218">
        <f ca="1"/>
        <v>-0.487993422730366</v>
      </c>
      <c r="D218">
        <f ca="1"/>
        <v>1</v>
      </c>
      <c r="E218">
        <f ca="1"/>
        <v>90.324749295028923</v>
      </c>
      <c r="F218">
        <f ca="1"/>
        <v>0</v>
      </c>
      <c r="G218">
        <f ca="1"/>
        <v>0</v>
      </c>
      <c r="H218">
        <f ca="1"/>
        <v>-94.842726709736255</v>
      </c>
      <c r="I218">
        <f ca="1"/>
        <v>1</v>
      </c>
      <c r="J218">
        <f ca="1"/>
        <v>-4.5179774147073317</v>
      </c>
      <c r="K218">
        <f ca="1"/>
        <v>0</v>
      </c>
      <c r="L218">
        <f ca="1"/>
        <v>9.6752507049710772</v>
      </c>
    </row>
    <row r="219" spans="2:12" x14ac:dyDescent="0.3">
      <c r="B219">
        <v>0.20899999999999999</v>
      </c>
      <c r="C219">
        <f ca="1"/>
        <v>-0.46473197528958571</v>
      </c>
      <c r="D219">
        <f ca="1"/>
        <v>1</v>
      </c>
      <c r="E219">
        <f ca="1"/>
        <v>90.7441302788435</v>
      </c>
      <c r="F219">
        <f ca="1"/>
        <v>0</v>
      </c>
      <c r="G219">
        <f ca="1"/>
        <v>0</v>
      </c>
      <c r="H219">
        <f ca="1"/>
        <v>-94.842726709736255</v>
      </c>
      <c r="I219">
        <f ca="1"/>
        <v>1</v>
      </c>
      <c r="J219">
        <f ca="1"/>
        <v>-4.0985964308927549</v>
      </c>
      <c r="K219">
        <f ca="1"/>
        <v>0</v>
      </c>
      <c r="L219">
        <f ca="1"/>
        <v>9.2558697211565004</v>
      </c>
    </row>
    <row r="220" spans="2:12" x14ac:dyDescent="0.3">
      <c r="B220">
        <v>0.21</v>
      </c>
      <c r="C220">
        <f ca="1"/>
        <v>-0.40869040569610232</v>
      </c>
      <c r="D220">
        <f ca="1"/>
        <v>1</v>
      </c>
      <c r="E220">
        <f ca="1"/>
        <v>91.765104936864532</v>
      </c>
      <c r="F220">
        <f ca="1"/>
        <v>0</v>
      </c>
      <c r="G220">
        <f ca="1"/>
        <v>0</v>
      </c>
      <c r="H220">
        <f ca="1"/>
        <v>-94.842726709736255</v>
      </c>
      <c r="I220">
        <f ca="1"/>
        <v>1</v>
      </c>
      <c r="J220">
        <f ca="1"/>
        <v>-3.0776217728717228</v>
      </c>
      <c r="K220">
        <f ca="1"/>
        <v>0</v>
      </c>
      <c r="L220">
        <f ca="1"/>
        <v>8.2348950631354683</v>
      </c>
    </row>
    <row r="221" spans="2:12" x14ac:dyDescent="0.3">
      <c r="B221">
        <v>0.21099999999999999</v>
      </c>
      <c r="C221">
        <f ca="1"/>
        <v>-0.38964721453089024</v>
      </c>
      <c r="D221">
        <f ca="1"/>
        <v>1</v>
      </c>
      <c r="E221">
        <f ca="1"/>
        <v>92.113429142441547</v>
      </c>
      <c r="F221">
        <f ca="1"/>
        <v>0</v>
      </c>
      <c r="G221">
        <f ca="1"/>
        <v>0</v>
      </c>
      <c r="H221">
        <f ca="1"/>
        <v>-94.842726709736255</v>
      </c>
      <c r="I221">
        <f ca="1"/>
        <v>1</v>
      </c>
      <c r="J221">
        <f ca="1"/>
        <v>-2.729297567294708</v>
      </c>
      <c r="K221">
        <f ca="1"/>
        <v>0</v>
      </c>
      <c r="L221">
        <f ca="1"/>
        <v>7.8865708575584534</v>
      </c>
    </row>
    <row r="222" spans="2:12" x14ac:dyDescent="0.3">
      <c r="B222">
        <v>0.21199999999999999</v>
      </c>
      <c r="C222">
        <f ca="1"/>
        <v>-0.37332486456920333</v>
      </c>
      <c r="D222">
        <f ca="1"/>
        <v>1</v>
      </c>
      <c r="E222">
        <f ca="1"/>
        <v>92.412773743884216</v>
      </c>
      <c r="F222">
        <f ca="1"/>
        <v>0</v>
      </c>
      <c r="G222">
        <f ca="1"/>
        <v>0</v>
      </c>
      <c r="H222">
        <f ca="1"/>
        <v>-94.842726709736255</v>
      </c>
      <c r="I222">
        <f ca="1"/>
        <v>1</v>
      </c>
      <c r="J222">
        <f ca="1"/>
        <v>-2.4299529658520385</v>
      </c>
      <c r="K222">
        <f ca="1"/>
        <v>0</v>
      </c>
      <c r="L222">
        <f ca="1"/>
        <v>7.5872262561157839</v>
      </c>
    </row>
    <row r="223" spans="2:12" x14ac:dyDescent="0.3">
      <c r="B223">
        <v>0.21299999999999999</v>
      </c>
      <c r="C223">
        <f ca="1"/>
        <v>-0.39157237909496462</v>
      </c>
      <c r="D223">
        <f ca="1"/>
        <v>1</v>
      </c>
      <c r="E223">
        <f ca="1"/>
        <v>92.074286222447697</v>
      </c>
      <c r="F223">
        <f ca="1"/>
        <v>0</v>
      </c>
      <c r="G223">
        <f ca="1"/>
        <v>0</v>
      </c>
      <c r="H223">
        <f ca="1"/>
        <v>-94.842726709736255</v>
      </c>
      <c r="I223">
        <f ca="1"/>
        <v>1</v>
      </c>
      <c r="J223">
        <f ca="1"/>
        <v>-2.768440487288558</v>
      </c>
      <c r="K223">
        <f ca="1"/>
        <v>0</v>
      </c>
      <c r="L223">
        <f ca="1"/>
        <v>7.9257137775523034</v>
      </c>
    </row>
    <row r="224" spans="2:12" x14ac:dyDescent="0.3">
      <c r="B224">
        <v>0.214</v>
      </c>
      <c r="C224">
        <f ca="1"/>
        <v>-0.3862715652890068</v>
      </c>
      <c r="D224">
        <f ca="1"/>
        <v>1</v>
      </c>
      <c r="E224">
        <f ca="1"/>
        <v>92.170108292874801</v>
      </c>
      <c r="F224">
        <f ca="1"/>
        <v>0</v>
      </c>
      <c r="G224">
        <f ca="1"/>
        <v>0</v>
      </c>
      <c r="H224">
        <f ca="1"/>
        <v>-94.842726709736255</v>
      </c>
      <c r="I224">
        <f ca="1"/>
        <v>1</v>
      </c>
      <c r="J224">
        <f ca="1"/>
        <v>-2.6726184168614537</v>
      </c>
      <c r="K224">
        <f ca="1"/>
        <v>0</v>
      </c>
      <c r="L224">
        <f ca="1"/>
        <v>7.8298917071251992</v>
      </c>
    </row>
    <row r="225" spans="2:12" x14ac:dyDescent="0.3">
      <c r="B225">
        <v>0.215</v>
      </c>
      <c r="C225">
        <f ca="1"/>
        <v>-0.42372080961943354</v>
      </c>
      <c r="D225">
        <f ca="1"/>
        <v>1</v>
      </c>
      <c r="E225">
        <f ca="1"/>
        <v>91.480517312595097</v>
      </c>
      <c r="F225">
        <f ca="1"/>
        <v>0</v>
      </c>
      <c r="G225">
        <f ca="1"/>
        <v>0</v>
      </c>
      <c r="H225">
        <f ca="1"/>
        <v>-94.842726709736255</v>
      </c>
      <c r="I225">
        <f ca="1"/>
        <v>1</v>
      </c>
      <c r="J225">
        <f ca="1"/>
        <v>-3.3622093971411573</v>
      </c>
      <c r="K225">
        <f ca="1"/>
        <v>0</v>
      </c>
      <c r="L225">
        <f ca="1"/>
        <v>8.5194826874049028</v>
      </c>
    </row>
    <row r="226" spans="2:12" x14ac:dyDescent="0.3">
      <c r="B226">
        <v>0.216</v>
      </c>
      <c r="C226">
        <f ca="1"/>
        <v>-0.37961519139187827</v>
      </c>
      <c r="D226">
        <f ca="1"/>
        <v>1</v>
      </c>
      <c r="E226">
        <f ca="1"/>
        <v>92.289202103999685</v>
      </c>
      <c r="F226">
        <f ca="1"/>
        <v>0</v>
      </c>
      <c r="G226">
        <f ca="1"/>
        <v>0</v>
      </c>
      <c r="H226">
        <f ca="1"/>
        <v>-94.842726709736255</v>
      </c>
      <c r="I226">
        <f ca="1"/>
        <v>1</v>
      </c>
      <c r="J226">
        <f ca="1"/>
        <v>-2.5535246057365697</v>
      </c>
      <c r="K226">
        <f ca="1"/>
        <v>0</v>
      </c>
      <c r="L226">
        <f ca="1"/>
        <v>7.7107978960003152</v>
      </c>
    </row>
    <row r="227" spans="2:12" x14ac:dyDescent="0.3">
      <c r="B227">
        <v>0.217</v>
      </c>
      <c r="C227">
        <f ca="1"/>
        <v>-0.35220582119559746</v>
      </c>
      <c r="D227">
        <f ca="1"/>
        <v>1</v>
      </c>
      <c r="E227">
        <f ca="1"/>
        <v>92.79465319963019</v>
      </c>
      <c r="F227">
        <f ca="1"/>
        <v>0</v>
      </c>
      <c r="G227">
        <f ca="1"/>
        <v>0</v>
      </c>
      <c r="H227">
        <f ca="1"/>
        <v>-94.842726709736255</v>
      </c>
      <c r="I227">
        <f ca="1"/>
        <v>1</v>
      </c>
      <c r="J227">
        <f ca="1"/>
        <v>-2.0480735101060645</v>
      </c>
      <c r="K227">
        <f ca="1"/>
        <v>0</v>
      </c>
      <c r="L227">
        <f ca="1"/>
        <v>7.20534680036981</v>
      </c>
    </row>
    <row r="228" spans="2:12" x14ac:dyDescent="0.3">
      <c r="B228">
        <v>0.218</v>
      </c>
      <c r="C228">
        <f ca="1"/>
        <v>-0.34383735155960249</v>
      </c>
      <c r="D228">
        <f ca="1"/>
        <v>1</v>
      </c>
      <c r="E228">
        <f ca="1"/>
        <v>92.948234107010023</v>
      </c>
      <c r="F228">
        <f ca="1"/>
        <v>0</v>
      </c>
      <c r="G228">
        <f ca="1"/>
        <v>0</v>
      </c>
      <c r="H228">
        <f ca="1"/>
        <v>-94.842726709736255</v>
      </c>
      <c r="I228">
        <f ca="1"/>
        <v>1</v>
      </c>
      <c r="J228">
        <f ca="1"/>
        <v>-1.8944926027262312</v>
      </c>
      <c r="K228">
        <f ca="1"/>
        <v>0</v>
      </c>
      <c r="L228">
        <f ca="1"/>
        <v>7.0517658929899767</v>
      </c>
    </row>
    <row r="229" spans="2:12" x14ac:dyDescent="0.3">
      <c r="B229">
        <v>0.219</v>
      </c>
      <c r="C229">
        <f ca="1"/>
        <v>-0.34679574584536405</v>
      </c>
      <c r="D229">
        <f ca="1"/>
        <v>1</v>
      </c>
      <c r="E229">
        <f ca="1"/>
        <v>92.891397022190816</v>
      </c>
      <c r="F229">
        <f ca="1"/>
        <v>0</v>
      </c>
      <c r="G229">
        <f ca="1"/>
        <v>0</v>
      </c>
      <c r="H229">
        <f ca="1"/>
        <v>-94.842726709736255</v>
      </c>
      <c r="I229">
        <f ca="1"/>
        <v>1</v>
      </c>
      <c r="J229">
        <f ca="1"/>
        <v>-1.9513296875454387</v>
      </c>
      <c r="K229">
        <f ca="1"/>
        <v>0</v>
      </c>
      <c r="L229">
        <f ca="1"/>
        <v>7.1086029778091842</v>
      </c>
    </row>
    <row r="230" spans="2:12" x14ac:dyDescent="0.3">
      <c r="B230">
        <v>0.22</v>
      </c>
      <c r="C230">
        <f ca="1"/>
        <v>-0.31754021824394135</v>
      </c>
      <c r="D230">
        <f ca="1"/>
        <v>1</v>
      </c>
      <c r="E230">
        <f ca="1"/>
        <v>93.434638871160573</v>
      </c>
      <c r="F230">
        <f ca="1"/>
        <v>0</v>
      </c>
      <c r="G230">
        <f ca="1"/>
        <v>0</v>
      </c>
      <c r="H230">
        <f ca="1"/>
        <v>-94.842726709736255</v>
      </c>
      <c r="I230">
        <f ca="1"/>
        <v>1</v>
      </c>
      <c r="J230">
        <f ca="1"/>
        <v>-1.4080878385756819</v>
      </c>
      <c r="K230">
        <f ca="1"/>
        <v>0</v>
      </c>
      <c r="L230">
        <f ca="1"/>
        <v>6.5653611288394274</v>
      </c>
    </row>
    <row r="231" spans="2:12" x14ac:dyDescent="0.3">
      <c r="B231">
        <v>0.221</v>
      </c>
      <c r="C231">
        <f ca="1"/>
        <v>-0.30281695220888377</v>
      </c>
      <c r="D231">
        <f ca="1"/>
        <v>1</v>
      </c>
      <c r="E231">
        <f ca="1"/>
        <v>93.708302778325418</v>
      </c>
      <c r="F231">
        <f ca="1"/>
        <v>0</v>
      </c>
      <c r="G231">
        <f ca="1"/>
        <v>0</v>
      </c>
      <c r="H231">
        <f ca="1"/>
        <v>-94.842726709736255</v>
      </c>
      <c r="I231">
        <f ca="1"/>
        <v>1</v>
      </c>
      <c r="J231">
        <f ca="1"/>
        <v>-1.1344239314108364</v>
      </c>
      <c r="K231">
        <f ca="1"/>
        <v>0</v>
      </c>
      <c r="L231">
        <f ca="1"/>
        <v>6.2916972216745819</v>
      </c>
    </row>
    <row r="232" spans="2:12" x14ac:dyDescent="0.3">
      <c r="B232">
        <v>0.222</v>
      </c>
      <c r="C232">
        <f ca="1"/>
        <v>-0.31372823162387997</v>
      </c>
      <c r="D232">
        <f ca="1"/>
        <v>1</v>
      </c>
      <c r="E232">
        <f ca="1"/>
        <v>93.502160189924751</v>
      </c>
      <c r="F232">
        <f ca="1"/>
        <v>0</v>
      </c>
      <c r="G232">
        <f ca="1"/>
        <v>0</v>
      </c>
      <c r="H232">
        <f ca="1"/>
        <v>-94.842726709736255</v>
      </c>
      <c r="I232">
        <f ca="1"/>
        <v>1</v>
      </c>
      <c r="J232">
        <f ca="1"/>
        <v>-1.3405665198115031</v>
      </c>
      <c r="K232">
        <f ca="1"/>
        <v>0</v>
      </c>
      <c r="L232">
        <f ca="1"/>
        <v>6.4978398100752486</v>
      </c>
    </row>
    <row r="233" spans="2:12" x14ac:dyDescent="0.3">
      <c r="B233">
        <v>0.223</v>
      </c>
      <c r="C233">
        <f ca="1"/>
        <v>-0.30008747571139455</v>
      </c>
      <c r="D233">
        <f ca="1"/>
        <v>1</v>
      </c>
      <c r="E233">
        <f ca="1"/>
        <v>93.755721361632766</v>
      </c>
      <c r="F233">
        <f ca="1"/>
        <v>0</v>
      </c>
      <c r="G233">
        <f ca="1"/>
        <v>0</v>
      </c>
      <c r="H233">
        <f ca="1"/>
        <v>-94.842726709736255</v>
      </c>
      <c r="I233">
        <f ca="1"/>
        <v>1</v>
      </c>
      <c r="J233">
        <f ca="1"/>
        <v>-1.0870053481034887</v>
      </c>
      <c r="K233">
        <f ca="1"/>
        <v>0</v>
      </c>
      <c r="L233">
        <f ca="1"/>
        <v>6.2442786383672342</v>
      </c>
    </row>
    <row r="234" spans="2:12" x14ac:dyDescent="0.3">
      <c r="B234">
        <v>0.224</v>
      </c>
      <c r="C234">
        <f ca="1"/>
        <v>-0.28522428644113107</v>
      </c>
      <c r="D234">
        <f ca="1"/>
        <v>1</v>
      </c>
      <c r="E234">
        <f ca="1"/>
        <v>94.032957140573444</v>
      </c>
      <c r="F234">
        <f ca="1"/>
        <v>0</v>
      </c>
      <c r="G234">
        <f ca="1"/>
        <v>0</v>
      </c>
      <c r="H234">
        <f ca="1"/>
        <v>-94.842726709736255</v>
      </c>
      <c r="I234">
        <f ca="1"/>
        <v>1</v>
      </c>
      <c r="J234">
        <f ca="1"/>
        <v>-0.8097695691628104</v>
      </c>
      <c r="K234">
        <f ca="1"/>
        <v>0</v>
      </c>
      <c r="L234">
        <f ca="1"/>
        <v>5.9670428594265559</v>
      </c>
    </row>
    <row r="235" spans="2:12" x14ac:dyDescent="0.3">
      <c r="B235">
        <v>0.22500000000000001</v>
      </c>
      <c r="C235">
        <f ca="1"/>
        <v>-0.26268870846935799</v>
      </c>
      <c r="D235">
        <f ca="1"/>
        <v>1</v>
      </c>
      <c r="E235">
        <f ca="1"/>
        <v>94.455841945907252</v>
      </c>
      <c r="F235">
        <f ca="1"/>
        <v>0</v>
      </c>
      <c r="G235">
        <f ca="1"/>
        <v>0</v>
      </c>
      <c r="H235">
        <f ca="1"/>
        <v>-94.842726709736255</v>
      </c>
      <c r="I235">
        <f ca="1"/>
        <v>1</v>
      </c>
      <c r="J235">
        <f ca="1"/>
        <v>-0.38688476382900205</v>
      </c>
      <c r="K235">
        <f ca="1"/>
        <v>0</v>
      </c>
      <c r="L235">
        <f ca="1"/>
        <v>5.5441580540927475</v>
      </c>
    </row>
    <row r="236" spans="2:12" x14ac:dyDescent="0.3">
      <c r="B236">
        <v>0.22600000000000001</v>
      </c>
      <c r="C236">
        <f ca="1"/>
        <v>-0.31038652575772957</v>
      </c>
      <c r="D236">
        <f ca="1"/>
        <v>1</v>
      </c>
      <c r="E236">
        <f ca="1"/>
        <v>93.557187546392896</v>
      </c>
      <c r="F236">
        <f ca="1"/>
        <v>0</v>
      </c>
      <c r="G236">
        <f ca="1"/>
        <v>0</v>
      </c>
      <c r="H236">
        <f ca="1"/>
        <v>-94.842726709736255</v>
      </c>
      <c r="I236">
        <f ca="1"/>
        <v>1</v>
      </c>
      <c r="J236">
        <f ca="1"/>
        <v>-1.2855391633433584</v>
      </c>
      <c r="K236">
        <f ca="1"/>
        <v>0</v>
      </c>
      <c r="L236">
        <f ca="1"/>
        <v>6.4428124536071039</v>
      </c>
    </row>
    <row r="237" spans="2:12" x14ac:dyDescent="0.3">
      <c r="B237">
        <v>0.22700000000000001</v>
      </c>
      <c r="C237">
        <f ca="1"/>
        <v>-0.30760854981534952</v>
      </c>
      <c r="D237">
        <f ca="1"/>
        <v>1</v>
      </c>
      <c r="E237">
        <f ca="1"/>
        <v>93.607309747296725</v>
      </c>
      <c r="F237">
        <f ca="1"/>
        <v>0</v>
      </c>
      <c r="G237">
        <f ca="1"/>
        <v>0</v>
      </c>
      <c r="H237">
        <f ca="1"/>
        <v>-94.842726709736255</v>
      </c>
      <c r="I237">
        <f ca="1"/>
        <v>1</v>
      </c>
      <c r="J237">
        <f ca="1"/>
        <v>-1.2354169624395297</v>
      </c>
      <c r="K237">
        <f ca="1"/>
        <v>0</v>
      </c>
      <c r="L237">
        <f ca="1"/>
        <v>6.3926902527032752</v>
      </c>
    </row>
    <row r="238" spans="2:12" x14ac:dyDescent="0.3">
      <c r="B238">
        <v>0.22800000000000001</v>
      </c>
      <c r="C238">
        <f ca="1"/>
        <v>-0.26261044672475214</v>
      </c>
      <c r="D238">
        <f ca="1"/>
        <v>1</v>
      </c>
      <c r="E238">
        <f ca="1"/>
        <v>94.451653144068729</v>
      </c>
      <c r="F238">
        <f ca="1"/>
        <v>0</v>
      </c>
      <c r="G238">
        <f ca="1"/>
        <v>0</v>
      </c>
      <c r="H238">
        <f ca="1"/>
        <v>-94.842726709736255</v>
      </c>
      <c r="I238">
        <f ca="1"/>
        <v>1</v>
      </c>
      <c r="J238">
        <f ca="1"/>
        <v>-0.39107356566752571</v>
      </c>
      <c r="K238">
        <f ca="1"/>
        <v>0</v>
      </c>
      <c r="L238">
        <f ca="1"/>
        <v>5.5483468559312712</v>
      </c>
    </row>
    <row r="239" spans="2:12" x14ac:dyDescent="0.3">
      <c r="B239">
        <v>0.22900000000000001</v>
      </c>
      <c r="C239">
        <f ca="1"/>
        <v>-0.22865880767548658</v>
      </c>
      <c r="D239">
        <f ca="1"/>
        <v>1</v>
      </c>
      <c r="E239">
        <f ca="1"/>
        <v>95.09329139777914</v>
      </c>
      <c r="F239">
        <f ca="1"/>
        <v>0</v>
      </c>
      <c r="G239">
        <f ca="1"/>
        <v>0</v>
      </c>
      <c r="H239">
        <f ca="1"/>
        <v>-94.842726709736255</v>
      </c>
      <c r="I239">
        <f ca="1"/>
        <v>1</v>
      </c>
      <c r="J239">
        <f ca="1"/>
        <v>0.25056468804288556</v>
      </c>
      <c r="K239">
        <f ca="1"/>
        <v>0</v>
      </c>
      <c r="L239">
        <f ca="1"/>
        <v>4.9067086022208599</v>
      </c>
    </row>
    <row r="240" spans="2:12" x14ac:dyDescent="0.3">
      <c r="B240">
        <v>0.23</v>
      </c>
      <c r="C240">
        <f ca="1"/>
        <v>-0.20282233360811541</v>
      </c>
      <c r="D240">
        <f ca="1"/>
        <v>1</v>
      </c>
      <c r="E240">
        <f ca="1"/>
        <v>95.584026499020666</v>
      </c>
      <c r="F240">
        <f ca="1"/>
        <v>0</v>
      </c>
      <c r="G240">
        <f ca="1"/>
        <v>0</v>
      </c>
      <c r="H240">
        <f ca="1"/>
        <v>-94.842726709736255</v>
      </c>
      <c r="I240">
        <f ca="1"/>
        <v>1</v>
      </c>
      <c r="J240">
        <f ca="1"/>
        <v>0.74129978928441176</v>
      </c>
      <c r="K240">
        <f ca="1"/>
        <v>0</v>
      </c>
      <c r="L240">
        <f ca="1"/>
        <v>4.4159735009793337</v>
      </c>
    </row>
    <row r="241" spans="2:12" x14ac:dyDescent="0.3">
      <c r="B241">
        <v>0.23100000000000001</v>
      </c>
      <c r="C241">
        <f ca="1"/>
        <v>-0.23285118043564176</v>
      </c>
      <c r="D241">
        <f ca="1"/>
        <v>1</v>
      </c>
      <c r="E241">
        <f ca="1"/>
        <v>95.009791043055571</v>
      </c>
      <c r="F241">
        <f ca="1"/>
        <v>0</v>
      </c>
      <c r="G241">
        <f ca="1"/>
        <v>0</v>
      </c>
      <c r="H241">
        <f ca="1"/>
        <v>-94.842726709736255</v>
      </c>
      <c r="I241">
        <f ca="1"/>
        <v>1</v>
      </c>
      <c r="J241">
        <f ca="1"/>
        <v>0.16706433331931692</v>
      </c>
      <c r="K241">
        <f ca="1"/>
        <v>0</v>
      </c>
      <c r="L241">
        <f ca="1"/>
        <v>4.9902089569444286</v>
      </c>
    </row>
    <row r="242" spans="2:12" x14ac:dyDescent="0.3">
      <c r="B242">
        <v>0.23200000000000001</v>
      </c>
      <c r="C242">
        <f ca="1"/>
        <v>-0.21941117617844078</v>
      </c>
      <c r="D242">
        <f ca="1"/>
        <v>1</v>
      </c>
      <c r="E242">
        <f ca="1"/>
        <v>95.263615698086326</v>
      </c>
      <c r="F242">
        <f ca="1"/>
        <v>0</v>
      </c>
      <c r="G242">
        <f ca="1"/>
        <v>0</v>
      </c>
      <c r="H242">
        <f ca="1"/>
        <v>-94.842726709736255</v>
      </c>
      <c r="I242">
        <f ca="1"/>
        <v>1</v>
      </c>
      <c r="J242">
        <f ca="1"/>
        <v>0.42088898835007171</v>
      </c>
      <c r="K242">
        <f ca="1"/>
        <v>0</v>
      </c>
      <c r="L242">
        <f ca="1"/>
        <v>4.7363843019136738</v>
      </c>
    </row>
    <row r="243" spans="2:12" x14ac:dyDescent="0.3">
      <c r="B243">
        <v>0.23300000000000001</v>
      </c>
      <c r="C243">
        <f ca="1"/>
        <v>-0.2947986327066171</v>
      </c>
      <c r="D243">
        <f ca="1"/>
        <v>1</v>
      </c>
      <c r="E243">
        <f ca="1"/>
        <v>93.836176576622293</v>
      </c>
      <c r="F243">
        <f ca="1"/>
        <v>0</v>
      </c>
      <c r="G243">
        <f ca="1"/>
        <v>0</v>
      </c>
      <c r="H243">
        <f ca="1"/>
        <v>-94.842726709736255</v>
      </c>
      <c r="I243">
        <f ca="1"/>
        <v>1</v>
      </c>
      <c r="J243">
        <f ca="1"/>
        <v>-1.0065501331139615</v>
      </c>
      <c r="K243">
        <f ca="1"/>
        <v>0</v>
      </c>
      <c r="L243">
        <f ca="1"/>
        <v>6.1638234233777069</v>
      </c>
    </row>
    <row r="244" spans="2:12" x14ac:dyDescent="0.3">
      <c r="B244">
        <v>0.23400000000000001</v>
      </c>
      <c r="C244">
        <f ca="1"/>
        <v>-0.35027192900438536</v>
      </c>
      <c r="D244">
        <f ca="1"/>
        <v>1</v>
      </c>
      <c r="E244">
        <f ca="1"/>
        <v>92.798994090113354</v>
      </c>
      <c r="F244">
        <f ca="1"/>
        <v>0</v>
      </c>
      <c r="G244">
        <f ca="1"/>
        <v>0</v>
      </c>
      <c r="H244">
        <f ca="1"/>
        <v>-94.842726709736255</v>
      </c>
      <c r="I244">
        <f ca="1"/>
        <v>1</v>
      </c>
      <c r="J244">
        <f ca="1"/>
        <v>-2.0437326196229009</v>
      </c>
      <c r="K244">
        <f ca="1"/>
        <v>0</v>
      </c>
      <c r="L244">
        <f ca="1"/>
        <v>7.2010059098866464</v>
      </c>
    </row>
    <row r="245" spans="2:12" x14ac:dyDescent="0.3">
      <c r="B245">
        <v>0.23500000000000001</v>
      </c>
      <c r="C245">
        <f ca="1"/>
        <v>-0.29998398845992003</v>
      </c>
      <c r="D245">
        <f ca="1"/>
        <v>1</v>
      </c>
      <c r="E245">
        <f ca="1"/>
        <v>93.73516274724939</v>
      </c>
      <c r="F245">
        <f ca="1"/>
        <v>0</v>
      </c>
      <c r="G245">
        <f ca="1"/>
        <v>0</v>
      </c>
      <c r="H245">
        <f ca="1"/>
        <v>-94.842726709736255</v>
      </c>
      <c r="I245">
        <f ca="1"/>
        <v>1</v>
      </c>
      <c r="J245">
        <f ca="1"/>
        <v>-1.1075639624868643</v>
      </c>
      <c r="K245">
        <f ca="1"/>
        <v>0</v>
      </c>
      <c r="L245">
        <f ca="1"/>
        <v>6.2648372527506098</v>
      </c>
    </row>
    <row r="246" spans="2:12" x14ac:dyDescent="0.3">
      <c r="B246">
        <v>0.23600000000000002</v>
      </c>
      <c r="C246">
        <f ca="1"/>
        <v>-0.34513899464553932</v>
      </c>
      <c r="D246">
        <f ca="1"/>
        <v>1</v>
      </c>
      <c r="E246">
        <f ca="1"/>
        <v>92.890593537372226</v>
      </c>
      <c r="F246">
        <f ca="1"/>
        <v>0</v>
      </c>
      <c r="G246">
        <f ca="1"/>
        <v>0</v>
      </c>
      <c r="H246">
        <f ca="1"/>
        <v>-94.842726709736255</v>
      </c>
      <c r="I246">
        <f ca="1"/>
        <v>1</v>
      </c>
      <c r="J246">
        <f ca="1"/>
        <v>-1.9521331723640287</v>
      </c>
      <c r="K246">
        <f ca="1"/>
        <v>0</v>
      </c>
      <c r="L246">
        <f ca="1"/>
        <v>7.1094064626277742</v>
      </c>
    </row>
    <row r="247" spans="2:12" x14ac:dyDescent="0.3">
      <c r="B247">
        <v>0.23700000000000002</v>
      </c>
      <c r="C247">
        <f ca="1"/>
        <v>-0.36480497247414712</v>
      </c>
      <c r="D247">
        <f ca="1"/>
        <v>1</v>
      </c>
      <c r="E247">
        <f ca="1"/>
        <v>92.524103735117905</v>
      </c>
      <c r="F247">
        <f ca="1"/>
        <v>0</v>
      </c>
      <c r="G247">
        <f ca="1"/>
        <v>0</v>
      </c>
      <c r="H247">
        <f ca="1"/>
        <v>-94.842726709736255</v>
      </c>
      <c r="I247">
        <f ca="1"/>
        <v>1</v>
      </c>
      <c r="J247">
        <f ca="1"/>
        <v>-2.31862297461835</v>
      </c>
      <c r="K247">
        <f ca="1"/>
        <v>0</v>
      </c>
      <c r="L247">
        <f ca="1"/>
        <v>7.4758962648820955</v>
      </c>
    </row>
    <row r="248" spans="2:12" x14ac:dyDescent="0.3">
      <c r="B248">
        <v>0.23800000000000002</v>
      </c>
      <c r="C248">
        <f ca="1"/>
        <v>-0.38323002993101685</v>
      </c>
      <c r="D248">
        <f ca="1"/>
        <v>1</v>
      </c>
      <c r="E248">
        <f ca="1"/>
        <v>92.181935128275811</v>
      </c>
      <c r="F248">
        <f ca="1"/>
        <v>0</v>
      </c>
      <c r="G248">
        <f ca="1"/>
        <v>0</v>
      </c>
      <c r="H248">
        <f ca="1"/>
        <v>-94.842726709736255</v>
      </c>
      <c r="I248">
        <f ca="1"/>
        <v>1</v>
      </c>
      <c r="J248">
        <f ca="1"/>
        <v>-2.6607915814604439</v>
      </c>
      <c r="K248">
        <f ca="1"/>
        <v>0</v>
      </c>
      <c r="L248">
        <f ca="1"/>
        <v>7.8180648717241894</v>
      </c>
    </row>
    <row r="249" spans="2:12" x14ac:dyDescent="0.3">
      <c r="B249">
        <v>0.23900000000000002</v>
      </c>
      <c r="C249">
        <f ca="1"/>
        <v>-0.36489312258837026</v>
      </c>
      <c r="D249">
        <f ca="1"/>
        <v>1</v>
      </c>
      <c r="E249">
        <f ca="1"/>
        <v>92.518771722549459</v>
      </c>
      <c r="F249">
        <f ca="1"/>
        <v>0</v>
      </c>
      <c r="G249">
        <f ca="1"/>
        <v>0</v>
      </c>
      <c r="H249">
        <f ca="1"/>
        <v>-94.842726709736255</v>
      </c>
      <c r="I249">
        <f ca="1"/>
        <v>1</v>
      </c>
      <c r="J249">
        <f ca="1"/>
        <v>-2.3239549871867951</v>
      </c>
      <c r="K249">
        <f ca="1"/>
        <v>0</v>
      </c>
      <c r="L249">
        <f ca="1"/>
        <v>7.4812282774505405</v>
      </c>
    </row>
    <row r="250" spans="2:12" x14ac:dyDescent="0.3">
      <c r="B250">
        <v>0.24</v>
      </c>
      <c r="C250">
        <f ca="1"/>
        <v>-0.38301887031344584</v>
      </c>
      <c r="D250">
        <f ca="1"/>
        <v>1</v>
      </c>
      <c r="E250">
        <f ca="1"/>
        <v>92.182140871534003</v>
      </c>
      <c r="F250">
        <f ca="1"/>
        <v>0</v>
      </c>
      <c r="G250">
        <f ca="1"/>
        <v>0</v>
      </c>
      <c r="H250">
        <f ca="1"/>
        <v>-94.842726709736255</v>
      </c>
      <c r="I250">
        <f ca="1"/>
        <v>1</v>
      </c>
      <c r="J250">
        <f ca="1"/>
        <v>-2.6605858382022518</v>
      </c>
      <c r="K250">
        <f ca="1"/>
        <v>0</v>
      </c>
      <c r="L250">
        <f ca="1"/>
        <v>7.8178591284659973</v>
      </c>
    </row>
    <row r="251" spans="2:12" x14ac:dyDescent="0.3">
      <c r="B251">
        <v>0.24099999999999999</v>
      </c>
      <c r="C251">
        <f ca="1"/>
        <v>-0.43737576505278702</v>
      </c>
      <c r="D251">
        <f ca="1"/>
        <v>1</v>
      </c>
      <c r="E251">
        <f ca="1"/>
        <v>91.183597868950557</v>
      </c>
      <c r="F251">
        <f ca="1"/>
        <v>0</v>
      </c>
      <c r="G251">
        <f ca="1"/>
        <v>0</v>
      </c>
      <c r="H251">
        <f ca="1"/>
        <v>-94.842726709736255</v>
      </c>
      <c r="I251">
        <f ca="1"/>
        <v>1</v>
      </c>
      <c r="J251">
        <f ca="1"/>
        <v>-3.6591288407856979</v>
      </c>
      <c r="K251">
        <f ca="1"/>
        <v>0</v>
      </c>
      <c r="L251">
        <f ca="1"/>
        <v>8.8164021310494434</v>
      </c>
    </row>
    <row r="252" spans="2:12" x14ac:dyDescent="0.3">
      <c r="B252">
        <v>0.24199999999999999</v>
      </c>
      <c r="C252">
        <f ca="1"/>
        <v>-0.39151669424731705</v>
      </c>
      <c r="D252">
        <f ca="1"/>
        <v>1</v>
      </c>
      <c r="E252">
        <f ca="1"/>
        <v>92.021923459990731</v>
      </c>
      <c r="F252">
        <f ca="1"/>
        <v>0</v>
      </c>
      <c r="G252">
        <f ca="1"/>
        <v>0</v>
      </c>
      <c r="H252">
        <f ca="1"/>
        <v>-94.842726709736255</v>
      </c>
      <c r="I252">
        <f ca="1"/>
        <v>1</v>
      </c>
      <c r="J252">
        <f ca="1"/>
        <v>-2.8208032497455235</v>
      </c>
      <c r="K252">
        <f ca="1"/>
        <v>0</v>
      </c>
      <c r="L252">
        <f ca="1"/>
        <v>7.978076540009269</v>
      </c>
    </row>
    <row r="253" spans="2:12" x14ac:dyDescent="0.3">
      <c r="B253">
        <v>0.24299999999999999</v>
      </c>
      <c r="C253">
        <f ca="1"/>
        <v>-0.37415315637473628</v>
      </c>
      <c r="D253">
        <f ca="1"/>
        <v>1</v>
      </c>
      <c r="E253">
        <f ca="1"/>
        <v>92.340197389362359</v>
      </c>
      <c r="F253">
        <f ca="1"/>
        <v>0</v>
      </c>
      <c r="G253">
        <f ca="1"/>
        <v>0</v>
      </c>
      <c r="H253">
        <f ca="1"/>
        <v>-94.842726709736255</v>
      </c>
      <c r="I253">
        <f ca="1"/>
        <v>1</v>
      </c>
      <c r="J253">
        <f ca="1"/>
        <v>-2.5025293203738954</v>
      </c>
      <c r="K253">
        <f ca="1"/>
        <v>0</v>
      </c>
      <c r="L253">
        <f ca="1"/>
        <v>7.6598026106376409</v>
      </c>
    </row>
    <row r="254" spans="2:12" x14ac:dyDescent="0.3">
      <c r="B254">
        <v>0.24399999999999999</v>
      </c>
      <c r="C254">
        <f ca="1"/>
        <v>-0.34092157449174915</v>
      </c>
      <c r="D254">
        <f ca="1"/>
        <v>1</v>
      </c>
      <c r="E254">
        <f ca="1"/>
        <v>92.954104476546576</v>
      </c>
      <c r="F254">
        <f ca="1"/>
        <v>0</v>
      </c>
      <c r="G254">
        <f ca="1"/>
        <v>0</v>
      </c>
      <c r="H254">
        <f ca="1"/>
        <v>-94.842726709736255</v>
      </c>
      <c r="I254">
        <f ca="1"/>
        <v>1</v>
      </c>
      <c r="J254">
        <f ca="1"/>
        <v>-1.8886222331896789</v>
      </c>
      <c r="K254">
        <f ca="1"/>
        <v>0</v>
      </c>
      <c r="L254">
        <f ca="1"/>
        <v>7.0458955234534244</v>
      </c>
    </row>
    <row r="255" spans="2:12" x14ac:dyDescent="0.3">
      <c r="B255">
        <v>0.245</v>
      </c>
      <c r="C255">
        <f ca="1"/>
        <v>-0.35764985713148911</v>
      </c>
      <c r="D255">
        <f ca="1"/>
        <v>1</v>
      </c>
      <c r="E255">
        <f ca="1"/>
        <v>92.641778773362546</v>
      </c>
      <c r="F255">
        <f ca="1"/>
        <v>0</v>
      </c>
      <c r="G255">
        <f ca="1"/>
        <v>0</v>
      </c>
      <c r="H255">
        <f ca="1"/>
        <v>-94.842726709736255</v>
      </c>
      <c r="I255">
        <f ca="1"/>
        <v>1</v>
      </c>
      <c r="J255">
        <f ca="1"/>
        <v>-2.2009479363737086</v>
      </c>
      <c r="K255">
        <f ca="1"/>
        <v>0</v>
      </c>
      <c r="L255">
        <f ca="1"/>
        <v>7.358221226637454</v>
      </c>
    </row>
    <row r="256" spans="2:12" x14ac:dyDescent="0.3">
      <c r="B256">
        <v>0.246</v>
      </c>
      <c r="C256">
        <f ca="1"/>
        <v>-0.35806536245919479</v>
      </c>
      <c r="D256">
        <f ca="1"/>
        <v>1</v>
      </c>
      <c r="E256">
        <f ca="1"/>
        <v>92.632227799623635</v>
      </c>
      <c r="F256">
        <f ca="1"/>
        <v>0</v>
      </c>
      <c r="G256">
        <f ca="1"/>
        <v>0</v>
      </c>
      <c r="H256">
        <f ca="1"/>
        <v>-94.842726709736255</v>
      </c>
      <c r="I256">
        <f ca="1"/>
        <v>1</v>
      </c>
      <c r="J256">
        <f ca="1"/>
        <v>-2.2104989101126193</v>
      </c>
      <c r="K256">
        <f ca="1"/>
        <v>0</v>
      </c>
      <c r="L256">
        <f ca="1"/>
        <v>7.3677722003763648</v>
      </c>
    </row>
    <row r="257" spans="2:12" x14ac:dyDescent="0.3">
      <c r="B257">
        <v>0.247</v>
      </c>
      <c r="C257">
        <f ca="1"/>
        <v>-0.36979361992544085</v>
      </c>
      <c r="D257">
        <f ca="1"/>
        <v>1</v>
      </c>
      <c r="E257">
        <f ca="1"/>
        <v>92.413351226527467</v>
      </c>
      <c r="F257">
        <f ca="1"/>
        <v>0</v>
      </c>
      <c r="G257">
        <f ca="1"/>
        <v>0</v>
      </c>
      <c r="H257">
        <f ca="1"/>
        <v>-94.842726709736255</v>
      </c>
      <c r="I257">
        <f ca="1"/>
        <v>1</v>
      </c>
      <c r="J257">
        <f ca="1"/>
        <v>-2.429375483208787</v>
      </c>
      <c r="K257">
        <f ca="1"/>
        <v>0</v>
      </c>
      <c r="L257">
        <f ca="1"/>
        <v>7.5866487734725325</v>
      </c>
    </row>
    <row r="258" spans="2:12" x14ac:dyDescent="0.3">
      <c r="B258">
        <v>0.248</v>
      </c>
      <c r="C258">
        <f ca="1"/>
        <v>-0.37800720666123111</v>
      </c>
      <c r="D258">
        <f ca="1"/>
        <v>1</v>
      </c>
      <c r="E258">
        <f ca="1"/>
        <v>92.259821617876952</v>
      </c>
      <c r="F258">
        <f ca="1"/>
        <v>0</v>
      </c>
      <c r="G258">
        <f ca="1"/>
        <v>0</v>
      </c>
      <c r="H258">
        <f ca="1"/>
        <v>-94.842726709736255</v>
      </c>
      <c r="I258">
        <f ca="1"/>
        <v>1</v>
      </c>
      <c r="J258">
        <f ca="1"/>
        <v>-2.5829050918593026</v>
      </c>
      <c r="K258">
        <f ca="1"/>
        <v>0</v>
      </c>
      <c r="L258">
        <f ca="1"/>
        <v>7.7401783821230481</v>
      </c>
    </row>
    <row r="259" spans="2:12" x14ac:dyDescent="0.3">
      <c r="B259">
        <v>0.249</v>
      </c>
      <c r="C259">
        <f ca="1"/>
        <v>-0.31457521728204313</v>
      </c>
      <c r="D259">
        <f ca="1"/>
        <v>1</v>
      </c>
      <c r="E259">
        <f ca="1"/>
        <v>93.435853547336308</v>
      </c>
      <c r="F259">
        <f ca="1"/>
        <v>0</v>
      </c>
      <c r="G259">
        <f ca="1"/>
        <v>0</v>
      </c>
      <c r="H259">
        <f ca="1"/>
        <v>-94.842726709736255</v>
      </c>
      <c r="I259">
        <f ca="1"/>
        <v>1</v>
      </c>
      <c r="J259">
        <f ca="1"/>
        <v>-1.4068731623999469</v>
      </c>
      <c r="K259">
        <f ca="1"/>
        <v>0</v>
      </c>
      <c r="L259">
        <f ca="1"/>
        <v>6.5641464526636923</v>
      </c>
    </row>
    <row r="260" spans="2:12" x14ac:dyDescent="0.3">
      <c r="B260">
        <v>0.25</v>
      </c>
      <c r="C260">
        <f ca="1"/>
        <v>-0.32919386294699532</v>
      </c>
      <c r="D260">
        <f ca="1"/>
        <v>1</v>
      </c>
      <c r="E260">
        <f ca="1"/>
        <v>93.161208142352365</v>
      </c>
      <c r="F260">
        <f ca="1"/>
        <v>94.842726709736255</v>
      </c>
      <c r="G260">
        <f ca="1"/>
        <v>-1</v>
      </c>
      <c r="H260">
        <f ca="1"/>
        <v>0</v>
      </c>
      <c r="I260">
        <f ca="1"/>
        <v>1</v>
      </c>
      <c r="J260">
        <f ca="1"/>
        <v>93.161208142352365</v>
      </c>
      <c r="K260">
        <f ca="1"/>
        <v>-1.6815185673838897</v>
      </c>
      <c r="L260">
        <f ca="1"/>
        <v>6.8387918576476352</v>
      </c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22</vt:i4>
      </vt:variant>
    </vt:vector>
  </HeadingPairs>
  <TitlesOfParts>
    <vt:vector size="25" baseType="lpstr">
      <vt:lpstr>Elementary</vt:lpstr>
      <vt:lpstr>Simulation</vt:lpstr>
      <vt:lpstr>Simulation copy</vt:lpstr>
      <vt:lpstr>'Simulation copy'!dt</vt:lpstr>
      <vt:lpstr>dt</vt:lpstr>
      <vt:lpstr>'Simulation copy'!error</vt:lpstr>
      <vt:lpstr>error</vt:lpstr>
      <vt:lpstr>'Simulation copy'!f</vt:lpstr>
      <vt:lpstr>f</vt:lpstr>
      <vt:lpstr>'Simulation copy'!hedge</vt:lpstr>
      <vt:lpstr>hedge</vt:lpstr>
      <vt:lpstr>'Simulation copy'!k</vt:lpstr>
      <vt:lpstr>k</vt:lpstr>
      <vt:lpstr>'Simulation copy'!last</vt:lpstr>
      <vt:lpstr>last</vt:lpstr>
      <vt:lpstr>'Simulation copy'!mu</vt:lpstr>
      <vt:lpstr>mu</vt:lpstr>
      <vt:lpstr>'Simulation copy'!payoff</vt:lpstr>
      <vt:lpstr>payoff</vt:lpstr>
      <vt:lpstr>'Simulation copy'!put</vt:lpstr>
      <vt:lpstr>put</vt:lpstr>
      <vt:lpstr>'Simulation copy'!sigma</vt:lpstr>
      <vt:lpstr>sigma</vt:lpstr>
      <vt:lpstr>'Simulation copy'!t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健峰 高</cp:lastModifiedBy>
  <dcterms:created xsi:type="dcterms:W3CDTF">2026-02-23T20:58:14Z</dcterms:created>
  <dcterms:modified xsi:type="dcterms:W3CDTF">2026-03-01T01:29:10Z</dcterms:modified>
</cp:coreProperties>
</file>