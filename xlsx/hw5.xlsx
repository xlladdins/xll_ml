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Elementary" sheetId="1" state="visible" r:id="rId1"/>
    <sheet xmlns:r="http://schemas.openxmlformats.org/officeDocument/2006/relationships" name="Simulation" sheetId="2" state="visible" r:id="rId2"/>
    <sheet xmlns:r="http://schemas.openxmlformats.org/officeDocument/2006/relationships" name="Plot (Simulation)" sheetId="3" state="visible" r:id="rId3"/>
    <sheet xmlns:r="http://schemas.openxmlformats.org/officeDocument/2006/relationships" name="Simulation_NEW" sheetId="4" state="visible" r:id="rId4"/>
    <sheet xmlns:r="http://schemas.openxmlformats.org/officeDocument/2006/relationships" name="Plot (Simulation_NEW)" sheetId="5" state="visible" r:id="rId5"/>
  </sheets>
  <definedNames>
    <definedName name="_M">_xlfn.ANCHORARRAY(Simulation!$H$10)</definedName>
    <definedName name="_N">_xlfn.ANCHORARRAY(Simulation!$I$10)</definedName>
    <definedName name="A">_xlfn.ANCHORARRAY(Simulation!$K$10)</definedName>
    <definedName name="ad">_xlfn.LAMBDA(_xlpm.x, _xlfn.VSTACK(_xlfn.TAKE(_xlpm.x,1), _xlfn.DROP(_xlpm.x,1) - _xlfn.DROP(_xlpm.x,-1)))</definedName>
    <definedName name="B_">_xlfn.ANCHORARRAY(Simulation!$C$10)</definedName>
    <definedName name="co">_xlfn.LAMBDA(_xlpm.x,_xlfn.LET(_xlpm.x_,_xlfn.DROP(_xlpm.x,-1),_xlfn.VSTACK(_xlpm.x_, -SUM(_xlpm.x_))))</definedName>
    <definedName name="dt">Simulation!$C$6</definedName>
    <definedName name="error">Simulation!$G$6</definedName>
    <definedName name="f">Simulation!$C$3</definedName>
    <definedName name="hedge">Simulation!$G$5</definedName>
    <definedName name="k">Simulation!$C$7</definedName>
    <definedName name="last">Simulation!$G$3</definedName>
    <definedName name="M">_xlfn.ANCHORARRAY(Simulation!$F$10)</definedName>
    <definedName name="mu">Simulation!$C$2</definedName>
    <definedName name="N">_xlfn.ANCHORARRAY(Simulation!$G$10)</definedName>
    <definedName name="payoff">Simulation!$G$4</definedName>
    <definedName name="put">Simulation!$G$2</definedName>
    <definedName name="R_">_xlfn.ANCHORARRAY(Simulation!$D$10)</definedName>
    <definedName name="S_">_xlfn.ANCHORARRAY(Simulation!$E$10)</definedName>
    <definedName name="sigma">Simulation!$C$4</definedName>
    <definedName name="t">Simulation!$C$5</definedName>
    <definedName name="t_">_xlfn.ANCHORARRAY(Simulation!$B$10)</definedName>
    <definedName name="V">_xlfn.ANCHORARRAY(Simulation!$J$10)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00"/>
    <numFmt numFmtId="166" formatCode="0.0%"/>
    <numFmt numFmtId="167" formatCode="_(* #,##0_);_(* \(#,##0\);_(* &quot;-&quot;??_);_(@_)"/>
    <numFmt numFmtId="168" formatCode="&quot;0x&quot;#"/>
  </numFmts>
  <fonts count="15">
    <font>
      <name val="等线"/>
      <family val="2"/>
      <color theme="1"/>
      <sz val="14"/>
      <scheme val="minor"/>
    </font>
    <font>
      <name val="Aptos Narrow"/>
      <family val="2"/>
      <color theme="1"/>
      <sz val="14"/>
    </font>
    <font>
      <name val="等线"/>
      <family val="2"/>
      <b val="1"/>
      <color theme="0"/>
      <sz val="14"/>
      <scheme val="minor"/>
    </font>
    <font>
      <name val="等线"/>
      <family val="2"/>
      <color indexed="63"/>
      <sz val="8"/>
      <scheme val="minor"/>
    </font>
    <font>
      <name val="Tahoma"/>
      <family val="2"/>
      <b val="1"/>
      <color indexed="81"/>
      <sz val="11"/>
    </font>
    <font>
      <name val="等线"/>
      <family val="2"/>
      <color theme="0" tint="-0.3499862666707358"/>
      <sz val="14"/>
      <scheme val="minor"/>
    </font>
    <font>
      <name val="等线"/>
      <family val="2"/>
      <color theme="1"/>
      <sz val="14"/>
      <scheme val="minor"/>
    </font>
    <font>
      <name val="等线"/>
      <family val="2"/>
      <b val="1"/>
      <color rgb="FF3F3F3F"/>
      <sz val="14"/>
      <scheme val="minor"/>
    </font>
    <font>
      <name val="等线"/>
      <family val="2"/>
      <color rgb="FF3F3F76"/>
      <sz val="14"/>
      <scheme val="minor"/>
    </font>
    <font>
      <name val="等线"/>
      <family val="2"/>
      <b val="1"/>
      <color rgb="FFFA7D00"/>
      <sz val="14"/>
      <scheme val="minor"/>
    </font>
    <font>
      <name val="等线"/>
      <family val="2"/>
      <b val="1"/>
      <color theme="1"/>
      <sz val="14"/>
      <scheme val="minor"/>
    </font>
    <font>
      <name val="等线"/>
      <family val="2"/>
      <color theme="1"/>
      <sz val="12"/>
      <scheme val="minor"/>
    </font>
    <font>
      <name val="等线"/>
      <family val="2"/>
      <color theme="0" tint="-0.499984740745262"/>
      <sz val="14"/>
      <scheme val="minor"/>
    </font>
    <font>
      <name val="等线"/>
      <charset val="134"/>
      <family val="3"/>
      <sz val="9"/>
      <scheme val="minor"/>
    </font>
    <font>
      <name val="等线"/>
      <b val="1"/>
      <color theme="1"/>
      <sz val="14"/>
      <scheme val="minor"/>
    </font>
  </fonts>
  <fills count="6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6" fillId="0" borderId="0"/>
    <xf numFmtId="0" fontId="2" fillId="2" borderId="2"/>
    <xf numFmtId="168" fontId="3" fillId="0" borderId="0" applyAlignment="1">
      <alignment horizontal="center" vertical="center"/>
    </xf>
    <xf numFmtId="9" fontId="6" fillId="0" borderId="0"/>
    <xf numFmtId="0" fontId="7" fillId="3" borderId="3"/>
    <xf numFmtId="43" fontId="6" fillId="0" borderId="0"/>
    <xf numFmtId="0" fontId="8" fillId="4" borderId="4"/>
    <xf numFmtId="0" fontId="9" fillId="3" borderId="4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1" xfId="0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2" borderId="2" pivotButton="0" quotePrefix="0" xfId="1"/>
    <xf numFmtId="0" fontId="5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165" fontId="0" fillId="0" borderId="0" pivotButton="0" quotePrefix="0" xfId="0"/>
    <xf numFmtId="2" fontId="0" fillId="0" borderId="0" pivotButton="0" quotePrefix="0" xfId="0"/>
    <xf numFmtId="164" fontId="7" fillId="3" borderId="3" pivotButton="0" quotePrefix="0" xfId="4"/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166" fontId="0" fillId="0" borderId="0" applyAlignment="1" pivotButton="0" quotePrefix="0" xfId="3">
      <alignment horizontal="center"/>
    </xf>
    <xf numFmtId="167" fontId="11" fillId="0" borderId="0" pivotButton="0" quotePrefix="0" xfId="5"/>
    <xf numFmtId="0" fontId="8" fillId="4" borderId="4" pivotButton="0" quotePrefix="0" xfId="6"/>
    <xf numFmtId="0" fontId="9" fillId="3" borderId="4" pivotButton="0" quotePrefix="0" xfId="7"/>
    <xf numFmtId="0" fontId="12" fillId="0" borderId="0" pivotButton="0" quotePrefix="0" xfId="0"/>
    <xf numFmtId="0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6" fontId="0" fillId="0" borderId="0" pivotButton="0" quotePrefix="0" xfId="0"/>
    <xf numFmtId="0" fontId="14" fillId="5" borderId="0" applyAlignment="1" pivotButton="0" quotePrefix="0" xfId="0">
      <alignment horizontal="center" vertical="center"/>
    </xf>
    <xf numFmtId="167" fontId="11" fillId="0" borderId="0" pivotButton="0" quotePrefix="0" xfId="5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164" fontId="7" fillId="3" borderId="3" pivotButton="0" quotePrefix="0" xfId="4"/>
    <xf numFmtId="166" fontId="0" fillId="0" borderId="0" applyAlignment="1" pivotButton="0" quotePrefix="0" xfId="3">
      <alignment horizontal="center"/>
    </xf>
    <xf numFmtId="0" fontId="0" fillId="0" borderId="1" pivotButton="0" quotePrefix="0" xfId="0"/>
    <xf numFmtId="166" fontId="0" fillId="0" borderId="0" pivotButton="0" quotePrefix="0" xfId="0"/>
  </cellXfs>
  <cellStyles count="8">
    <cellStyle name="Normal" xfId="0" builtinId="0"/>
    <cellStyle name="Check Cell" xfId="1" builtinId="23"/>
    <cellStyle name="Handle" xfId="2"/>
    <cellStyle name="Percent" xfId="3" builtinId="5"/>
    <cellStyle name="Output" xfId="4" builtinId="21"/>
    <cellStyle name="Comma" xfId="5" builtinId="3"/>
    <cellStyle name="Input" xfId="6" builtinId="20"/>
    <cellStyle name="Calculation" xfId="7" builtinId="2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Log-Log: dt vs accuracy (delta hedge)</a:t>
            </a:r>
          </a:p>
        </rich>
      </tx>
    </title>
    <plotArea>
      <scatterChart>
        <ser>
          <idx val="0"/>
          <order val="0"/>
          <tx>
            <v>log-log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'Plot (Simulation)'!$D$3:$D$12</f>
            </numRef>
          </xVal>
          <yVal>
            <numRef>
              <f>'Plot (Simulation)'!$E$3:$E$12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ln(dt)</a:t>
                </a:r>
              </a:p>
            </rich>
          </tx>
        </title>
        <numFmt formatCode="0.00" sourceLinked="0"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ln(accuracy)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Plot!$E$2</f>
              <strCache>
                <ptCount val="1"/>
                <pt idx="0">
                  <v>log_acc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Plot!$D$3:$D$13</f>
              <numCache>
                <formatCode>General</formatCode>
                <ptCount val="11"/>
                <pt idx="0">
                  <v>-6.907755278982137</v>
                </pt>
                <pt idx="1">
                  <v>-6.214608098422191</v>
                </pt>
                <pt idx="2">
                  <v>-5.809142990314028</v>
                </pt>
                <pt idx="3">
                  <v>-5.521460917862246</v>
                </pt>
                <pt idx="4">
                  <v>-5.298317366548036</v>
                </pt>
                <pt idx="5">
                  <v>-5.115995809754082</v>
                </pt>
                <pt idx="6">
                  <v>-4.961845129926823</v>
                </pt>
                <pt idx="7">
                  <v>-4.828313737302302</v>
                </pt>
                <pt idx="8">
                  <v>-4.710530701645918</v>
                </pt>
                <pt idx="9">
                  <v>-4.605170185988091</v>
                </pt>
              </numCache>
            </numRef>
          </xVal>
          <yVal>
            <numRef>
              <f>Plot!$E$3:$E$13</f>
              <numCache>
                <formatCode>General</formatCode>
                <ptCount val="11"/>
                <pt idx="0">
                  <v>1.107527296116565</v>
                </pt>
                <pt idx="1">
                  <v>1.092447042397842</v>
                </pt>
                <pt idx="2">
                  <v>1.09935198997818</v>
                </pt>
                <pt idx="3">
                  <v>1.094075451581035</v>
                </pt>
                <pt idx="4">
                  <v>1.095291245696326</v>
                </pt>
                <pt idx="5">
                  <v>1.08931952574114</v>
                </pt>
                <pt idx="6">
                  <v>1.072301598069921</v>
                </pt>
                <pt idx="7">
                  <v>1.070925871684585</v>
                </pt>
                <pt idx="8">
                  <v>1.06952413520416</v>
                </pt>
                <pt idx="9">
                  <v>1.086128808969518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879814032"/>
        <axId val="1879816912"/>
      </scatterChart>
      <valAx>
        <axId val="187981403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1879816912"/>
        <crosses val="autoZero"/>
        <crossBetween val="midCat"/>
      </valAx>
      <valAx>
        <axId val="18798169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187981403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Log-Log: dt vs accuracy (1*(S_&lt;k) hedge)</a:t>
            </a:r>
          </a:p>
        </rich>
      </tx>
    </title>
    <plotArea>
      <scatterChart>
        <ser>
          <idx val="0"/>
          <order val="0"/>
          <tx>
            <v>log-log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'Plot (Simulation_NEW)'!$D$3:$D$12</f>
            </numRef>
          </xVal>
          <yVal>
            <numRef>
              <f>'Plot (Simulation_NEW)'!$E$3:$E$12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ln(dt)</a:t>
                </a:r>
              </a:p>
            </rich>
          </tx>
        </title>
        <numFmt formatCode="0.00" sourceLinked="0"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ln(accuracy)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Keith Lewis</author>
  </authors>
  <commentList>
    <comment ref="H4" authorId="0" shapeId="0">
      <text>
        <t>E[max(k - F, 0)</t>
      </text>
    </comment>
  </commentList>
</comments>
</file>

<file path=xl/comments/comment2.xml><?xml version="1.0" encoding="utf-8"?>
<comments xmlns="http://schemas.openxmlformats.org/spreadsheetml/2006/main">
  <authors>
    <author>Keith Lewis</author>
  </authors>
  <commentList>
    <comment ref="H4" authorId="0" shapeId="0">
      <text>
        <t>E[max(k - F, 0)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5</col>
      <colOff>504825</colOff>
      <row>0</row>
      <rowOff>107950</rowOff>
    </from>
    <to>
      <col>10</col>
      <colOff>758825</colOff>
      <row>12</row>
      <rowOff>184150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oneCellAnchor>
    <from>
      <col>6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5"/>
  <sheetViews>
    <sheetView workbookViewId="0">
      <selection activeCell="B4" sqref="B4"/>
    </sheetView>
  </sheetViews>
  <sheetFormatPr baseColWidth="8" defaultRowHeight="17.5"/>
  <cols>
    <col width="3.59765625" customWidth="1" min="1" max="1"/>
  </cols>
  <sheetData>
    <row r="2" ht="18.5" customHeight="1">
      <c r="C2" s="22" t="inlineStr">
        <is>
          <t>X</t>
        </is>
      </c>
      <c r="E2" s="23" t="inlineStr">
        <is>
          <t>Γ</t>
        </is>
      </c>
      <c r="G2" s="23" t="inlineStr">
        <is>
          <t>Δ+Γ</t>
        </is>
      </c>
      <c r="I2" s="23" t="inlineStr">
        <is>
          <t>(Δ+Γ).X</t>
        </is>
      </c>
      <c r="J2" s="2" t="inlineStr">
        <is>
          <t>-Γ.X</t>
        </is>
      </c>
    </row>
    <row r="3">
      <c r="B3" s="20" t="inlineStr">
        <is>
          <t>t</t>
        </is>
      </c>
      <c r="C3" s="20" t="inlineStr">
        <is>
          <t>R</t>
        </is>
      </c>
      <c r="D3" s="20" t="inlineStr">
        <is>
          <t>S</t>
        </is>
      </c>
      <c r="E3" s="20" t="inlineStr">
        <is>
          <t>M</t>
        </is>
      </c>
      <c r="F3" s="20" t="inlineStr">
        <is>
          <t>N</t>
        </is>
      </c>
      <c r="G3" s="20" t="inlineStr">
        <is>
          <t>\M</t>
        </is>
      </c>
      <c r="H3" s="20" t="inlineStr">
        <is>
          <t>\N</t>
        </is>
      </c>
      <c r="I3" s="20" t="inlineStr">
        <is>
          <t>V</t>
        </is>
      </c>
      <c r="J3" s="20" t="inlineStr">
        <is>
          <t>A</t>
        </is>
      </c>
    </row>
    <row r="4" ht="18" customHeight="1" thickBot="1">
      <c r="B4" t="n">
        <v>0</v>
      </c>
      <c r="C4" t="n">
        <v>1</v>
      </c>
      <c r="D4">
        <f>RAND()</f>
        <v/>
      </c>
      <c r="E4">
        <f>-F4*D4</f>
        <v/>
      </c>
      <c r="F4" s="17" t="n">
        <v>3</v>
      </c>
      <c r="G4">
        <f>E4</f>
        <v/>
      </c>
      <c r="H4">
        <f>F4</f>
        <v/>
      </c>
      <c r="I4">
        <f>SUMPRODUCT(G4:H4,C4:D4)</f>
        <v/>
      </c>
      <c r="J4">
        <f>-SUMPRODUCT(E4:F4,C4:D4)</f>
        <v/>
      </c>
    </row>
    <row r="5" ht="18.5" customHeight="1" thickBot="1" thickTop="1">
      <c r="B5" t="n">
        <v>1</v>
      </c>
      <c r="C5" t="n">
        <v>1</v>
      </c>
      <c r="D5">
        <f>RAND()</f>
        <v/>
      </c>
      <c r="E5">
        <f>-E4</f>
        <v/>
      </c>
      <c r="F5" s="18">
        <f>-F4</f>
        <v/>
      </c>
      <c r="G5">
        <f t="array" ref="G5:H5">G4:H4+E5:F5</f>
        <v/>
      </c>
      <c r="H5">
        <f/>
        <v/>
      </c>
      <c r="I5">
        <f>SUMPRODUCT(G5:H5,C5:D5)</f>
        <v/>
      </c>
      <c r="J5">
        <f>-SUMPRODUCT(E5:F5,C5:D5)</f>
        <v/>
      </c>
      <c r="K5">
        <f>F4*(D5-D4)</f>
        <v/>
      </c>
      <c r="L5" s="5">
        <f>J5-K5</f>
        <v/>
      </c>
    </row>
    <row r="6" ht="18" customHeight="1" thickTop="1"/>
  </sheetData>
  <mergeCells count="3">
    <mergeCell ref="G2:H2"/>
    <mergeCell ref="E2:F2"/>
    <mergeCell ref="C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Q208"/>
  <sheetViews>
    <sheetView topLeftCell="F7" workbookViewId="0">
      <selection activeCell="Q18" sqref="P8:Q18"/>
    </sheetView>
  </sheetViews>
  <sheetFormatPr baseColWidth="8" defaultRowHeight="17.5"/>
  <cols>
    <col width="3.59765625" customWidth="1" min="1" max="1"/>
    <col width="9.86328125" bestFit="1" customWidth="1" min="2" max="2"/>
    <col width="11.6640625" bestFit="1" customWidth="1" min="7" max="7"/>
    <col width="10.19921875" bestFit="1" customWidth="1" min="10" max="10"/>
    <col width="11.6640625" bestFit="1" customWidth="1" min="13" max="13"/>
  </cols>
  <sheetData>
    <row r="1">
      <c r="B1" s="26">
        <f t="array" ref="B1">_xll.MONTE.COUNT()</f>
        <v/>
      </c>
    </row>
    <row r="2">
      <c r="B2" s="3" t="inlineStr">
        <is>
          <t>mu</t>
        </is>
      </c>
      <c r="C2" t="n">
        <v>0</v>
      </c>
      <c r="F2" s="3" t="inlineStr">
        <is>
          <t>put</t>
        </is>
      </c>
      <c r="G2" s="27">
        <f t="array" ref="G2">_xll.OPTION.BLACK.PUT(f, sigma*SQRT(t), k)</f>
        <v/>
      </c>
      <c r="I2" s="28">
        <f t="array" ref="I2">_xll.OPTION.BLACK.PUT_DELTA(f, sigma*SQRT(t), k)</f>
        <v/>
      </c>
      <c r="J2" s="28">
        <f t="array" ref="J2">_xll.OPTION.BLACK.PUT(f+0.01, sigma*SQRT(t), k)</f>
        <v/>
      </c>
      <c r="K2" s="28">
        <f t="array" ref="K2">_xll.OPTION.BLACK.PUT(f-0.01, sigma*SQRT(t), k)</f>
        <v/>
      </c>
      <c r="L2" s="28">
        <f>(J2-K2)/0.02</f>
        <v/>
      </c>
      <c r="M2" s="9">
        <f>I2-L2</f>
        <v/>
      </c>
    </row>
    <row r="3">
      <c r="B3" s="3" t="inlineStr">
        <is>
          <t>f</t>
        </is>
      </c>
      <c r="C3" t="n">
        <v>100</v>
      </c>
      <c r="F3" s="3" t="inlineStr">
        <is>
          <t>last</t>
        </is>
      </c>
      <c r="G3" s="27">
        <f t="array" ref="G3">_xlfn.TAKE(S_,-1)</f>
        <v/>
      </c>
      <c r="N3" s="6" t="n">
        <v>1</v>
      </c>
      <c r="O3" s="6">
        <f t="array" ref="O3:O5">ad(N3:N5)</f>
        <v/>
      </c>
      <c r="P3" s="6">
        <f t="array" ref="P3:P5">_xlfn.SCAN(0,_xlfn.ANCHORARRAY(O3),_xlfn.LAMBDA(_xlpm.a,_xlpm.b,_xlpm.a+_xlpm.b))</f>
        <v/>
      </c>
    </row>
    <row r="4">
      <c r="B4" s="3" t="inlineStr">
        <is>
          <t>sigma</t>
        </is>
      </c>
      <c r="C4" t="n">
        <v>0.2</v>
      </c>
      <c r="F4" s="3" t="inlineStr">
        <is>
          <t>payoff</t>
        </is>
      </c>
      <c r="G4" s="29">
        <f>MAX(k - last,0)</f>
        <v/>
      </c>
      <c r="H4" s="29">
        <f t="array" ref="H4:I4">_xll.MONTE.STDEV(G4)</f>
        <v/>
      </c>
      <c r="I4" s="29">
        <f/>
        <v/>
      </c>
      <c r="M4" t="n">
        <v>0.001</v>
      </c>
      <c r="N4" s="6" t="n">
        <v>2</v>
      </c>
      <c r="O4" s="6" t="n">
        <v>1</v>
      </c>
      <c r="P4" s="6" t="n">
        <v>2</v>
      </c>
    </row>
    <row r="5">
      <c r="B5" s="3" t="inlineStr">
        <is>
          <t>t</t>
        </is>
      </c>
      <c r="C5" t="n">
        <v>0.25</v>
      </c>
      <c r="F5" s="3" t="inlineStr">
        <is>
          <t>hedge</t>
        </is>
      </c>
      <c r="G5" s="29">
        <f t="array" ref="G5">_xlfn.TAKE(A,-1)</f>
        <v/>
      </c>
      <c r="H5" s="29" t="n"/>
      <c r="I5" s="29" t="n"/>
      <c r="M5" t="n">
        <v>0.01</v>
      </c>
      <c r="N5" s="6" t="n">
        <v>3</v>
      </c>
      <c r="O5" s="6" t="n">
        <v>1</v>
      </c>
      <c r="P5" s="6" t="n">
        <v>3</v>
      </c>
    </row>
    <row r="6">
      <c r="B6" s="3" t="inlineStr">
        <is>
          <t>dt</t>
        </is>
      </c>
      <c r="C6" t="n">
        <v>0.01</v>
      </c>
      <c r="F6" s="3" t="inlineStr">
        <is>
          <t>error</t>
        </is>
      </c>
      <c r="G6" s="29">
        <f>payoff-hedge</f>
        <v/>
      </c>
      <c r="H6" s="27">
        <f t="array" ref="H6:I6">_xll.MONTE.STDEV(error)</f>
        <v/>
      </c>
      <c r="I6" s="30">
        <f/>
        <v/>
      </c>
      <c r="J6" s="31">
        <f>I6/put</f>
        <v/>
      </c>
      <c r="K6" s="14" t="inlineStr">
        <is>
          <t>accuracy</t>
        </is>
      </c>
      <c r="M6" t="n">
        <v>0.1</v>
      </c>
    </row>
    <row r="7">
      <c r="B7" s="3" t="inlineStr">
        <is>
          <t>k</t>
        </is>
      </c>
      <c r="C7" t="n">
        <v>100</v>
      </c>
    </row>
    <row r="8" ht="18.5" customHeight="1">
      <c r="D8" s="20" t="inlineStr">
        <is>
          <t>X</t>
        </is>
      </c>
      <c r="E8" s="32" t="n"/>
      <c r="F8" s="21" t="inlineStr">
        <is>
          <t>Γ</t>
        </is>
      </c>
      <c r="G8" s="32" t="n"/>
      <c r="H8" s="21" t="inlineStr">
        <is>
          <t>Δ+Γ</t>
        </is>
      </c>
      <c r="I8" s="32" t="n"/>
      <c r="J8" s="23" t="inlineStr">
        <is>
          <t>(Δ+Γ).X</t>
        </is>
      </c>
      <c r="K8" s="2" t="inlineStr">
        <is>
          <t>-Γ.X</t>
        </is>
      </c>
      <c r="P8" t="inlineStr">
        <is>
          <t>dt</t>
        </is>
      </c>
      <c r="Q8" t="inlineStr">
        <is>
          <t>accuracy</t>
        </is>
      </c>
    </row>
    <row r="9">
      <c r="B9" s="20" t="inlineStr">
        <is>
          <t>t_</t>
        </is>
      </c>
      <c r="C9" s="20" t="inlineStr">
        <is>
          <t>B_</t>
        </is>
      </c>
      <c r="D9" s="20" t="inlineStr">
        <is>
          <t>R_</t>
        </is>
      </c>
      <c r="E9" s="20" t="inlineStr">
        <is>
          <t>S_</t>
        </is>
      </c>
      <c r="F9" s="20" t="inlineStr">
        <is>
          <t>M</t>
        </is>
      </c>
      <c r="G9" s="20" t="inlineStr">
        <is>
          <t>N</t>
        </is>
      </c>
      <c r="H9" s="20" t="inlineStr">
        <is>
          <t>_M</t>
        </is>
      </c>
      <c r="I9" s="20" t="inlineStr">
        <is>
          <t>_N</t>
        </is>
      </c>
      <c r="J9" s="20" t="inlineStr">
        <is>
          <t>V</t>
        </is>
      </c>
      <c r="K9" s="20" t="inlineStr">
        <is>
          <t>A</t>
        </is>
      </c>
      <c r="L9" s="22" t="inlineStr">
        <is>
          <t>intrinsic</t>
        </is>
      </c>
      <c r="P9">
        <f t="array" ref="P9:P18">_xlfn.SEQUENCE(10, 1, 0.001, 0.001)</f>
        <v/>
      </c>
      <c r="Q9" s="33" t="n">
        <v>3.026864593443686</v>
      </c>
    </row>
    <row r="10">
      <c r="B10">
        <f t="array" ref="B10:B35">_xll.ARRAY.SEQUENCE(0, t, dt)</f>
        <v/>
      </c>
      <c r="C10">
        <f t="array" ref="C10:C35">_xll.RANDOM.BROWNIAN(t_)</f>
        <v/>
      </c>
      <c r="D10">
        <f t="array" ref="D10:D35">1+0*B_</f>
        <v/>
      </c>
      <c r="E10">
        <f t="array" ref="E10:E35">f*EXP(sigma*B_+(mu-sigma*sigma/2)*t_)</f>
        <v/>
      </c>
      <c r="F10" s="29">
        <f t="array" ref="F10:F35">co(put*(t_ = 0) - N*S_/R_)</f>
        <v/>
      </c>
      <c r="G10" s="27">
        <f t="array" ref="G10:G35">co(ad(_N))</f>
        <v/>
      </c>
      <c r="H10" s="29">
        <f t="array" ref="H10:H35">_xlfn.SCAN(0,M,_xlfn.LAMBDA(_xlpm.a,_xlpm.b,_xlpm.a+_xlpm.b))</f>
        <v/>
      </c>
      <c r="I10" s="27">
        <f t="array" ref="I10:I35">_xlfn.VSTACK(_xlfn.DROP(_xlfn.MAP(t_,S_,_xlfn.LAMBDA(_xlpm._t,_xlpm._S,1*(_xlpm._S&lt;k))),-1),0)</f>
        <v/>
      </c>
      <c r="J10" s="27">
        <f t="array" ref="J10:J35">_M * R_ + _N * S_</f>
        <v/>
      </c>
      <c r="K10">
        <f t="array" ref="K10:K35">-M * R_ - N * S_</f>
        <v/>
      </c>
      <c r="L10">
        <f t="array" ref="L10:L35">_xlfn.MAP(S_,_xlfn.LAMBDA(_xlpm.s,MAX(k-_xlpm.s,0)))</f>
        <v/>
      </c>
      <c r="M10" s="19">
        <f>put - G10*E10</f>
        <v/>
      </c>
      <c r="N10" s="19">
        <f>F10-M10</f>
        <v/>
      </c>
      <c r="P10" t="n">
        <v>0.002</v>
      </c>
      <c r="Q10" s="33" t="n">
        <v>2.98156115959062</v>
      </c>
    </row>
    <row r="11">
      <c r="B11" t="n">
        <v>0.01</v>
      </c>
      <c r="C11">
        <f/>
        <v/>
      </c>
      <c r="D11">
        <f/>
        <v/>
      </c>
      <c r="E11" s="11">
        <f/>
        <v/>
      </c>
      <c r="F11" s="29">
        <f/>
        <v/>
      </c>
      <c r="G11" s="27">
        <f/>
        <v/>
      </c>
      <c r="H11" s="29">
        <f/>
        <v/>
      </c>
      <c r="I11" s="27">
        <f/>
        <v/>
      </c>
      <c r="J11" s="27">
        <f/>
        <v/>
      </c>
      <c r="K11">
        <f/>
        <v/>
      </c>
      <c r="L11">
        <f/>
        <v/>
      </c>
      <c r="M11" s="19">
        <f> - G11*E11</f>
        <v/>
      </c>
      <c r="N11" s="19">
        <f>F11-M11</f>
        <v/>
      </c>
      <c r="P11" t="n">
        <v>0.003</v>
      </c>
      <c r="Q11" s="33" t="n">
        <v>3.002219924869656</v>
      </c>
    </row>
    <row r="12">
      <c r="B12" t="n">
        <v>0.02</v>
      </c>
      <c r="C12">
        <f/>
        <v/>
      </c>
      <c r="D12">
        <f/>
        <v/>
      </c>
      <c r="E12" s="11">
        <f/>
        <v/>
      </c>
      <c r="F12" s="29">
        <f/>
        <v/>
      </c>
      <c r="G12" s="27">
        <f/>
        <v/>
      </c>
      <c r="H12" s="29">
        <f/>
        <v/>
      </c>
      <c r="I12" s="27">
        <f/>
        <v/>
      </c>
      <c r="J12" s="27">
        <f/>
        <v/>
      </c>
      <c r="K12">
        <f/>
        <v/>
      </c>
      <c r="L12">
        <f/>
        <v/>
      </c>
      <c r="P12" s="3" t="n">
        <v>0.004</v>
      </c>
      <c r="Q12" s="33" t="n">
        <v>2.986420316437205</v>
      </c>
    </row>
    <row r="13">
      <c r="B13" t="n">
        <v>0.03</v>
      </c>
      <c r="C13">
        <f/>
        <v/>
      </c>
      <c r="D13">
        <f/>
        <v/>
      </c>
      <c r="E13" s="11">
        <f/>
        <v/>
      </c>
      <c r="F13" s="29">
        <f/>
        <v/>
      </c>
      <c r="G13" s="27">
        <f/>
        <v/>
      </c>
      <c r="H13" s="29">
        <f/>
        <v/>
      </c>
      <c r="I13" s="27">
        <f/>
        <v/>
      </c>
      <c r="J13" s="27">
        <f/>
        <v/>
      </c>
      <c r="K13">
        <f/>
        <v/>
      </c>
      <c r="L13">
        <f/>
        <v/>
      </c>
      <c r="P13" t="n">
        <v>0.005</v>
      </c>
      <c r="Q13" s="33" t="n">
        <v>2.990053396775042</v>
      </c>
    </row>
    <row r="14">
      <c r="B14" t="n">
        <v>0.04</v>
      </c>
      <c r="C14">
        <f/>
        <v/>
      </c>
      <c r="D14">
        <f/>
        <v/>
      </c>
      <c r="E14" s="11">
        <f/>
        <v/>
      </c>
      <c r="F14" s="29">
        <f/>
        <v/>
      </c>
      <c r="G14" s="27">
        <f/>
        <v/>
      </c>
      <c r="H14" s="29">
        <f/>
        <v/>
      </c>
      <c r="I14" s="27">
        <f/>
        <v/>
      </c>
      <c r="J14" s="27">
        <f/>
        <v/>
      </c>
      <c r="K14">
        <f/>
        <v/>
      </c>
      <c r="L14">
        <f/>
        <v/>
      </c>
      <c r="M14" s="19">
        <f>f*EXP(sigma*C14-sigma^2*B14/2)</f>
        <v/>
      </c>
      <c r="N14" s="19">
        <f>E14-M14</f>
        <v/>
      </c>
      <c r="P14" t="n">
        <v>0.006</v>
      </c>
      <c r="Q14" s="33" t="n">
        <v>2.972250844073415</v>
      </c>
    </row>
    <row r="15">
      <c r="B15" t="n">
        <v>0.05</v>
      </c>
      <c r="C15">
        <f/>
        <v/>
      </c>
      <c r="D15">
        <f/>
        <v/>
      </c>
      <c r="E15" s="11">
        <f/>
        <v/>
      </c>
      <c r="F15" s="29">
        <f/>
        <v/>
      </c>
      <c r="G15" s="27">
        <f/>
        <v/>
      </c>
      <c r="H15" s="29">
        <f/>
        <v/>
      </c>
      <c r="I15" s="27">
        <f/>
        <v/>
      </c>
      <c r="J15" s="27">
        <f/>
        <v/>
      </c>
      <c r="K15">
        <f/>
        <v/>
      </c>
      <c r="L15">
        <f/>
        <v/>
      </c>
      <c r="P15" t="n">
        <v>0.007</v>
      </c>
      <c r="Q15" s="33" t="n">
        <v>2.922097259633032</v>
      </c>
    </row>
    <row r="16">
      <c r="B16" t="n">
        <v>0.06</v>
      </c>
      <c r="C16">
        <f/>
        <v/>
      </c>
      <c r="D16">
        <f/>
        <v/>
      </c>
      <c r="E16" s="11">
        <f/>
        <v/>
      </c>
      <c r="F16" s="29">
        <f/>
        <v/>
      </c>
      <c r="G16" s="27">
        <f/>
        <v/>
      </c>
      <c r="H16" s="29">
        <f/>
        <v/>
      </c>
      <c r="I16" s="27">
        <f/>
        <v/>
      </c>
      <c r="J16" s="27">
        <f/>
        <v/>
      </c>
      <c r="K16">
        <f/>
        <v/>
      </c>
      <c r="L16">
        <f/>
        <v/>
      </c>
      <c r="M16" s="19">
        <f t="array" ref="M16">_xll.OPTION.BLACK.PUT_DELTA(E16,sigma*SQRT(t - B16),k)</f>
        <v/>
      </c>
      <c r="N16" s="19">
        <f>I16-M16</f>
        <v/>
      </c>
      <c r="P16" t="n">
        <v>0.008</v>
      </c>
      <c r="Q16" s="33" t="n">
        <v>2.918080017279182</v>
      </c>
    </row>
    <row r="17">
      <c r="B17" t="n">
        <v>0.07000000000000001</v>
      </c>
      <c r="C17">
        <f/>
        <v/>
      </c>
      <c r="D17">
        <f/>
        <v/>
      </c>
      <c r="E17" s="11">
        <f/>
        <v/>
      </c>
      <c r="F17" s="29">
        <f/>
        <v/>
      </c>
      <c r="G17" s="27">
        <f/>
        <v/>
      </c>
      <c r="H17" s="29">
        <f/>
        <v/>
      </c>
      <c r="I17" s="27">
        <f/>
        <v/>
      </c>
      <c r="J17" s="27">
        <f/>
        <v/>
      </c>
      <c r="K17">
        <f/>
        <v/>
      </c>
      <c r="L17">
        <f/>
        <v/>
      </c>
      <c r="P17" t="n">
        <v>0.009000000000000001</v>
      </c>
      <c r="Q17" s="33" t="n">
        <v>2.913992503544006</v>
      </c>
    </row>
    <row r="18">
      <c r="B18" t="n">
        <v>0.08</v>
      </c>
      <c r="C18">
        <f/>
        <v/>
      </c>
      <c r="D18">
        <f/>
        <v/>
      </c>
      <c r="E18" s="11">
        <f/>
        <v/>
      </c>
      <c r="F18" s="29">
        <f/>
        <v/>
      </c>
      <c r="G18" s="27">
        <f/>
        <v/>
      </c>
      <c r="H18" s="29">
        <f/>
        <v/>
      </c>
      <c r="I18" s="27">
        <f/>
        <v/>
      </c>
      <c r="J18" s="27">
        <f/>
        <v/>
      </c>
      <c r="K18">
        <f/>
        <v/>
      </c>
      <c r="L18">
        <f/>
        <v/>
      </c>
      <c r="P18" t="n">
        <v>0.01</v>
      </c>
      <c r="Q18" s="33" t="n">
        <v>2.962782347134725</v>
      </c>
    </row>
    <row r="19">
      <c r="B19" t="n">
        <v>0.09</v>
      </c>
      <c r="C19">
        <f/>
        <v/>
      </c>
      <c r="D19">
        <f/>
        <v/>
      </c>
      <c r="E19" s="11">
        <f/>
        <v/>
      </c>
      <c r="F19" s="29">
        <f/>
        <v/>
      </c>
      <c r="G19" s="27">
        <f/>
        <v/>
      </c>
      <c r="H19" s="29">
        <f/>
        <v/>
      </c>
      <c r="I19" s="27">
        <f/>
        <v/>
      </c>
      <c r="J19" s="27">
        <f/>
        <v/>
      </c>
      <c r="K19">
        <f/>
        <v/>
      </c>
      <c r="L19">
        <f/>
        <v/>
      </c>
    </row>
    <row r="20">
      <c r="B20" t="n">
        <v>0.1</v>
      </c>
      <c r="C20">
        <f/>
        <v/>
      </c>
      <c r="D20">
        <f/>
        <v/>
      </c>
      <c r="E20" s="11">
        <f/>
        <v/>
      </c>
      <c r="F20" s="29">
        <f/>
        <v/>
      </c>
      <c r="G20" s="27">
        <f/>
        <v/>
      </c>
      <c r="H20" s="29">
        <f/>
        <v/>
      </c>
      <c r="I20" s="27">
        <f/>
        <v/>
      </c>
      <c r="J20" s="27">
        <f/>
        <v/>
      </c>
      <c r="K20">
        <f/>
        <v/>
      </c>
      <c r="L20">
        <f/>
        <v/>
      </c>
      <c r="M20" s="6">
        <f t="array" ref="M20:M21">_xll.MONTE.STDEV(C20)</f>
        <v/>
      </c>
      <c r="N20" s="6" t="n">
        <v>0</v>
      </c>
      <c r="O20" s="6">
        <f t="array" ref="O20:O21">_xll.MONTE.STDEV(E20)</f>
        <v/>
      </c>
      <c r="P20" s="6">
        <f>f*EXP(mu*B20)</f>
        <v/>
      </c>
    </row>
    <row r="21">
      <c r="B21" t="n">
        <v>0.11</v>
      </c>
      <c r="C21">
        <f/>
        <v/>
      </c>
      <c r="D21">
        <f/>
        <v/>
      </c>
      <c r="E21" s="11">
        <f/>
        <v/>
      </c>
      <c r="F21" s="29">
        <f/>
        <v/>
      </c>
      <c r="G21" s="27">
        <f/>
        <v/>
      </c>
      <c r="H21" s="29">
        <f/>
        <v/>
      </c>
      <c r="I21" s="27">
        <f/>
        <v/>
      </c>
      <c r="J21" s="27">
        <f/>
        <v/>
      </c>
      <c r="K21">
        <f/>
        <v/>
      </c>
      <c r="L21">
        <f/>
        <v/>
      </c>
      <c r="M21" s="6">
        <f/>
        <v/>
      </c>
      <c r="N21" s="6">
        <f>SQRT(B20)</f>
        <v/>
      </c>
      <c r="O21" s="6">
        <f/>
        <v/>
      </c>
      <c r="P21" s="6" t="n"/>
    </row>
    <row r="22">
      <c r="B22" t="n">
        <v>0.12</v>
      </c>
      <c r="C22">
        <f/>
        <v/>
      </c>
      <c r="D22">
        <f/>
        <v/>
      </c>
      <c r="E22" s="11">
        <f/>
        <v/>
      </c>
      <c r="F22" s="29">
        <f/>
        <v/>
      </c>
      <c r="G22" s="27">
        <f/>
        <v/>
      </c>
      <c r="H22" s="29">
        <f/>
        <v/>
      </c>
      <c r="I22" s="27">
        <f/>
        <v/>
      </c>
      <c r="J22" s="27">
        <f/>
        <v/>
      </c>
      <c r="K22">
        <f/>
        <v/>
      </c>
      <c r="L22">
        <f/>
        <v/>
      </c>
    </row>
    <row r="23">
      <c r="B23" t="n">
        <v>0.13</v>
      </c>
      <c r="C23">
        <f/>
        <v/>
      </c>
      <c r="D23">
        <f/>
        <v/>
      </c>
      <c r="E23" s="11">
        <f/>
        <v/>
      </c>
      <c r="F23" s="29">
        <f/>
        <v/>
      </c>
      <c r="G23" s="27">
        <f/>
        <v/>
      </c>
      <c r="H23" s="29">
        <f/>
        <v/>
      </c>
      <c r="I23" s="27">
        <f/>
        <v/>
      </c>
      <c r="J23" s="27">
        <f/>
        <v/>
      </c>
      <c r="K23">
        <f/>
        <v/>
      </c>
      <c r="L23">
        <f/>
        <v/>
      </c>
    </row>
    <row r="24">
      <c r="B24" t="n">
        <v>0.14</v>
      </c>
      <c r="C24">
        <f/>
        <v/>
      </c>
      <c r="D24">
        <f/>
        <v/>
      </c>
      <c r="E24" s="11">
        <f/>
        <v/>
      </c>
      <c r="F24" s="29">
        <f/>
        <v/>
      </c>
      <c r="G24" s="27">
        <f/>
        <v/>
      </c>
      <c r="H24" s="29">
        <f/>
        <v/>
      </c>
      <c r="I24" s="27">
        <f/>
        <v/>
      </c>
      <c r="J24" s="27">
        <f/>
        <v/>
      </c>
      <c r="K24">
        <f/>
        <v/>
      </c>
      <c r="L24">
        <f/>
        <v/>
      </c>
    </row>
    <row r="25">
      <c r="B25" t="n">
        <v>0.15</v>
      </c>
      <c r="C25">
        <f/>
        <v/>
      </c>
      <c r="D25">
        <f/>
        <v/>
      </c>
      <c r="E25" s="11">
        <f/>
        <v/>
      </c>
      <c r="F25" s="29">
        <f/>
        <v/>
      </c>
      <c r="G25" s="27">
        <f/>
        <v/>
      </c>
      <c r="H25" s="29">
        <f/>
        <v/>
      </c>
      <c r="I25" s="27">
        <f/>
        <v/>
      </c>
      <c r="J25" s="27">
        <f/>
        <v/>
      </c>
      <c r="K25">
        <f/>
        <v/>
      </c>
      <c r="L25">
        <f/>
        <v/>
      </c>
    </row>
    <row r="26">
      <c r="B26" t="n">
        <v>0.16</v>
      </c>
      <c r="C26">
        <f/>
        <v/>
      </c>
      <c r="D26">
        <f/>
        <v/>
      </c>
      <c r="E26" s="11">
        <f/>
        <v/>
      </c>
      <c r="F26" s="29">
        <f/>
        <v/>
      </c>
      <c r="G26" s="27">
        <f/>
        <v/>
      </c>
      <c r="H26" s="29">
        <f/>
        <v/>
      </c>
      <c r="I26" s="27">
        <f/>
        <v/>
      </c>
      <c r="J26" s="27">
        <f/>
        <v/>
      </c>
      <c r="K26">
        <f/>
        <v/>
      </c>
      <c r="L26">
        <f/>
        <v/>
      </c>
    </row>
    <row r="27">
      <c r="B27" t="n">
        <v>0.17</v>
      </c>
      <c r="C27">
        <f/>
        <v/>
      </c>
      <c r="D27">
        <f/>
        <v/>
      </c>
      <c r="E27" s="11">
        <f/>
        <v/>
      </c>
      <c r="F27" s="29">
        <f/>
        <v/>
      </c>
      <c r="G27" s="27">
        <f/>
        <v/>
      </c>
      <c r="H27" s="29">
        <f/>
        <v/>
      </c>
      <c r="I27" s="27">
        <f/>
        <v/>
      </c>
      <c r="J27" s="27">
        <f/>
        <v/>
      </c>
      <c r="K27">
        <f/>
        <v/>
      </c>
      <c r="L27">
        <f/>
        <v/>
      </c>
    </row>
    <row r="28">
      <c r="B28" t="n">
        <v>0.18</v>
      </c>
      <c r="C28">
        <f/>
        <v/>
      </c>
      <c r="D28">
        <f/>
        <v/>
      </c>
      <c r="E28" s="11">
        <f/>
        <v/>
      </c>
      <c r="F28" s="29">
        <f/>
        <v/>
      </c>
      <c r="G28" s="27">
        <f/>
        <v/>
      </c>
      <c r="H28" s="29">
        <f/>
        <v/>
      </c>
      <c r="I28" s="27">
        <f/>
        <v/>
      </c>
      <c r="J28" s="27">
        <f/>
        <v/>
      </c>
      <c r="K28">
        <f/>
        <v/>
      </c>
      <c r="L28">
        <f/>
        <v/>
      </c>
    </row>
    <row r="29">
      <c r="B29" t="n">
        <v>0.19</v>
      </c>
      <c r="C29">
        <f/>
        <v/>
      </c>
      <c r="D29">
        <f/>
        <v/>
      </c>
      <c r="E29" s="11">
        <f/>
        <v/>
      </c>
      <c r="F29" s="29">
        <f/>
        <v/>
      </c>
      <c r="G29" s="27">
        <f/>
        <v/>
      </c>
      <c r="H29" s="29">
        <f/>
        <v/>
      </c>
      <c r="I29" s="27">
        <f/>
        <v/>
      </c>
      <c r="J29" s="27">
        <f/>
        <v/>
      </c>
      <c r="K29">
        <f/>
        <v/>
      </c>
      <c r="L29">
        <f/>
        <v/>
      </c>
    </row>
    <row r="30">
      <c r="B30" t="n">
        <v>0.2</v>
      </c>
      <c r="C30">
        <f/>
        <v/>
      </c>
      <c r="D30">
        <f/>
        <v/>
      </c>
      <c r="E30" s="11">
        <f/>
        <v/>
      </c>
      <c r="F30" s="29">
        <f/>
        <v/>
      </c>
      <c r="G30" s="27">
        <f/>
        <v/>
      </c>
      <c r="H30" s="29">
        <f/>
        <v/>
      </c>
      <c r="I30" s="27">
        <f/>
        <v/>
      </c>
      <c r="J30" s="27">
        <f/>
        <v/>
      </c>
      <c r="K30">
        <f/>
        <v/>
      </c>
      <c r="L30">
        <f/>
        <v/>
      </c>
    </row>
    <row r="31">
      <c r="B31" t="n">
        <v>0.21</v>
      </c>
      <c r="C31">
        <f/>
        <v/>
      </c>
      <c r="D31">
        <f/>
        <v/>
      </c>
      <c r="E31" s="11">
        <f/>
        <v/>
      </c>
      <c r="F31" s="29">
        <f/>
        <v/>
      </c>
      <c r="G31" s="27">
        <f/>
        <v/>
      </c>
      <c r="H31" s="29">
        <f/>
        <v/>
      </c>
      <c r="I31" s="27">
        <f/>
        <v/>
      </c>
      <c r="J31" s="27">
        <f/>
        <v/>
      </c>
      <c r="K31">
        <f/>
        <v/>
      </c>
      <c r="L31">
        <f/>
        <v/>
      </c>
    </row>
    <row r="32">
      <c r="B32" t="n">
        <v>0.22</v>
      </c>
      <c r="C32">
        <f/>
        <v/>
      </c>
      <c r="D32">
        <f/>
        <v/>
      </c>
      <c r="E32" s="11">
        <f/>
        <v/>
      </c>
      <c r="F32" s="29">
        <f/>
        <v/>
      </c>
      <c r="G32" s="27">
        <f/>
        <v/>
      </c>
      <c r="H32" s="29">
        <f/>
        <v/>
      </c>
      <c r="I32" s="27">
        <f/>
        <v/>
      </c>
      <c r="J32" s="27">
        <f/>
        <v/>
      </c>
      <c r="K32">
        <f/>
        <v/>
      </c>
      <c r="L32">
        <f/>
        <v/>
      </c>
    </row>
    <row r="33">
      <c r="B33" t="n">
        <v>0.23</v>
      </c>
      <c r="C33">
        <f/>
        <v/>
      </c>
      <c r="D33">
        <f/>
        <v/>
      </c>
      <c r="E33" s="11">
        <f/>
        <v/>
      </c>
      <c r="F33" s="29">
        <f/>
        <v/>
      </c>
      <c r="G33" s="27">
        <f/>
        <v/>
      </c>
      <c r="H33" s="29">
        <f/>
        <v/>
      </c>
      <c r="I33" s="27">
        <f/>
        <v/>
      </c>
      <c r="J33" s="27">
        <f/>
        <v/>
      </c>
      <c r="K33">
        <f/>
        <v/>
      </c>
      <c r="L33">
        <f/>
        <v/>
      </c>
    </row>
    <row r="34">
      <c r="B34" t="n">
        <v>0.24</v>
      </c>
      <c r="C34">
        <f/>
        <v/>
      </c>
      <c r="D34">
        <f/>
        <v/>
      </c>
      <c r="E34" s="11">
        <f/>
        <v/>
      </c>
      <c r="F34" s="29">
        <f/>
        <v/>
      </c>
      <c r="G34" s="27">
        <f/>
        <v/>
      </c>
      <c r="H34" s="29">
        <f/>
        <v/>
      </c>
      <c r="I34" s="27">
        <f/>
        <v/>
      </c>
      <c r="J34" s="27">
        <f/>
        <v/>
      </c>
      <c r="K34">
        <f/>
        <v/>
      </c>
      <c r="L34">
        <f/>
        <v/>
      </c>
    </row>
    <row r="35">
      <c r="B35" t="n">
        <v>0.25</v>
      </c>
      <c r="C35">
        <f/>
        <v/>
      </c>
      <c r="D35">
        <f/>
        <v/>
      </c>
      <c r="E35" s="11">
        <f/>
        <v/>
      </c>
      <c r="F35" s="29">
        <f/>
        <v/>
      </c>
      <c r="G35" s="27">
        <f/>
        <v/>
      </c>
      <c r="H35" s="29">
        <f/>
        <v/>
      </c>
      <c r="I35" s="27">
        <f/>
        <v/>
      </c>
      <c r="J35" s="27">
        <f/>
        <v/>
      </c>
      <c r="K35">
        <f/>
        <v/>
      </c>
      <c r="L35">
        <f/>
        <v/>
      </c>
    </row>
    <row r="36">
      <c r="E36" s="11" t="n"/>
      <c r="F36" s="29" t="n"/>
      <c r="G36" s="27" t="n"/>
      <c r="H36" s="29" t="n"/>
      <c r="I36" s="27" t="n"/>
      <c r="J36" s="27" t="n"/>
    </row>
    <row r="37">
      <c r="E37" s="11" t="n"/>
      <c r="F37" s="29" t="n"/>
      <c r="G37" s="27" t="n"/>
      <c r="H37" s="29" t="n"/>
      <c r="I37" s="27" t="n"/>
      <c r="J37" s="27" t="n"/>
    </row>
    <row r="38">
      <c r="E38" s="11" t="n"/>
      <c r="F38" s="29" t="n"/>
      <c r="G38" s="27" t="n"/>
      <c r="H38" s="29" t="n"/>
      <c r="I38" s="27" t="n"/>
      <c r="J38" s="27" t="n"/>
    </row>
    <row r="39">
      <c r="E39" s="11" t="n"/>
      <c r="F39" s="29" t="n"/>
      <c r="G39" s="27" t="n"/>
      <c r="H39" s="29" t="n"/>
      <c r="I39" s="27" t="n"/>
      <c r="J39" s="27" t="n"/>
    </row>
    <row r="40">
      <c r="E40" s="11" t="n"/>
      <c r="F40" s="29" t="n"/>
      <c r="G40" s="27" t="n"/>
      <c r="H40" s="29" t="n"/>
      <c r="I40" s="27" t="n"/>
      <c r="J40" s="27" t="n"/>
    </row>
    <row r="41">
      <c r="E41" s="11" t="n"/>
      <c r="F41" s="29" t="n"/>
      <c r="G41" s="27" t="n"/>
      <c r="H41" s="29" t="n"/>
      <c r="I41" s="27" t="n"/>
      <c r="J41" s="27" t="n"/>
    </row>
    <row r="42">
      <c r="E42" s="11" t="n"/>
      <c r="F42" s="29" t="n"/>
      <c r="G42" s="27" t="n"/>
      <c r="H42" s="29" t="n"/>
      <c r="I42" s="27" t="n"/>
      <c r="J42" s="27" t="n"/>
    </row>
    <row r="43">
      <c r="E43" s="11" t="n"/>
      <c r="F43" s="29" t="n"/>
      <c r="G43" s="27" t="n"/>
      <c r="H43" s="29" t="n"/>
      <c r="I43" s="27" t="n"/>
      <c r="J43" s="27" t="n"/>
    </row>
    <row r="44">
      <c r="E44" s="11" t="n"/>
      <c r="F44" s="29" t="n"/>
      <c r="G44" s="27" t="n"/>
      <c r="H44" s="29" t="n"/>
      <c r="I44" s="27" t="n"/>
      <c r="J44" s="27" t="n"/>
    </row>
    <row r="45">
      <c r="E45" s="11" t="n"/>
      <c r="F45" s="29" t="n"/>
      <c r="G45" s="27" t="n"/>
      <c r="H45" s="29" t="n"/>
      <c r="I45" s="27" t="n"/>
      <c r="J45" s="27" t="n"/>
    </row>
    <row r="46">
      <c r="E46" s="11" t="n"/>
      <c r="F46" s="29" t="n"/>
      <c r="G46" s="27" t="n"/>
      <c r="H46" s="29" t="n"/>
      <c r="I46" s="27" t="n"/>
      <c r="J46" s="27" t="n"/>
    </row>
    <row r="47">
      <c r="E47" s="11" t="n"/>
      <c r="F47" s="29" t="n"/>
      <c r="G47" s="27" t="n"/>
      <c r="H47" s="29" t="n"/>
      <c r="I47" s="27" t="n"/>
      <c r="J47" s="27" t="n"/>
    </row>
    <row r="48">
      <c r="E48" s="11" t="n"/>
      <c r="F48" s="29" t="n"/>
      <c r="G48" s="27" t="n"/>
      <c r="H48" s="29" t="n"/>
      <c r="I48" s="27" t="n"/>
      <c r="J48" s="27" t="n"/>
    </row>
    <row r="49">
      <c r="E49" s="11" t="n"/>
      <c r="F49" s="29" t="n"/>
      <c r="G49" s="27" t="n"/>
      <c r="H49" s="29" t="n"/>
      <c r="I49" s="27" t="n"/>
      <c r="J49" s="27" t="n"/>
    </row>
    <row r="50">
      <c r="E50" s="11" t="n"/>
      <c r="F50" s="29" t="n"/>
      <c r="G50" s="27" t="n"/>
      <c r="H50" s="29" t="n"/>
      <c r="I50" s="27" t="n"/>
      <c r="J50" s="27" t="n"/>
    </row>
    <row r="51">
      <c r="E51" s="11" t="n"/>
      <c r="F51" s="29" t="n"/>
      <c r="G51" s="27" t="n"/>
      <c r="H51" s="29" t="n"/>
      <c r="I51" s="27" t="n"/>
      <c r="J51" s="27" t="n"/>
    </row>
    <row r="52">
      <c r="E52" s="11" t="n"/>
      <c r="F52" s="29" t="n"/>
      <c r="G52" s="27" t="n"/>
      <c r="H52" s="29" t="n"/>
      <c r="I52" s="27" t="n"/>
      <c r="J52" s="27" t="n"/>
    </row>
    <row r="53">
      <c r="E53" s="11" t="n"/>
      <c r="F53" s="29" t="n"/>
      <c r="G53" s="27" t="n"/>
      <c r="H53" s="29" t="n"/>
      <c r="I53" s="27" t="n"/>
      <c r="J53" s="27" t="n"/>
    </row>
    <row r="54">
      <c r="E54" s="11" t="n"/>
      <c r="F54" s="29" t="n"/>
      <c r="G54" s="27" t="n"/>
      <c r="H54" s="29" t="n"/>
      <c r="I54" s="27" t="n"/>
      <c r="J54" s="27" t="n"/>
    </row>
    <row r="55">
      <c r="E55" s="11" t="n"/>
      <c r="F55" s="29" t="n"/>
      <c r="G55" s="27" t="n"/>
      <c r="H55" s="29" t="n"/>
      <c r="I55" s="27" t="n"/>
      <c r="J55" s="27" t="n"/>
    </row>
    <row r="56">
      <c r="E56" s="11" t="n"/>
      <c r="F56" s="29" t="n"/>
      <c r="G56" s="27" t="n"/>
      <c r="H56" s="29" t="n"/>
      <c r="I56" s="27" t="n"/>
      <c r="J56" s="27" t="n"/>
    </row>
    <row r="57">
      <c r="E57" s="11" t="n"/>
      <c r="F57" s="29" t="n"/>
      <c r="G57" s="27" t="n"/>
      <c r="H57" s="29" t="n"/>
      <c r="I57" s="27" t="n"/>
      <c r="J57" s="27" t="n"/>
    </row>
    <row r="58">
      <c r="E58" s="11" t="n"/>
      <c r="F58" s="29" t="n"/>
      <c r="G58" s="27" t="n"/>
      <c r="H58" s="29" t="n"/>
      <c r="I58" s="27" t="n"/>
      <c r="J58" s="27" t="n"/>
    </row>
    <row r="59">
      <c r="E59" s="11" t="n"/>
      <c r="F59" s="29" t="n"/>
      <c r="G59" s="27" t="n"/>
      <c r="H59" s="29" t="n"/>
      <c r="I59" s="27" t="n"/>
      <c r="J59" s="27" t="n"/>
    </row>
    <row r="60">
      <c r="E60" s="11" t="n"/>
      <c r="F60" s="29" t="n"/>
      <c r="G60" s="27" t="n"/>
      <c r="H60" s="29" t="n"/>
      <c r="I60" s="27" t="n"/>
      <c r="J60" s="27" t="n"/>
    </row>
    <row r="61">
      <c r="E61" s="11" t="n"/>
      <c r="F61" s="29" t="n"/>
      <c r="G61" s="27" t="n"/>
      <c r="H61" s="29" t="n"/>
      <c r="I61" s="27" t="n"/>
      <c r="J61" s="27" t="n"/>
    </row>
    <row r="62">
      <c r="E62" s="11" t="n"/>
      <c r="F62" s="29" t="n"/>
      <c r="G62" s="27" t="n"/>
      <c r="H62" s="29" t="n"/>
      <c r="I62" s="27" t="n"/>
      <c r="J62" s="27" t="n"/>
    </row>
    <row r="63">
      <c r="E63" s="11" t="n"/>
      <c r="F63" s="29" t="n"/>
      <c r="G63" s="27" t="n"/>
      <c r="H63" s="29" t="n"/>
      <c r="I63" s="27" t="n"/>
      <c r="J63" s="27" t="n"/>
    </row>
    <row r="64">
      <c r="E64" s="11" t="n"/>
      <c r="F64" s="29" t="n"/>
      <c r="G64" s="27" t="n"/>
      <c r="H64" s="29" t="n"/>
      <c r="I64" s="27" t="n"/>
      <c r="J64" s="27" t="n"/>
    </row>
    <row r="65">
      <c r="E65" s="11" t="n"/>
      <c r="F65" s="29" t="n"/>
      <c r="G65" s="27" t="n"/>
      <c r="H65" s="29" t="n"/>
      <c r="I65" s="27" t="n"/>
      <c r="J65" s="27" t="n"/>
    </row>
    <row r="66">
      <c r="E66" s="11" t="n"/>
      <c r="F66" s="29" t="n"/>
      <c r="G66" s="27" t="n"/>
      <c r="H66" s="29" t="n"/>
      <c r="I66" s="27" t="n"/>
      <c r="J66" s="27" t="n"/>
    </row>
    <row r="67">
      <c r="E67" s="11" t="n"/>
      <c r="F67" s="29" t="n"/>
      <c r="G67" s="27" t="n"/>
      <c r="H67" s="29" t="n"/>
      <c r="I67" s="27" t="n"/>
      <c r="J67" s="27" t="n"/>
    </row>
    <row r="68">
      <c r="E68" s="11" t="n"/>
      <c r="F68" s="29" t="n"/>
      <c r="G68" s="27" t="n"/>
      <c r="H68" s="29" t="n"/>
      <c r="I68" s="27" t="n"/>
      <c r="J68" s="27" t="n"/>
    </row>
    <row r="69">
      <c r="E69" s="11" t="n"/>
      <c r="F69" s="29" t="n"/>
      <c r="G69" s="27" t="n"/>
      <c r="H69" s="29" t="n"/>
      <c r="I69" s="27" t="n"/>
      <c r="J69" s="27" t="n"/>
    </row>
    <row r="70">
      <c r="E70" s="11" t="n"/>
      <c r="F70" s="29" t="n"/>
      <c r="G70" s="27" t="n"/>
      <c r="H70" s="29" t="n"/>
      <c r="I70" s="27" t="n"/>
      <c r="J70" s="27" t="n"/>
    </row>
    <row r="71">
      <c r="E71" s="11" t="n"/>
      <c r="F71" s="29" t="n"/>
      <c r="G71" s="27" t="n"/>
      <c r="H71" s="29" t="n"/>
      <c r="I71" s="27" t="n"/>
      <c r="J71" s="27" t="n"/>
    </row>
    <row r="72">
      <c r="E72" s="11" t="n"/>
      <c r="F72" s="29" t="n"/>
      <c r="G72" s="27" t="n"/>
      <c r="H72" s="29" t="n"/>
      <c r="I72" s="27" t="n"/>
      <c r="J72" s="27" t="n"/>
    </row>
    <row r="73">
      <c r="E73" s="11" t="n"/>
      <c r="F73" s="29" t="n"/>
      <c r="G73" s="27" t="n"/>
      <c r="H73" s="29" t="n"/>
      <c r="I73" s="27" t="n"/>
      <c r="J73" s="27" t="n"/>
    </row>
    <row r="74">
      <c r="E74" s="11" t="n"/>
      <c r="F74" s="29" t="n"/>
      <c r="G74" s="27" t="n"/>
      <c r="H74" s="29" t="n"/>
      <c r="I74" s="27" t="n"/>
      <c r="J74" s="27" t="n"/>
    </row>
    <row r="75">
      <c r="E75" s="11" t="n"/>
      <c r="F75" s="29" t="n"/>
      <c r="G75" s="27" t="n"/>
      <c r="H75" s="29" t="n"/>
      <c r="I75" s="27" t="n"/>
      <c r="J75" s="27" t="n"/>
    </row>
    <row r="76">
      <c r="E76" s="11" t="n"/>
      <c r="F76" s="29" t="n"/>
      <c r="G76" s="27" t="n"/>
      <c r="H76" s="29" t="n"/>
      <c r="I76" s="27" t="n"/>
      <c r="J76" s="27" t="n"/>
    </row>
    <row r="77">
      <c r="E77" s="11" t="n"/>
      <c r="F77" s="29" t="n"/>
      <c r="G77" s="27" t="n"/>
      <c r="H77" s="29" t="n"/>
      <c r="I77" s="27" t="n"/>
      <c r="J77" s="27" t="n"/>
    </row>
    <row r="78">
      <c r="E78" s="11" t="n"/>
      <c r="F78" s="29" t="n"/>
      <c r="G78" s="27" t="n"/>
      <c r="H78" s="29" t="n"/>
      <c r="I78" s="27" t="n"/>
      <c r="J78" s="27" t="n"/>
    </row>
    <row r="79">
      <c r="E79" s="11" t="n"/>
      <c r="F79" s="29" t="n"/>
      <c r="G79" s="27" t="n"/>
      <c r="H79" s="29" t="n"/>
      <c r="I79" s="27" t="n"/>
      <c r="J79" s="27" t="n"/>
    </row>
    <row r="80">
      <c r="E80" s="11" t="n"/>
      <c r="F80" s="29" t="n"/>
      <c r="G80" s="27" t="n"/>
      <c r="H80" s="29" t="n"/>
      <c r="I80" s="27" t="n"/>
      <c r="J80" s="27" t="n"/>
    </row>
    <row r="81">
      <c r="E81" s="11" t="n"/>
      <c r="F81" s="29" t="n"/>
      <c r="G81" s="27" t="n"/>
      <c r="H81" s="29" t="n"/>
      <c r="I81" s="27" t="n"/>
      <c r="J81" s="27" t="n"/>
    </row>
    <row r="82">
      <c r="E82" s="11" t="n"/>
      <c r="F82" s="29" t="n"/>
      <c r="G82" s="27" t="n"/>
      <c r="H82" s="29" t="n"/>
      <c r="I82" s="27" t="n"/>
      <c r="J82" s="27" t="n"/>
    </row>
    <row r="83">
      <c r="E83" s="11" t="n"/>
      <c r="F83" s="29" t="n"/>
      <c r="G83" s="27" t="n"/>
      <c r="H83" s="29" t="n"/>
      <c r="I83" s="27" t="n"/>
      <c r="J83" s="27" t="n"/>
    </row>
    <row r="84">
      <c r="E84" s="11" t="n"/>
      <c r="F84" s="29" t="n"/>
      <c r="G84" s="27" t="n"/>
      <c r="H84" s="29" t="n"/>
      <c r="I84" s="27" t="n"/>
      <c r="J84" s="27" t="n"/>
    </row>
    <row r="85">
      <c r="E85" s="11" t="n"/>
      <c r="F85" s="29" t="n"/>
      <c r="G85" s="27" t="n"/>
      <c r="H85" s="29" t="n"/>
      <c r="I85" s="27" t="n"/>
      <c r="J85" s="27" t="n"/>
    </row>
    <row r="86">
      <c r="E86" s="11" t="n"/>
      <c r="F86" s="29" t="n"/>
      <c r="G86" s="27" t="n"/>
      <c r="H86" s="29" t="n"/>
      <c r="I86" s="27" t="n"/>
      <c r="J86" s="27" t="n"/>
    </row>
    <row r="87">
      <c r="E87" s="11" t="n"/>
      <c r="F87" s="29" t="n"/>
      <c r="G87" s="27" t="n"/>
      <c r="H87" s="29" t="n"/>
      <c r="I87" s="27" t="n"/>
      <c r="J87" s="27" t="n"/>
    </row>
    <row r="88">
      <c r="E88" s="11" t="n"/>
      <c r="F88" s="29" t="n"/>
      <c r="G88" s="27" t="n"/>
      <c r="H88" s="29" t="n"/>
      <c r="I88" s="27" t="n"/>
      <c r="J88" s="27" t="n"/>
    </row>
    <row r="89">
      <c r="E89" s="11" t="n"/>
      <c r="F89" s="29" t="n"/>
      <c r="G89" s="27" t="n"/>
      <c r="H89" s="29" t="n"/>
      <c r="I89" s="27" t="n"/>
      <c r="J89" s="27" t="n"/>
    </row>
    <row r="90">
      <c r="E90" s="11" t="n"/>
      <c r="F90" s="29" t="n"/>
      <c r="G90" s="27" t="n"/>
      <c r="H90" s="29" t="n"/>
      <c r="I90" s="27" t="n"/>
      <c r="J90" s="27" t="n"/>
    </row>
    <row r="91">
      <c r="E91" s="11" t="n"/>
      <c r="F91" s="29" t="n"/>
      <c r="G91" s="27" t="n"/>
      <c r="H91" s="29" t="n"/>
      <c r="I91" s="27" t="n"/>
      <c r="J91" s="27" t="n"/>
    </row>
    <row r="92">
      <c r="E92" s="11" t="n"/>
      <c r="F92" s="29" t="n"/>
      <c r="G92" s="27" t="n"/>
      <c r="H92" s="29" t="n"/>
      <c r="I92" s="27" t="n"/>
      <c r="J92" s="27" t="n"/>
    </row>
    <row r="93">
      <c r="E93" s="11" t="n"/>
      <c r="F93" s="29" t="n"/>
      <c r="G93" s="27" t="n"/>
      <c r="H93" s="29" t="n"/>
      <c r="I93" s="27" t="n"/>
      <c r="J93" s="27" t="n"/>
    </row>
    <row r="94">
      <c r="E94" s="11" t="n"/>
      <c r="F94" s="29" t="n"/>
      <c r="G94" s="27" t="n"/>
      <c r="H94" s="29" t="n"/>
      <c r="I94" s="27" t="n"/>
      <c r="J94" s="27" t="n"/>
    </row>
    <row r="95">
      <c r="E95" s="11" t="n"/>
      <c r="F95" s="29" t="n"/>
      <c r="G95" s="27" t="n"/>
      <c r="H95" s="29" t="n"/>
      <c r="I95" s="27" t="n"/>
      <c r="J95" s="27" t="n"/>
    </row>
    <row r="96">
      <c r="E96" s="11" t="n"/>
      <c r="F96" s="29" t="n"/>
      <c r="G96" s="27" t="n"/>
      <c r="H96" s="29" t="n"/>
      <c r="I96" s="27" t="n"/>
      <c r="J96" s="27" t="n"/>
    </row>
    <row r="97">
      <c r="E97" s="11" t="n"/>
      <c r="F97" s="29" t="n"/>
      <c r="G97" s="27" t="n"/>
      <c r="H97" s="29" t="n"/>
      <c r="I97" s="27" t="n"/>
      <c r="J97" s="27" t="n"/>
    </row>
    <row r="98">
      <c r="E98" s="11" t="n"/>
      <c r="F98" s="29" t="n"/>
      <c r="G98" s="27" t="n"/>
      <c r="H98" s="29" t="n"/>
      <c r="I98" s="27" t="n"/>
      <c r="J98" s="27" t="n"/>
    </row>
    <row r="99">
      <c r="E99" s="11" t="n"/>
      <c r="F99" s="29" t="n"/>
      <c r="G99" s="27" t="n"/>
      <c r="H99" s="29" t="n"/>
      <c r="I99" s="27" t="n"/>
    </row>
    <row r="100">
      <c r="E100" s="11" t="n"/>
      <c r="F100" s="29" t="n"/>
      <c r="G100" s="27" t="n"/>
      <c r="H100" s="29" t="n"/>
      <c r="I100" s="27" t="n"/>
    </row>
    <row r="101">
      <c r="E101" s="11" t="n"/>
      <c r="F101" s="29" t="n"/>
      <c r="G101" s="27" t="n"/>
      <c r="H101" s="29" t="n"/>
      <c r="I101" s="27" t="n"/>
    </row>
    <row r="102">
      <c r="E102" s="11" t="n"/>
      <c r="F102" s="29" t="n"/>
      <c r="G102" s="27" t="n"/>
      <c r="H102" s="29" t="n"/>
      <c r="I102" s="27" t="n"/>
    </row>
    <row r="103">
      <c r="E103" s="11" t="n"/>
      <c r="F103" s="29" t="n"/>
      <c r="G103" s="27" t="n"/>
      <c r="H103" s="29" t="n"/>
      <c r="I103" s="27" t="n"/>
    </row>
    <row r="104">
      <c r="E104" s="11" t="n"/>
      <c r="F104" s="29" t="n"/>
      <c r="G104" s="27" t="n"/>
      <c r="H104" s="29" t="n"/>
      <c r="I104" s="27" t="n"/>
    </row>
    <row r="105">
      <c r="E105" s="11" t="n"/>
      <c r="F105" s="29" t="n"/>
      <c r="G105" s="27" t="n"/>
      <c r="H105" s="29" t="n"/>
      <c r="I105" s="27" t="n"/>
    </row>
    <row r="106">
      <c r="E106" s="11" t="n"/>
      <c r="F106" s="29" t="n"/>
      <c r="G106" s="27" t="n"/>
      <c r="H106" s="29" t="n"/>
      <c r="I106" s="27" t="n"/>
    </row>
    <row r="107">
      <c r="E107" s="11" t="n"/>
      <c r="F107" s="29" t="n"/>
      <c r="G107" s="27" t="n"/>
      <c r="H107" s="29" t="n"/>
      <c r="I107" s="27" t="n"/>
    </row>
    <row r="108">
      <c r="E108" s="11" t="n"/>
      <c r="F108" s="29" t="n"/>
      <c r="G108" s="27" t="n"/>
      <c r="H108" s="29" t="n"/>
      <c r="I108" s="27" t="n"/>
    </row>
    <row r="109">
      <c r="E109" s="11" t="n"/>
      <c r="F109" s="29" t="n"/>
      <c r="G109" s="27" t="n"/>
      <c r="H109" s="29" t="n"/>
      <c r="I109" s="27" t="n"/>
    </row>
    <row r="110">
      <c r="E110" s="11" t="n"/>
      <c r="F110" s="29" t="n"/>
      <c r="G110" s="27" t="n"/>
      <c r="H110" s="29" t="n"/>
      <c r="I110" s="27" t="n"/>
    </row>
    <row r="111">
      <c r="F111" s="29" t="n"/>
      <c r="G111" s="27" t="n"/>
      <c r="H111" s="29" t="n"/>
      <c r="I111" s="27" t="n"/>
    </row>
    <row r="112">
      <c r="F112" s="29" t="n"/>
      <c r="G112" s="27" t="n"/>
      <c r="H112" s="29" t="n"/>
      <c r="I112" s="27" t="n"/>
    </row>
    <row r="113">
      <c r="F113" s="29" t="n"/>
      <c r="G113" s="27" t="n"/>
      <c r="H113" s="29" t="n"/>
      <c r="I113" s="27" t="n"/>
    </row>
    <row r="114">
      <c r="F114" s="29" t="n"/>
      <c r="G114" s="27" t="n"/>
      <c r="H114" s="29" t="n"/>
      <c r="I114" s="27" t="n"/>
    </row>
    <row r="115">
      <c r="F115" s="29" t="n"/>
      <c r="G115" s="27" t="n"/>
      <c r="H115" s="29" t="n"/>
      <c r="I115" s="27" t="n"/>
    </row>
    <row r="116">
      <c r="F116" s="29" t="n"/>
      <c r="G116" s="27" t="n"/>
      <c r="H116" s="29" t="n"/>
      <c r="I116" s="27" t="n"/>
    </row>
    <row r="117">
      <c r="F117" s="29" t="n"/>
      <c r="G117" s="27" t="n"/>
      <c r="H117" s="29" t="n"/>
      <c r="I117" s="27" t="n"/>
    </row>
    <row r="118">
      <c r="F118" s="29" t="n"/>
      <c r="G118" s="27" t="n"/>
      <c r="H118" s="29" t="n"/>
      <c r="I118" s="27" t="n"/>
    </row>
    <row r="119">
      <c r="F119" s="29" t="n"/>
      <c r="G119" s="27" t="n"/>
      <c r="H119" s="29" t="n"/>
      <c r="I119" s="27" t="n"/>
    </row>
    <row r="120">
      <c r="F120" s="29" t="n"/>
      <c r="G120" s="27" t="n"/>
      <c r="H120" s="29" t="n"/>
      <c r="I120" s="27" t="n"/>
    </row>
    <row r="121">
      <c r="F121" s="29" t="n"/>
      <c r="G121" s="27" t="n"/>
      <c r="H121" s="29" t="n"/>
      <c r="I121" s="27" t="n"/>
    </row>
    <row r="122">
      <c r="F122" s="29" t="n"/>
      <c r="G122" s="27" t="n"/>
      <c r="H122" s="29" t="n"/>
      <c r="I122" s="27" t="n"/>
    </row>
    <row r="123">
      <c r="F123" s="29" t="n"/>
      <c r="G123" s="27" t="n"/>
      <c r="H123" s="29" t="n"/>
      <c r="I123" s="27" t="n"/>
    </row>
    <row r="124">
      <c r="F124" s="29" t="n"/>
      <c r="G124" s="27" t="n"/>
      <c r="H124" s="29" t="n"/>
      <c r="I124" s="27" t="n"/>
    </row>
    <row r="125">
      <c r="F125" s="29" t="n"/>
      <c r="G125" s="27" t="n"/>
      <c r="H125" s="29" t="n"/>
      <c r="I125" s="27" t="n"/>
    </row>
    <row r="126">
      <c r="F126" s="29" t="n"/>
      <c r="G126" s="27" t="n"/>
      <c r="H126" s="29" t="n"/>
      <c r="I126" s="27" t="n"/>
    </row>
    <row r="127">
      <c r="F127" s="29" t="n"/>
      <c r="G127" s="27" t="n"/>
      <c r="H127" s="29" t="n"/>
      <c r="I127" s="27" t="n"/>
    </row>
    <row r="128">
      <c r="F128" s="29" t="n"/>
      <c r="G128" s="27" t="n"/>
      <c r="H128" s="29" t="n"/>
      <c r="I128" s="27" t="n"/>
    </row>
    <row r="129">
      <c r="F129" s="29" t="n"/>
      <c r="G129" s="27" t="n"/>
      <c r="H129" s="29" t="n"/>
      <c r="I129" s="27" t="n"/>
    </row>
    <row r="130">
      <c r="F130" s="29" t="n"/>
      <c r="G130" s="27" t="n"/>
      <c r="H130" s="29" t="n"/>
      <c r="I130" s="27" t="n"/>
    </row>
    <row r="131">
      <c r="F131" s="29" t="n"/>
      <c r="G131" s="27" t="n"/>
      <c r="H131" s="29" t="n"/>
      <c r="I131" s="27" t="n"/>
    </row>
    <row r="132">
      <c r="F132" s="29" t="n"/>
      <c r="G132" s="27" t="n"/>
      <c r="H132" s="29" t="n"/>
      <c r="I132" s="27" t="n"/>
    </row>
    <row r="133">
      <c r="F133" s="29" t="n"/>
      <c r="G133" s="27" t="n"/>
      <c r="H133" s="29" t="n"/>
      <c r="I133" s="27" t="n"/>
    </row>
    <row r="134">
      <c r="F134" s="29" t="n"/>
      <c r="G134" s="27" t="n"/>
      <c r="H134" s="29" t="n"/>
      <c r="I134" s="27" t="n"/>
    </row>
    <row r="135">
      <c r="F135" s="29" t="n"/>
      <c r="G135" s="27" t="n"/>
      <c r="H135" s="29" t="n"/>
      <c r="I135" s="27" t="n"/>
    </row>
    <row r="136">
      <c r="F136" s="29" t="n"/>
      <c r="G136" s="27" t="n"/>
      <c r="H136" s="29" t="n"/>
      <c r="I136" s="27" t="n"/>
    </row>
    <row r="137">
      <c r="F137" s="29" t="n"/>
      <c r="G137" s="27" t="n"/>
      <c r="H137" s="29" t="n"/>
      <c r="I137" s="27" t="n"/>
    </row>
    <row r="138">
      <c r="F138" s="29" t="n"/>
      <c r="G138" s="27" t="n"/>
      <c r="H138" s="29" t="n"/>
      <c r="I138" s="27" t="n"/>
    </row>
    <row r="139">
      <c r="F139" s="29" t="n"/>
      <c r="G139" s="27" t="n"/>
      <c r="H139" s="29" t="n"/>
      <c r="I139" s="27" t="n"/>
    </row>
    <row r="140">
      <c r="F140" s="29" t="n"/>
      <c r="G140" s="27" t="n"/>
      <c r="H140" s="29" t="n"/>
      <c r="I140" s="27" t="n"/>
    </row>
    <row r="141">
      <c r="F141" s="29" t="n"/>
      <c r="G141" s="27" t="n"/>
      <c r="H141" s="29" t="n"/>
      <c r="I141" s="27" t="n"/>
    </row>
    <row r="142">
      <c r="F142" s="29" t="n"/>
      <c r="G142" s="27" t="n"/>
      <c r="H142" s="29" t="n"/>
      <c r="I142" s="27" t="n"/>
    </row>
    <row r="143">
      <c r="F143" s="29" t="n"/>
      <c r="G143" s="27" t="n"/>
      <c r="I143" s="27" t="n"/>
    </row>
    <row r="144">
      <c r="F144" s="29" t="n"/>
      <c r="G144" s="27" t="n"/>
      <c r="I144" s="27" t="n"/>
    </row>
    <row r="145">
      <c r="F145" s="29" t="n"/>
      <c r="G145" s="27" t="n"/>
      <c r="I145" s="27" t="n"/>
    </row>
    <row r="146">
      <c r="F146" s="29" t="n"/>
      <c r="G146" s="27" t="n"/>
      <c r="I146" s="27" t="n"/>
    </row>
    <row r="147">
      <c r="F147" s="29" t="n"/>
      <c r="G147" s="27" t="n"/>
      <c r="I147" s="27" t="n"/>
    </row>
    <row r="148">
      <c r="F148" s="29" t="n"/>
      <c r="G148" s="27" t="n"/>
      <c r="I148" s="27" t="n"/>
    </row>
    <row r="149">
      <c r="F149" s="29" t="n"/>
      <c r="G149" s="27" t="n"/>
      <c r="I149" s="27" t="n"/>
    </row>
    <row r="150">
      <c r="F150" s="29" t="n"/>
      <c r="G150" s="27" t="n"/>
      <c r="I150" s="27" t="n"/>
    </row>
    <row r="151">
      <c r="F151" s="29" t="n"/>
      <c r="G151" s="27" t="n"/>
      <c r="I151" s="27" t="n"/>
    </row>
    <row r="152">
      <c r="F152" s="29" t="n"/>
      <c r="G152" s="27" t="n"/>
      <c r="I152" s="27" t="n"/>
    </row>
    <row r="153">
      <c r="F153" s="29" t="n"/>
      <c r="G153" s="27" t="n"/>
      <c r="I153" s="27" t="n"/>
    </row>
    <row r="154">
      <c r="F154" s="29" t="n"/>
      <c r="G154" s="27" t="n"/>
      <c r="I154" s="27" t="n"/>
    </row>
    <row r="155">
      <c r="F155" s="29" t="n"/>
      <c r="G155" s="27" t="n"/>
      <c r="I155" s="27" t="n"/>
    </row>
    <row r="156">
      <c r="F156" s="29" t="n"/>
      <c r="G156" s="27" t="n"/>
      <c r="I156" s="27" t="n"/>
    </row>
    <row r="157">
      <c r="F157" s="29" t="n"/>
      <c r="G157" s="27" t="n"/>
      <c r="I157" s="27" t="n"/>
    </row>
    <row r="158">
      <c r="F158" s="29" t="n"/>
      <c r="G158" s="27" t="n"/>
      <c r="I158" s="27" t="n"/>
    </row>
    <row r="159">
      <c r="F159" s="29" t="n"/>
      <c r="G159" s="27" t="n"/>
      <c r="I159" s="27" t="n"/>
    </row>
    <row r="160">
      <c r="F160" s="29" t="n"/>
      <c r="G160" s="27" t="n"/>
      <c r="I160" s="27" t="n"/>
    </row>
    <row r="161">
      <c r="F161" s="29" t="n"/>
      <c r="G161" s="27" t="n"/>
      <c r="I161" s="27" t="n"/>
    </row>
    <row r="162">
      <c r="F162" s="29" t="n"/>
      <c r="G162" s="27" t="n"/>
      <c r="I162" s="27" t="n"/>
    </row>
    <row r="163">
      <c r="F163" s="29" t="n"/>
      <c r="G163" s="27" t="n"/>
      <c r="I163" s="27" t="n"/>
    </row>
    <row r="164">
      <c r="F164" s="29" t="n"/>
      <c r="G164" s="27" t="n"/>
      <c r="I164" s="27" t="n"/>
    </row>
    <row r="165">
      <c r="F165" s="29" t="n"/>
      <c r="G165" s="27" t="n"/>
    </row>
    <row r="166">
      <c r="F166" s="29" t="n"/>
      <c r="G166" s="27" t="n"/>
    </row>
    <row r="167">
      <c r="F167" s="29" t="n"/>
      <c r="G167" s="27" t="n"/>
    </row>
    <row r="168">
      <c r="F168" s="29" t="n"/>
      <c r="G168" s="27" t="n"/>
    </row>
    <row r="169">
      <c r="F169" s="29" t="n"/>
      <c r="G169" s="27" t="n"/>
    </row>
    <row r="170">
      <c r="F170" s="29" t="n"/>
      <c r="G170" s="27" t="n"/>
    </row>
    <row r="171">
      <c r="F171" s="29" t="n"/>
      <c r="G171" s="27" t="n"/>
    </row>
    <row r="172">
      <c r="F172" s="29" t="n"/>
      <c r="G172" s="27" t="n"/>
    </row>
    <row r="173">
      <c r="F173" s="29" t="n"/>
      <c r="G173" s="27" t="n"/>
    </row>
    <row r="174">
      <c r="F174" s="29" t="n"/>
      <c r="G174" s="27" t="n"/>
    </row>
    <row r="175">
      <c r="F175" s="29" t="n"/>
      <c r="G175" s="27" t="n"/>
    </row>
    <row r="176">
      <c r="F176" s="29" t="n"/>
      <c r="G176" s="27" t="n"/>
    </row>
    <row r="177">
      <c r="F177" s="29" t="n"/>
      <c r="G177" s="27" t="n"/>
    </row>
    <row r="178">
      <c r="F178" s="29" t="n"/>
      <c r="G178" s="27" t="n"/>
    </row>
    <row r="179">
      <c r="F179" s="29" t="n"/>
      <c r="G179" s="27" t="n"/>
    </row>
    <row r="180">
      <c r="F180" s="29" t="n"/>
      <c r="G180" s="27" t="n"/>
    </row>
    <row r="181">
      <c r="F181" s="29" t="n"/>
      <c r="G181" s="27" t="n"/>
    </row>
    <row r="182">
      <c r="F182" s="29" t="n"/>
      <c r="G182" s="27" t="n"/>
    </row>
    <row r="183">
      <c r="F183" s="29" t="n"/>
      <c r="G183" s="27" t="n"/>
    </row>
    <row r="184">
      <c r="F184" s="29" t="n"/>
      <c r="G184" s="27" t="n"/>
    </row>
    <row r="185">
      <c r="F185" s="29" t="n"/>
      <c r="G185" s="27" t="n"/>
    </row>
    <row r="186">
      <c r="F186" s="29" t="n"/>
      <c r="G186" s="27" t="n"/>
    </row>
    <row r="187">
      <c r="G187" s="27" t="n"/>
    </row>
    <row r="188">
      <c r="G188" s="27" t="n"/>
    </row>
    <row r="189">
      <c r="G189" s="27" t="n"/>
    </row>
    <row r="190">
      <c r="G190" s="27" t="n"/>
    </row>
    <row r="191">
      <c r="G191" s="27" t="n"/>
    </row>
    <row r="192">
      <c r="G192" s="27" t="n"/>
    </row>
    <row r="193">
      <c r="G193" s="27" t="n"/>
    </row>
    <row r="194">
      <c r="G194" s="27" t="n"/>
    </row>
    <row r="195">
      <c r="G195" s="27" t="n"/>
    </row>
    <row r="196">
      <c r="G196" s="27" t="n"/>
    </row>
    <row r="197">
      <c r="G197" s="27" t="n"/>
    </row>
    <row r="198">
      <c r="G198" s="27" t="n"/>
    </row>
    <row r="199">
      <c r="G199" s="27" t="n"/>
    </row>
    <row r="200">
      <c r="G200" s="27" t="n"/>
    </row>
    <row r="201">
      <c r="G201" s="27" t="n"/>
    </row>
    <row r="202">
      <c r="G202" s="27" t="n"/>
    </row>
    <row r="203">
      <c r="G203" s="27" t="n"/>
    </row>
    <row r="204">
      <c r="G204" s="27" t="n"/>
    </row>
    <row r="205">
      <c r="G205" s="27" t="n"/>
    </row>
    <row r="206">
      <c r="G206" s="27" t="n"/>
    </row>
    <row r="207">
      <c r="G207" s="27" t="n"/>
    </row>
    <row r="208">
      <c r="G208" s="27" t="n"/>
    </row>
  </sheetData>
  <mergeCells count="3">
    <mergeCell ref="D8:E8"/>
    <mergeCell ref="F8:G8"/>
    <mergeCell ref="H8:I8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7"/>
  <sheetViews>
    <sheetView tabSelected="1" topLeftCell="A4" workbookViewId="0">
      <selection activeCell="G15" sqref="G15:K17"/>
    </sheetView>
  </sheetViews>
  <sheetFormatPr baseColWidth="8" defaultRowHeight="17.5"/>
  <sheetData>
    <row r="2">
      <c r="B2" t="inlineStr">
        <is>
          <t>dt</t>
        </is>
      </c>
      <c r="C2" t="inlineStr">
        <is>
          <t>accuracy</t>
        </is>
      </c>
      <c r="D2" t="inlineStr">
        <is>
          <t>log_dt</t>
        </is>
      </c>
      <c r="E2" t="inlineStr">
        <is>
          <t>log_acc</t>
        </is>
      </c>
    </row>
    <row r="3">
      <c r="B3">
        <f t="array" ref="B3:B12">_xlfn.SEQUENCE(10, 1, 0.001, 0.001)</f>
        <v/>
      </c>
      <c r="C3" s="33" t="n">
        <v>3.026864593443686</v>
      </c>
      <c r="D3">
        <f>LN(B3)</f>
        <v/>
      </c>
      <c r="E3">
        <f>LN(C3)</f>
        <v/>
      </c>
    </row>
    <row r="4">
      <c r="B4" t="n">
        <v>0.002</v>
      </c>
      <c r="C4" s="33" t="n">
        <v>2.98156115959062</v>
      </c>
      <c r="D4">
        <f>LN(B4)</f>
        <v/>
      </c>
      <c r="E4">
        <f>LN(C4)</f>
        <v/>
      </c>
    </row>
    <row r="5">
      <c r="B5" t="n">
        <v>0.003</v>
      </c>
      <c r="C5" s="33" t="n">
        <v>3.002219924869656</v>
      </c>
      <c r="D5">
        <f>LN(B5)</f>
        <v/>
      </c>
      <c r="E5">
        <f>LN(C5)</f>
        <v/>
      </c>
    </row>
    <row r="6">
      <c r="B6" s="3" t="n">
        <v>0.004</v>
      </c>
      <c r="C6" s="33" t="n">
        <v>2.986420316437205</v>
      </c>
      <c r="D6">
        <f>LN(B6)</f>
        <v/>
      </c>
      <c r="E6">
        <f>LN(C6)</f>
        <v/>
      </c>
    </row>
    <row r="7">
      <c r="B7" t="n">
        <v>0.005</v>
      </c>
      <c r="C7" s="33" t="n">
        <v>2.990053396775042</v>
      </c>
      <c r="D7">
        <f>LN(B7)</f>
        <v/>
      </c>
      <c r="E7">
        <f>LN(C7)</f>
        <v/>
      </c>
    </row>
    <row r="8">
      <c r="B8" t="n">
        <v>0.006</v>
      </c>
      <c r="C8" s="33" t="n">
        <v>2.972250844073415</v>
      </c>
      <c r="D8">
        <f>LN(B8)</f>
        <v/>
      </c>
      <c r="E8">
        <f>LN(C8)</f>
        <v/>
      </c>
    </row>
    <row r="9">
      <c r="B9" t="n">
        <v>0.007</v>
      </c>
      <c r="C9" s="33" t="n">
        <v>2.922097259633032</v>
      </c>
      <c r="D9">
        <f>LN(B9)</f>
        <v/>
      </c>
      <c r="E9">
        <f>LN(C9)</f>
        <v/>
      </c>
    </row>
    <row r="10">
      <c r="B10" t="n">
        <v>0.008</v>
      </c>
      <c r="C10" s="33" t="n">
        <v>2.918080017279182</v>
      </c>
      <c r="D10">
        <f>LN(B10)</f>
        <v/>
      </c>
      <c r="E10">
        <f>LN(C10)</f>
        <v/>
      </c>
    </row>
    <row r="11">
      <c r="B11" t="n">
        <v>0.009000000000000001</v>
      </c>
      <c r="C11" s="33" t="n">
        <v>2.913992503544006</v>
      </c>
      <c r="D11">
        <f>LN(B11)</f>
        <v/>
      </c>
      <c r="E11">
        <f>LN(C11)</f>
        <v/>
      </c>
    </row>
    <row r="12">
      <c r="B12" t="n">
        <v>0.01</v>
      </c>
      <c r="C12" s="33" t="n">
        <v>2.962782347134725</v>
      </c>
      <c r="D12">
        <f>LN(B12)</f>
        <v/>
      </c>
      <c r="E12">
        <f>LN(C12)</f>
        <v/>
      </c>
    </row>
    <row r="15">
      <c r="G15" s="25" t="inlineStr">
        <is>
          <t>There is no clear relationship in this case</t>
        </is>
      </c>
    </row>
    <row r="16"/>
    <row r="17"/>
  </sheetData>
  <mergeCells count="1">
    <mergeCell ref="G15:K17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Q208"/>
  <sheetViews>
    <sheetView workbookViewId="0">
      <selection activeCell="A1" sqref="A1"/>
    </sheetView>
  </sheetViews>
  <sheetFormatPr baseColWidth="8" defaultRowHeight="17.5"/>
  <cols>
    <col width="3.59765625" customWidth="1" min="1" max="1"/>
    <col width="9.86328125" bestFit="1" customWidth="1" min="2" max="2"/>
    <col width="11.6640625" bestFit="1" customWidth="1" min="7" max="7"/>
    <col width="10.19921875" bestFit="1" customWidth="1" min="10" max="10"/>
    <col width="11.6640625" bestFit="1" customWidth="1" min="13" max="13"/>
  </cols>
  <sheetData>
    <row r="1">
      <c r="B1" s="26">
        <f t="array" ref="B1">_xll.MONTE.COUNT()</f>
        <v/>
      </c>
    </row>
    <row r="2">
      <c r="B2" s="3" t="inlineStr">
        <is>
          <t>mu</t>
        </is>
      </c>
      <c r="C2" t="n">
        <v>0</v>
      </c>
      <c r="F2" s="3" t="inlineStr">
        <is>
          <t>put</t>
        </is>
      </c>
      <c r="G2" s="27">
        <f t="array" ref="G2">_xll.OPTION.BLACK.PUT(f, sigma*SQRT(t), k)</f>
        <v/>
      </c>
      <c r="I2" s="28">
        <f t="array" ref="I2">_xll.OPTION.BLACK.PUT_DELTA(f, sigma*SQRT(t), k)</f>
        <v/>
      </c>
      <c r="J2" s="28">
        <f t="array" ref="J2">_xll.OPTION.BLACK.PUT(f+0.01, sigma*SQRT(t), k)</f>
        <v/>
      </c>
      <c r="K2" s="28">
        <f t="array" ref="K2">_xll.OPTION.BLACK.PUT(f-0.01, sigma*SQRT(t), k)</f>
        <v/>
      </c>
      <c r="L2" s="28">
        <f>(J2-K2)/0.02</f>
        <v/>
      </c>
      <c r="M2" s="9">
        <f>I2-L2</f>
        <v/>
      </c>
    </row>
    <row r="3">
      <c r="B3" s="3" t="inlineStr">
        <is>
          <t>f</t>
        </is>
      </c>
      <c r="C3" t="n">
        <v>100</v>
      </c>
      <c r="F3" s="3" t="inlineStr">
        <is>
          <t>last</t>
        </is>
      </c>
      <c r="G3" s="27">
        <f t="array" ref="G3">_xlfn.TAKE(S_,-1)</f>
        <v/>
      </c>
      <c r="N3" s="6" t="n">
        <v>1</v>
      </c>
      <c r="O3" s="6">
        <f t="array" ref="O3:O5">ad(N3:N5)</f>
        <v/>
      </c>
      <c r="P3" s="6">
        <f t="array" ref="P3:P5">_xlfn.SCAN(0,_xlfn.ANCHORARRAY(O3),_xlfn.LAMBDA(_xlpm.a,_xlpm.b,_xlpm.a+_xlpm.b))</f>
        <v/>
      </c>
    </row>
    <row r="4">
      <c r="B4" s="3" t="inlineStr">
        <is>
          <t>sigma</t>
        </is>
      </c>
      <c r="C4" t="n">
        <v>0.2</v>
      </c>
      <c r="F4" s="3" t="inlineStr">
        <is>
          <t>payoff</t>
        </is>
      </c>
      <c r="G4" s="29">
        <f>MAX(k - last,0)</f>
        <v/>
      </c>
      <c r="H4" s="29">
        <f t="array" ref="H4:I4">_xll.MONTE.STDEV(G4)</f>
        <v/>
      </c>
      <c r="I4" s="29">
        <f/>
        <v/>
      </c>
      <c r="M4" t="n">
        <v>0.001</v>
      </c>
      <c r="N4" s="6" t="n">
        <v>2</v>
      </c>
      <c r="O4" s="6" t="n">
        <v>1</v>
      </c>
      <c r="P4" s="6" t="n">
        <v>2</v>
      </c>
    </row>
    <row r="5">
      <c r="B5" s="3" t="inlineStr">
        <is>
          <t>t</t>
        </is>
      </c>
      <c r="C5" t="n">
        <v>0.25</v>
      </c>
      <c r="F5" s="3" t="inlineStr">
        <is>
          <t>hedge</t>
        </is>
      </c>
      <c r="G5" s="29">
        <f t="array" ref="G5">_xlfn.TAKE(A,-1)</f>
        <v/>
      </c>
      <c r="H5" s="29" t="n"/>
      <c r="I5" s="29" t="n"/>
      <c r="M5" t="n">
        <v>0.01</v>
      </c>
      <c r="N5" s="6" t="n">
        <v>3</v>
      </c>
      <c r="O5" s="6" t="n">
        <v>1</v>
      </c>
      <c r="P5" s="6" t="n">
        <v>3</v>
      </c>
    </row>
    <row r="6">
      <c r="B6" s="3" t="inlineStr">
        <is>
          <t>dt</t>
        </is>
      </c>
      <c r="C6" t="n">
        <v>0.01</v>
      </c>
      <c r="F6" s="3" t="inlineStr">
        <is>
          <t>error</t>
        </is>
      </c>
      <c r="G6" s="29">
        <f>payoff-hedge</f>
        <v/>
      </c>
      <c r="H6" s="27">
        <f t="array" ref="H6:I6">_xll.MONTE.STDEV(error)</f>
        <v/>
      </c>
      <c r="I6" s="30">
        <f/>
        <v/>
      </c>
      <c r="J6" s="31">
        <f>I6/put</f>
        <v/>
      </c>
      <c r="K6" s="14" t="inlineStr">
        <is>
          <t>accuracy</t>
        </is>
      </c>
      <c r="M6" t="n">
        <v>0.1</v>
      </c>
    </row>
    <row r="7">
      <c r="B7" s="3" t="inlineStr">
        <is>
          <t>k</t>
        </is>
      </c>
      <c r="C7" t="n">
        <v>100</v>
      </c>
    </row>
    <row r="8" ht="18.5" customHeight="1">
      <c r="D8" s="20" t="inlineStr">
        <is>
          <t>X</t>
        </is>
      </c>
      <c r="E8" s="32" t="n"/>
      <c r="F8" s="21" t="inlineStr">
        <is>
          <t>Γ</t>
        </is>
      </c>
      <c r="G8" s="32" t="n"/>
      <c r="H8" s="21" t="inlineStr">
        <is>
          <t>Δ+Γ</t>
        </is>
      </c>
      <c r="I8" s="32" t="n"/>
      <c r="J8" s="23" t="inlineStr">
        <is>
          <t>(Δ+Γ).X</t>
        </is>
      </c>
      <c r="K8" s="2" t="inlineStr">
        <is>
          <t>-Γ.X</t>
        </is>
      </c>
      <c r="P8" t="inlineStr">
        <is>
          <t>dt</t>
        </is>
      </c>
      <c r="Q8" t="inlineStr">
        <is>
          <t>accuracy</t>
        </is>
      </c>
    </row>
    <row r="9">
      <c r="B9" s="20" t="inlineStr">
        <is>
          <t>t_</t>
        </is>
      </c>
      <c r="C9" s="20" t="inlineStr">
        <is>
          <t>B_</t>
        </is>
      </c>
      <c r="D9" s="20" t="inlineStr">
        <is>
          <t>R_</t>
        </is>
      </c>
      <c r="E9" s="20" t="inlineStr">
        <is>
          <t>S_</t>
        </is>
      </c>
      <c r="F9" s="20" t="inlineStr">
        <is>
          <t>M</t>
        </is>
      </c>
      <c r="G9" s="20" t="inlineStr">
        <is>
          <t>N</t>
        </is>
      </c>
      <c r="H9" s="20" t="inlineStr">
        <is>
          <t>_M</t>
        </is>
      </c>
      <c r="I9" s="20" t="inlineStr">
        <is>
          <t>_N</t>
        </is>
      </c>
      <c r="J9" s="20" t="inlineStr">
        <is>
          <t>V</t>
        </is>
      </c>
      <c r="K9" s="20" t="inlineStr">
        <is>
          <t>A</t>
        </is>
      </c>
      <c r="L9" s="22" t="inlineStr">
        <is>
          <t>intrinsic</t>
        </is>
      </c>
      <c r="P9">
        <f t="array" ref="P9:P18">_xlfn.SEQUENCE(10, 1, 0.001, 0.001)</f>
        <v/>
      </c>
      <c r="Q9" s="33" t="n">
        <v>3.056</v>
      </c>
    </row>
    <row r="10">
      <c r="B10">
        <f t="array" ref="B10:B35">_xll.ARRAY.SEQUENCE(0, t, dt)</f>
        <v/>
      </c>
      <c r="C10">
        <f t="array" ref="C10:C35">_xll.RANDOM.BROWNIAN(t_)</f>
        <v/>
      </c>
      <c r="D10">
        <f t="array" ref="D10:D35">1+0*B_</f>
        <v/>
      </c>
      <c r="E10">
        <f t="array" ref="E10:E35">f*EXP(sigma*B_+(mu-sigma*sigma/2)*t_)</f>
        <v/>
      </c>
      <c r="F10" s="29">
        <f t="array" ref="F10">co(put*(t_ = 0) - _N*S_/R_)</f>
        <v/>
      </c>
      <c r="G10" s="27">
        <f t="array" ref="G10:G35">co(ad(_N))</f>
        <v/>
      </c>
      <c r="H10" s="29">
        <f t="array" ref="H10:H35">_xlfn.SCAN(0,M,_xlfn.LAMBDA(_xlpm.a,_xlpm.b,_xlpm.a+_xlpm.b))</f>
        <v/>
      </c>
      <c r="I10" s="27">
        <f t="array" ref="I10:I35">_xlfn.VSTACK(_xlfn.DROP(_xlfn.MAP(t_,S_,_xlfn.LAMBDA(_xlpm._t,_xlpm._S,1*(_xlpm._S&lt;k))),-1),0)</f>
        <v/>
      </c>
      <c r="J10" s="27">
        <f t="array" ref="J10:J35">_M * R_ + _N * S_</f>
        <v/>
      </c>
      <c r="K10">
        <f t="array" ref="K10:K35">-M * R_ - N * S_</f>
        <v/>
      </c>
      <c r="L10">
        <f t="array" ref="L10:L35">_xlfn.MAP(S_,_xlfn.LAMBDA(_xlpm.s,MAX(k-_xlpm.s,0)))</f>
        <v/>
      </c>
      <c r="M10" s="19">
        <f>put - G10*E10</f>
        <v/>
      </c>
      <c r="N10" s="19">
        <f>F10-M10</f>
        <v/>
      </c>
      <c r="P10" t="n">
        <v>0.002</v>
      </c>
      <c r="Q10" s="33" t="n">
        <v>2.969</v>
      </c>
    </row>
    <row r="11">
      <c r="B11" t="n">
        <v>0.01</v>
      </c>
      <c r="C11">
        <f/>
        <v/>
      </c>
      <c r="D11">
        <f/>
        <v/>
      </c>
      <c r="E11" s="11">
        <f/>
        <v/>
      </c>
      <c r="F11" s="29">
        <f/>
        <v/>
      </c>
      <c r="G11" s="27">
        <f/>
        <v/>
      </c>
      <c r="H11" s="29">
        <f/>
        <v/>
      </c>
      <c r="I11" s="27">
        <f/>
        <v/>
      </c>
      <c r="J11" s="27">
        <f/>
        <v/>
      </c>
      <c r="K11">
        <f/>
        <v/>
      </c>
      <c r="L11">
        <f/>
        <v/>
      </c>
      <c r="M11" s="19">
        <f> - G11*E11</f>
        <v/>
      </c>
      <c r="N11" s="19">
        <f>F11-M11</f>
        <v/>
      </c>
      <c r="P11" t="n">
        <v>0.003</v>
      </c>
      <c r="Q11" s="33" t="n">
        <v>2.96</v>
      </c>
    </row>
    <row r="12">
      <c r="B12" t="n">
        <v>0.02</v>
      </c>
      <c r="C12">
        <f/>
        <v/>
      </c>
      <c r="D12">
        <f/>
        <v/>
      </c>
      <c r="E12" s="11">
        <f/>
        <v/>
      </c>
      <c r="F12" s="29">
        <f/>
        <v/>
      </c>
      <c r="G12" s="27">
        <f/>
        <v/>
      </c>
      <c r="H12" s="29">
        <f/>
        <v/>
      </c>
      <c r="I12" s="27">
        <f/>
        <v/>
      </c>
      <c r="J12" s="27">
        <f/>
        <v/>
      </c>
      <c r="K12">
        <f/>
        <v/>
      </c>
      <c r="L12">
        <f/>
        <v/>
      </c>
      <c r="P12" s="3" t="n">
        <v>0.004</v>
      </c>
      <c r="Q12" s="33" t="n">
        <v>3.18</v>
      </c>
    </row>
    <row r="13">
      <c r="B13" t="n">
        <v>0.03</v>
      </c>
      <c r="C13">
        <f/>
        <v/>
      </c>
      <c r="D13">
        <f/>
        <v/>
      </c>
      <c r="E13" s="11">
        <f/>
        <v/>
      </c>
      <c r="F13" s="29">
        <f/>
        <v/>
      </c>
      <c r="G13" s="27">
        <f/>
        <v/>
      </c>
      <c r="H13" s="29">
        <f/>
        <v/>
      </c>
      <c r="I13" s="27">
        <f/>
        <v/>
      </c>
      <c r="J13" s="27">
        <f/>
        <v/>
      </c>
      <c r="K13">
        <f/>
        <v/>
      </c>
      <c r="L13">
        <f/>
        <v/>
      </c>
      <c r="P13" t="n">
        <v>0.005</v>
      </c>
      <c r="Q13" s="33" t="n">
        <v>2.87</v>
      </c>
    </row>
    <row r="14">
      <c r="B14" t="n">
        <v>0.04</v>
      </c>
      <c r="C14">
        <f/>
        <v/>
      </c>
      <c r="D14">
        <f/>
        <v/>
      </c>
      <c r="E14" s="11">
        <f/>
        <v/>
      </c>
      <c r="F14" s="29">
        <f/>
        <v/>
      </c>
      <c r="G14" s="27">
        <f/>
        <v/>
      </c>
      <c r="H14" s="29">
        <f/>
        <v/>
      </c>
      <c r="I14" s="27">
        <f/>
        <v/>
      </c>
      <c r="J14" s="27">
        <f/>
        <v/>
      </c>
      <c r="K14">
        <f/>
        <v/>
      </c>
      <c r="L14">
        <f/>
        <v/>
      </c>
      <c r="M14" s="19">
        <f>f*EXP(sigma*C14-sigma^2*B14/2)</f>
        <v/>
      </c>
      <c r="N14" s="19">
        <f>E14-M14</f>
        <v/>
      </c>
      <c r="P14" t="n">
        <v>0.006</v>
      </c>
      <c r="Q14" s="33" t="n">
        <v>3.132</v>
      </c>
    </row>
    <row r="15">
      <c r="B15" t="n">
        <v>0.05</v>
      </c>
      <c r="C15">
        <f/>
        <v/>
      </c>
      <c r="D15">
        <f/>
        <v/>
      </c>
      <c r="E15" s="11">
        <f/>
        <v/>
      </c>
      <c r="F15" s="29">
        <f/>
        <v/>
      </c>
      <c r="G15" s="27">
        <f/>
        <v/>
      </c>
      <c r="H15" s="29">
        <f/>
        <v/>
      </c>
      <c r="I15" s="27">
        <f/>
        <v/>
      </c>
      <c r="J15" s="27">
        <f/>
        <v/>
      </c>
      <c r="K15">
        <f/>
        <v/>
      </c>
      <c r="L15">
        <f/>
        <v/>
      </c>
      <c r="P15" t="n">
        <v>0.007</v>
      </c>
      <c r="Q15" s="33" t="n">
        <v>2.92</v>
      </c>
    </row>
    <row r="16">
      <c r="B16" t="n">
        <v>0.06</v>
      </c>
      <c r="C16">
        <f/>
        <v/>
      </c>
      <c r="D16">
        <f/>
        <v/>
      </c>
      <c r="E16" s="11">
        <f/>
        <v/>
      </c>
      <c r="F16" s="29">
        <f/>
        <v/>
      </c>
      <c r="G16" s="27">
        <f/>
        <v/>
      </c>
      <c r="H16" s="29">
        <f/>
        <v/>
      </c>
      <c r="I16" s="27">
        <f/>
        <v/>
      </c>
      <c r="J16" s="27">
        <f/>
        <v/>
      </c>
      <c r="K16">
        <f/>
        <v/>
      </c>
      <c r="L16">
        <f/>
        <v/>
      </c>
      <c r="M16" s="19">
        <f t="array" ref="M16">_xll.OPTION.BLACK.PUT_DELTA(E16,sigma*SQRT(t - B16),k)</f>
        <v/>
      </c>
      <c r="N16" s="19">
        <f>I16-M16</f>
        <v/>
      </c>
      <c r="P16" t="n">
        <v>0.008</v>
      </c>
      <c r="Q16" s="33" t="n">
        <v>3.132</v>
      </c>
    </row>
    <row r="17">
      <c r="B17" t="n">
        <v>0.07000000000000001</v>
      </c>
      <c r="C17">
        <f/>
        <v/>
      </c>
      <c r="D17">
        <f/>
        <v/>
      </c>
      <c r="E17" s="11">
        <f/>
        <v/>
      </c>
      <c r="F17" s="29">
        <f/>
        <v/>
      </c>
      <c r="G17" s="27">
        <f/>
        <v/>
      </c>
      <c r="H17" s="29">
        <f/>
        <v/>
      </c>
      <c r="I17" s="27">
        <f/>
        <v/>
      </c>
      <c r="J17" s="27">
        <f/>
        <v/>
      </c>
      <c r="K17">
        <f/>
        <v/>
      </c>
      <c r="L17">
        <f/>
        <v/>
      </c>
      <c r="P17" t="n">
        <v>0.009000000000000001</v>
      </c>
      <c r="Q17" s="33" t="n">
        <v>2.905</v>
      </c>
    </row>
    <row r="18">
      <c r="B18" t="n">
        <v>0.08</v>
      </c>
      <c r="C18">
        <f/>
        <v/>
      </c>
      <c r="D18">
        <f/>
        <v/>
      </c>
      <c r="E18" s="11">
        <f/>
        <v/>
      </c>
      <c r="F18" s="29">
        <f/>
        <v/>
      </c>
      <c r="G18" s="27">
        <f/>
        <v/>
      </c>
      <c r="H18" s="29">
        <f/>
        <v/>
      </c>
      <c r="I18" s="27">
        <f/>
        <v/>
      </c>
      <c r="J18" s="27">
        <f/>
        <v/>
      </c>
      <c r="K18">
        <f/>
        <v/>
      </c>
      <c r="L18">
        <f/>
        <v/>
      </c>
      <c r="P18" t="n">
        <v>0.01</v>
      </c>
      <c r="Q18" s="33" t="n">
        <v>2.965</v>
      </c>
    </row>
    <row r="19">
      <c r="B19" t="n">
        <v>0.09</v>
      </c>
      <c r="C19">
        <f/>
        <v/>
      </c>
      <c r="D19">
        <f/>
        <v/>
      </c>
      <c r="E19" s="11">
        <f/>
        <v/>
      </c>
      <c r="F19" s="29">
        <f/>
        <v/>
      </c>
      <c r="G19" s="27">
        <f/>
        <v/>
      </c>
      <c r="H19" s="29">
        <f/>
        <v/>
      </c>
      <c r="I19" s="27">
        <f/>
        <v/>
      </c>
      <c r="J19" s="27">
        <f/>
        <v/>
      </c>
      <c r="K19">
        <f/>
        <v/>
      </c>
      <c r="L19">
        <f/>
        <v/>
      </c>
    </row>
    <row r="20">
      <c r="B20" t="n">
        <v>0.1</v>
      </c>
      <c r="C20">
        <f/>
        <v/>
      </c>
      <c r="D20">
        <f/>
        <v/>
      </c>
      <c r="E20" s="11">
        <f/>
        <v/>
      </c>
      <c r="F20" s="29">
        <f/>
        <v/>
      </c>
      <c r="G20" s="27">
        <f/>
        <v/>
      </c>
      <c r="H20" s="29">
        <f/>
        <v/>
      </c>
      <c r="I20" s="27">
        <f/>
        <v/>
      </c>
      <c r="J20" s="27">
        <f/>
        <v/>
      </c>
      <c r="K20">
        <f/>
        <v/>
      </c>
      <c r="L20">
        <f/>
        <v/>
      </c>
      <c r="M20" s="6">
        <f t="array" ref="M20:M21">_xll.MONTE.STDEV(C20)</f>
        <v/>
      </c>
      <c r="N20" s="6" t="n">
        <v>0</v>
      </c>
      <c r="O20" s="6">
        <f t="array" ref="O20:O21">_xll.MONTE.STDEV(E20)</f>
        <v/>
      </c>
      <c r="P20" s="6">
        <f>f*EXP(mu*B20)</f>
        <v/>
      </c>
    </row>
    <row r="21">
      <c r="B21" t="n">
        <v>0.11</v>
      </c>
      <c r="C21">
        <f/>
        <v/>
      </c>
      <c r="D21">
        <f/>
        <v/>
      </c>
      <c r="E21" s="11">
        <f/>
        <v/>
      </c>
      <c r="F21" s="29">
        <f/>
        <v/>
      </c>
      <c r="G21" s="27">
        <f/>
        <v/>
      </c>
      <c r="H21" s="29">
        <f/>
        <v/>
      </c>
      <c r="I21" s="27">
        <f/>
        <v/>
      </c>
      <c r="J21" s="27">
        <f/>
        <v/>
      </c>
      <c r="K21">
        <f/>
        <v/>
      </c>
      <c r="L21">
        <f/>
        <v/>
      </c>
      <c r="M21" s="6">
        <f/>
        <v/>
      </c>
      <c r="N21" s="6">
        <f>SQRT(B20)</f>
        <v/>
      </c>
      <c r="O21" s="6">
        <f/>
        <v/>
      </c>
      <c r="P21" s="6" t="n"/>
    </row>
    <row r="22">
      <c r="B22" t="n">
        <v>0.12</v>
      </c>
      <c r="C22">
        <f/>
        <v/>
      </c>
      <c r="D22">
        <f/>
        <v/>
      </c>
      <c r="E22" s="11">
        <f/>
        <v/>
      </c>
      <c r="F22" s="29">
        <f/>
        <v/>
      </c>
      <c r="G22" s="27">
        <f/>
        <v/>
      </c>
      <c r="H22" s="29">
        <f/>
        <v/>
      </c>
      <c r="I22" s="27">
        <f/>
        <v/>
      </c>
      <c r="J22" s="27">
        <f/>
        <v/>
      </c>
      <c r="K22">
        <f/>
        <v/>
      </c>
      <c r="L22">
        <f/>
        <v/>
      </c>
    </row>
    <row r="23">
      <c r="B23" t="n">
        <v>0.13</v>
      </c>
      <c r="C23">
        <f/>
        <v/>
      </c>
      <c r="D23">
        <f/>
        <v/>
      </c>
      <c r="E23" s="11">
        <f/>
        <v/>
      </c>
      <c r="F23" s="29">
        <f/>
        <v/>
      </c>
      <c r="G23" s="27">
        <f/>
        <v/>
      </c>
      <c r="H23" s="29">
        <f/>
        <v/>
      </c>
      <c r="I23" s="27">
        <f/>
        <v/>
      </c>
      <c r="J23" s="27">
        <f/>
        <v/>
      </c>
      <c r="K23">
        <f/>
        <v/>
      </c>
      <c r="L23">
        <f/>
        <v/>
      </c>
    </row>
    <row r="24">
      <c r="B24" t="n">
        <v>0.14</v>
      </c>
      <c r="C24">
        <f/>
        <v/>
      </c>
      <c r="D24">
        <f/>
        <v/>
      </c>
      <c r="E24" s="11">
        <f/>
        <v/>
      </c>
      <c r="F24" s="29">
        <f/>
        <v/>
      </c>
      <c r="G24" s="27">
        <f/>
        <v/>
      </c>
      <c r="H24" s="29">
        <f/>
        <v/>
      </c>
      <c r="I24" s="27">
        <f/>
        <v/>
      </c>
      <c r="J24" s="27">
        <f/>
        <v/>
      </c>
      <c r="K24">
        <f/>
        <v/>
      </c>
      <c r="L24">
        <f/>
        <v/>
      </c>
    </row>
    <row r="25">
      <c r="B25" t="n">
        <v>0.15</v>
      </c>
      <c r="C25">
        <f/>
        <v/>
      </c>
      <c r="D25">
        <f/>
        <v/>
      </c>
      <c r="E25" s="11">
        <f/>
        <v/>
      </c>
      <c r="F25" s="29">
        <f/>
        <v/>
      </c>
      <c r="G25" s="27">
        <f/>
        <v/>
      </c>
      <c r="H25" s="29">
        <f/>
        <v/>
      </c>
      <c r="I25" s="27">
        <f/>
        <v/>
      </c>
      <c r="J25" s="27">
        <f/>
        <v/>
      </c>
      <c r="K25">
        <f/>
        <v/>
      </c>
      <c r="L25">
        <f/>
        <v/>
      </c>
    </row>
    <row r="26">
      <c r="B26" t="n">
        <v>0.16</v>
      </c>
      <c r="C26">
        <f/>
        <v/>
      </c>
      <c r="D26">
        <f/>
        <v/>
      </c>
      <c r="E26" s="11">
        <f/>
        <v/>
      </c>
      <c r="F26" s="29">
        <f/>
        <v/>
      </c>
      <c r="G26" s="27">
        <f/>
        <v/>
      </c>
      <c r="H26" s="29">
        <f/>
        <v/>
      </c>
      <c r="I26" s="27">
        <f/>
        <v/>
      </c>
      <c r="J26" s="27">
        <f/>
        <v/>
      </c>
      <c r="K26">
        <f/>
        <v/>
      </c>
      <c r="L26">
        <f/>
        <v/>
      </c>
    </row>
    <row r="27">
      <c r="B27" t="n">
        <v>0.17</v>
      </c>
      <c r="C27">
        <f/>
        <v/>
      </c>
      <c r="D27">
        <f/>
        <v/>
      </c>
      <c r="E27" s="11">
        <f/>
        <v/>
      </c>
      <c r="F27" s="29">
        <f/>
        <v/>
      </c>
      <c r="G27" s="27">
        <f/>
        <v/>
      </c>
      <c r="H27" s="29">
        <f/>
        <v/>
      </c>
      <c r="I27" s="27">
        <f/>
        <v/>
      </c>
      <c r="J27" s="27">
        <f/>
        <v/>
      </c>
      <c r="K27">
        <f/>
        <v/>
      </c>
      <c r="L27">
        <f/>
        <v/>
      </c>
    </row>
    <row r="28">
      <c r="B28" t="n">
        <v>0.18</v>
      </c>
      <c r="C28">
        <f/>
        <v/>
      </c>
      <c r="D28">
        <f/>
        <v/>
      </c>
      <c r="E28" s="11">
        <f/>
        <v/>
      </c>
      <c r="F28" s="29">
        <f/>
        <v/>
      </c>
      <c r="G28" s="27">
        <f/>
        <v/>
      </c>
      <c r="H28" s="29">
        <f/>
        <v/>
      </c>
      <c r="I28" s="27">
        <f/>
        <v/>
      </c>
      <c r="J28" s="27">
        <f/>
        <v/>
      </c>
      <c r="K28">
        <f/>
        <v/>
      </c>
      <c r="L28">
        <f/>
        <v/>
      </c>
    </row>
    <row r="29">
      <c r="B29" t="n">
        <v>0.19</v>
      </c>
      <c r="C29">
        <f/>
        <v/>
      </c>
      <c r="D29">
        <f/>
        <v/>
      </c>
      <c r="E29" s="11">
        <f/>
        <v/>
      </c>
      <c r="F29" s="29">
        <f/>
        <v/>
      </c>
      <c r="G29" s="27">
        <f/>
        <v/>
      </c>
      <c r="H29" s="29">
        <f/>
        <v/>
      </c>
      <c r="I29" s="27">
        <f/>
        <v/>
      </c>
      <c r="J29" s="27">
        <f/>
        <v/>
      </c>
      <c r="K29">
        <f/>
        <v/>
      </c>
      <c r="L29">
        <f/>
        <v/>
      </c>
    </row>
    <row r="30">
      <c r="B30" t="n">
        <v>0.2</v>
      </c>
      <c r="C30">
        <f/>
        <v/>
      </c>
      <c r="D30">
        <f/>
        <v/>
      </c>
      <c r="E30" s="11">
        <f/>
        <v/>
      </c>
      <c r="F30" s="29">
        <f/>
        <v/>
      </c>
      <c r="G30" s="27">
        <f/>
        <v/>
      </c>
      <c r="H30" s="29">
        <f/>
        <v/>
      </c>
      <c r="I30" s="27">
        <f/>
        <v/>
      </c>
      <c r="J30" s="27">
        <f/>
        <v/>
      </c>
      <c r="K30">
        <f/>
        <v/>
      </c>
      <c r="L30">
        <f/>
        <v/>
      </c>
    </row>
    <row r="31">
      <c r="B31" t="n">
        <v>0.21</v>
      </c>
      <c r="C31">
        <f/>
        <v/>
      </c>
      <c r="D31">
        <f/>
        <v/>
      </c>
      <c r="E31" s="11">
        <f/>
        <v/>
      </c>
      <c r="F31" s="29">
        <f/>
        <v/>
      </c>
      <c r="G31" s="27">
        <f/>
        <v/>
      </c>
      <c r="H31" s="29">
        <f/>
        <v/>
      </c>
      <c r="I31" s="27">
        <f/>
        <v/>
      </c>
      <c r="J31" s="27">
        <f/>
        <v/>
      </c>
      <c r="K31">
        <f/>
        <v/>
      </c>
      <c r="L31">
        <f/>
        <v/>
      </c>
    </row>
    <row r="32">
      <c r="B32" t="n">
        <v>0.22</v>
      </c>
      <c r="C32">
        <f/>
        <v/>
      </c>
      <c r="D32">
        <f/>
        <v/>
      </c>
      <c r="E32" s="11">
        <f/>
        <v/>
      </c>
      <c r="F32" s="29">
        <f/>
        <v/>
      </c>
      <c r="G32" s="27">
        <f/>
        <v/>
      </c>
      <c r="H32" s="29">
        <f/>
        <v/>
      </c>
      <c r="I32" s="27">
        <f/>
        <v/>
      </c>
      <c r="J32" s="27">
        <f/>
        <v/>
      </c>
      <c r="K32">
        <f/>
        <v/>
      </c>
      <c r="L32">
        <f/>
        <v/>
      </c>
    </row>
    <row r="33">
      <c r="B33" t="n">
        <v>0.23</v>
      </c>
      <c r="C33">
        <f/>
        <v/>
      </c>
      <c r="D33">
        <f/>
        <v/>
      </c>
      <c r="E33" s="11">
        <f/>
        <v/>
      </c>
      <c r="F33" s="29">
        <f/>
        <v/>
      </c>
      <c r="G33" s="27">
        <f/>
        <v/>
      </c>
      <c r="H33" s="29">
        <f/>
        <v/>
      </c>
      <c r="I33" s="27">
        <f/>
        <v/>
      </c>
      <c r="J33" s="27">
        <f/>
        <v/>
      </c>
      <c r="K33">
        <f/>
        <v/>
      </c>
      <c r="L33">
        <f/>
        <v/>
      </c>
    </row>
    <row r="34">
      <c r="B34" t="n">
        <v>0.24</v>
      </c>
      <c r="C34">
        <f/>
        <v/>
      </c>
      <c r="D34">
        <f/>
        <v/>
      </c>
      <c r="E34" s="11">
        <f/>
        <v/>
      </c>
      <c r="F34" s="29">
        <f/>
        <v/>
      </c>
      <c r="G34" s="27">
        <f/>
        <v/>
      </c>
      <c r="H34" s="29">
        <f/>
        <v/>
      </c>
      <c r="I34" s="27">
        <f/>
        <v/>
      </c>
      <c r="J34" s="27">
        <f/>
        <v/>
      </c>
      <c r="K34">
        <f/>
        <v/>
      </c>
      <c r="L34">
        <f/>
        <v/>
      </c>
    </row>
    <row r="35">
      <c r="B35" t="n">
        <v>0.25</v>
      </c>
      <c r="C35">
        <f/>
        <v/>
      </c>
      <c r="D35">
        <f/>
        <v/>
      </c>
      <c r="E35" s="11">
        <f/>
        <v/>
      </c>
      <c r="F35" s="29">
        <f/>
        <v/>
      </c>
      <c r="G35" s="27">
        <f/>
        <v/>
      </c>
      <c r="H35" s="29">
        <f/>
        <v/>
      </c>
      <c r="I35" s="27">
        <f/>
        <v/>
      </c>
      <c r="J35" s="27">
        <f/>
        <v/>
      </c>
      <c r="K35">
        <f/>
        <v/>
      </c>
      <c r="L35">
        <f/>
        <v/>
      </c>
    </row>
    <row r="36">
      <c r="E36" s="11" t="n"/>
      <c r="F36" s="29" t="n"/>
      <c r="G36" s="27" t="n"/>
      <c r="H36" s="29" t="n"/>
      <c r="I36" s="27" t="n"/>
      <c r="J36" s="27" t="n"/>
    </row>
    <row r="37">
      <c r="E37" s="11" t="n"/>
      <c r="F37" s="29" t="n"/>
      <c r="G37" s="27" t="n"/>
      <c r="H37" s="29" t="n"/>
      <c r="I37" s="27" t="n"/>
      <c r="J37" s="27" t="n"/>
    </row>
    <row r="38">
      <c r="E38" s="11" t="n"/>
      <c r="F38" s="29" t="n"/>
      <c r="G38" s="27" t="n"/>
      <c r="H38" s="29" t="n"/>
      <c r="I38" s="27" t="n"/>
      <c r="J38" s="27" t="n"/>
    </row>
    <row r="39">
      <c r="E39" s="11" t="n"/>
      <c r="F39" s="29" t="n"/>
      <c r="G39" s="27" t="n"/>
      <c r="H39" s="29" t="n"/>
      <c r="I39" s="27" t="n"/>
      <c r="J39" s="27" t="n"/>
    </row>
    <row r="40">
      <c r="E40" s="11" t="n"/>
      <c r="F40" s="29" t="n"/>
      <c r="G40" s="27" t="n"/>
      <c r="H40" s="29" t="n"/>
      <c r="I40" s="27" t="n"/>
      <c r="J40" s="27" t="n"/>
    </row>
    <row r="41">
      <c r="E41" s="11" t="n"/>
      <c r="F41" s="29" t="n"/>
      <c r="G41" s="27" t="n"/>
      <c r="H41" s="29" t="n"/>
      <c r="I41" s="27" t="n"/>
      <c r="J41" s="27" t="n"/>
    </row>
    <row r="42">
      <c r="E42" s="11" t="n"/>
      <c r="F42" s="29" t="n"/>
      <c r="G42" s="27" t="n"/>
      <c r="H42" s="29" t="n"/>
      <c r="I42" s="27" t="n"/>
      <c r="J42" s="27" t="n"/>
    </row>
    <row r="43">
      <c r="E43" s="11" t="n"/>
      <c r="F43" s="29" t="n"/>
      <c r="G43" s="27" t="n"/>
      <c r="H43" s="29" t="n"/>
      <c r="I43" s="27" t="n"/>
      <c r="J43" s="27" t="n"/>
    </row>
    <row r="44">
      <c r="E44" s="11" t="n"/>
      <c r="F44" s="29" t="n"/>
      <c r="G44" s="27" t="n"/>
      <c r="H44" s="29" t="n"/>
      <c r="I44" s="27" t="n"/>
      <c r="J44" s="27" t="n"/>
    </row>
    <row r="45">
      <c r="E45" s="11" t="n"/>
      <c r="F45" s="29" t="n"/>
      <c r="G45" s="27" t="n"/>
      <c r="H45" s="29" t="n"/>
      <c r="I45" s="27" t="n"/>
      <c r="J45" s="27" t="n"/>
    </row>
    <row r="46">
      <c r="E46" s="11" t="n"/>
      <c r="F46" s="29" t="n"/>
      <c r="G46" s="27" t="n"/>
      <c r="H46" s="29" t="n"/>
      <c r="I46" s="27" t="n"/>
      <c r="J46" s="27" t="n"/>
    </row>
    <row r="47">
      <c r="E47" s="11" t="n"/>
      <c r="F47" s="29" t="n"/>
      <c r="G47" s="27" t="n"/>
      <c r="H47" s="29" t="n"/>
      <c r="I47" s="27" t="n"/>
      <c r="J47" s="27" t="n"/>
    </row>
    <row r="48">
      <c r="E48" s="11" t="n"/>
      <c r="F48" s="29" t="n"/>
      <c r="G48" s="27" t="n"/>
      <c r="H48" s="29" t="n"/>
      <c r="I48" s="27" t="n"/>
      <c r="J48" s="27" t="n"/>
    </row>
    <row r="49">
      <c r="E49" s="11" t="n"/>
      <c r="F49" s="29" t="n"/>
      <c r="G49" s="27" t="n"/>
      <c r="H49" s="29" t="n"/>
      <c r="I49" s="27" t="n"/>
      <c r="J49" s="27" t="n"/>
    </row>
    <row r="50">
      <c r="E50" s="11" t="n"/>
      <c r="F50" s="29" t="n"/>
      <c r="G50" s="27" t="n"/>
      <c r="H50" s="29" t="n"/>
      <c r="I50" s="27" t="n"/>
      <c r="J50" s="27" t="n"/>
    </row>
    <row r="51">
      <c r="E51" s="11" t="n"/>
      <c r="F51" s="29" t="n"/>
      <c r="G51" s="27" t="n"/>
      <c r="H51" s="29" t="n"/>
      <c r="I51" s="27" t="n"/>
      <c r="J51" s="27" t="n"/>
    </row>
    <row r="52">
      <c r="E52" s="11" t="n"/>
      <c r="F52" s="29" t="n"/>
      <c r="G52" s="27" t="n"/>
      <c r="H52" s="29" t="n"/>
      <c r="I52" s="27" t="n"/>
      <c r="J52" s="27" t="n"/>
    </row>
    <row r="53">
      <c r="E53" s="11" t="n"/>
      <c r="F53" s="29" t="n"/>
      <c r="G53" s="27" t="n"/>
      <c r="H53" s="29" t="n"/>
      <c r="I53" s="27" t="n"/>
      <c r="J53" s="27" t="n"/>
    </row>
    <row r="54">
      <c r="E54" s="11" t="n"/>
      <c r="F54" s="29" t="n"/>
      <c r="G54" s="27" t="n"/>
      <c r="H54" s="29" t="n"/>
      <c r="I54" s="27" t="n"/>
      <c r="J54" s="27" t="n"/>
    </row>
    <row r="55">
      <c r="E55" s="11" t="n"/>
      <c r="F55" s="29" t="n"/>
      <c r="G55" s="27" t="n"/>
      <c r="H55" s="29" t="n"/>
      <c r="I55" s="27" t="n"/>
      <c r="J55" s="27" t="n"/>
    </row>
    <row r="56">
      <c r="E56" s="11" t="n"/>
      <c r="F56" s="29" t="n"/>
      <c r="G56" s="27" t="n"/>
      <c r="H56" s="29" t="n"/>
      <c r="I56" s="27" t="n"/>
      <c r="J56" s="27" t="n"/>
    </row>
    <row r="57">
      <c r="E57" s="11" t="n"/>
      <c r="F57" s="29" t="n"/>
      <c r="G57" s="27" t="n"/>
      <c r="H57" s="29" t="n"/>
      <c r="I57" s="27" t="n"/>
      <c r="J57" s="27" t="n"/>
    </row>
    <row r="58">
      <c r="E58" s="11" t="n"/>
      <c r="F58" s="29" t="n"/>
      <c r="G58" s="27" t="n"/>
      <c r="H58" s="29" t="n"/>
      <c r="I58" s="27" t="n"/>
      <c r="J58" s="27" t="n"/>
    </row>
    <row r="59">
      <c r="E59" s="11" t="n"/>
      <c r="F59" s="29" t="n"/>
      <c r="G59" s="27" t="n"/>
      <c r="H59" s="29" t="n"/>
      <c r="I59" s="27" t="n"/>
      <c r="J59" s="27" t="n"/>
    </row>
    <row r="60">
      <c r="E60" s="11" t="n"/>
      <c r="F60" s="29" t="n"/>
      <c r="G60" s="27" t="n"/>
      <c r="H60" s="29" t="n"/>
      <c r="I60" s="27" t="n"/>
      <c r="J60" s="27" t="n"/>
    </row>
    <row r="61">
      <c r="E61" s="11" t="n"/>
      <c r="F61" s="29" t="n"/>
      <c r="G61" s="27" t="n"/>
      <c r="H61" s="29" t="n"/>
      <c r="I61" s="27" t="n"/>
      <c r="J61" s="27" t="n"/>
    </row>
    <row r="62">
      <c r="E62" s="11" t="n"/>
      <c r="F62" s="29" t="n"/>
      <c r="G62" s="27" t="n"/>
      <c r="H62" s="29" t="n"/>
      <c r="I62" s="27" t="n"/>
      <c r="J62" s="27" t="n"/>
    </row>
    <row r="63">
      <c r="E63" s="11" t="n"/>
      <c r="F63" s="29" t="n"/>
      <c r="G63" s="27" t="n"/>
      <c r="H63" s="29" t="n"/>
      <c r="I63" s="27" t="n"/>
      <c r="J63" s="27" t="n"/>
    </row>
    <row r="64">
      <c r="E64" s="11" t="n"/>
      <c r="F64" s="29" t="n"/>
      <c r="G64" s="27" t="n"/>
      <c r="H64" s="29" t="n"/>
      <c r="I64" s="27" t="n"/>
      <c r="J64" s="27" t="n"/>
    </row>
    <row r="65">
      <c r="E65" s="11" t="n"/>
      <c r="F65" s="29" t="n"/>
      <c r="G65" s="27" t="n"/>
      <c r="H65" s="29" t="n"/>
      <c r="I65" s="27" t="n"/>
      <c r="J65" s="27" t="n"/>
    </row>
    <row r="66">
      <c r="E66" s="11" t="n"/>
      <c r="F66" s="29" t="n"/>
      <c r="G66" s="27" t="n"/>
      <c r="H66" s="29" t="n"/>
      <c r="I66" s="27" t="n"/>
      <c r="J66" s="27" t="n"/>
    </row>
    <row r="67">
      <c r="E67" s="11" t="n"/>
      <c r="F67" s="29" t="n"/>
      <c r="G67" s="27" t="n"/>
      <c r="H67" s="29" t="n"/>
      <c r="I67" s="27" t="n"/>
      <c r="J67" s="27" t="n"/>
    </row>
    <row r="68">
      <c r="E68" s="11" t="n"/>
      <c r="F68" s="29" t="n"/>
      <c r="G68" s="27" t="n"/>
      <c r="H68" s="29" t="n"/>
      <c r="I68" s="27" t="n"/>
      <c r="J68" s="27" t="n"/>
    </row>
    <row r="69">
      <c r="E69" s="11" t="n"/>
      <c r="F69" s="29" t="n"/>
      <c r="G69" s="27" t="n"/>
      <c r="H69" s="29" t="n"/>
      <c r="I69" s="27" t="n"/>
      <c r="J69" s="27" t="n"/>
    </row>
    <row r="70">
      <c r="E70" s="11" t="n"/>
      <c r="F70" s="29" t="n"/>
      <c r="G70" s="27" t="n"/>
      <c r="H70" s="29" t="n"/>
      <c r="I70" s="27" t="n"/>
      <c r="J70" s="27" t="n"/>
    </row>
    <row r="71">
      <c r="E71" s="11" t="n"/>
      <c r="F71" s="29" t="n"/>
      <c r="G71" s="27" t="n"/>
      <c r="H71" s="29" t="n"/>
      <c r="I71" s="27" t="n"/>
      <c r="J71" s="27" t="n"/>
    </row>
    <row r="72">
      <c r="E72" s="11" t="n"/>
      <c r="F72" s="29" t="n"/>
      <c r="G72" s="27" t="n"/>
      <c r="H72" s="29" t="n"/>
      <c r="I72" s="27" t="n"/>
      <c r="J72" s="27" t="n"/>
    </row>
    <row r="73">
      <c r="E73" s="11" t="n"/>
      <c r="F73" s="29" t="n"/>
      <c r="G73" s="27" t="n"/>
      <c r="H73" s="29" t="n"/>
      <c r="I73" s="27" t="n"/>
      <c r="J73" s="27" t="n"/>
    </row>
    <row r="74">
      <c r="E74" s="11" t="n"/>
      <c r="F74" s="29" t="n"/>
      <c r="G74" s="27" t="n"/>
      <c r="H74" s="29" t="n"/>
      <c r="I74" s="27" t="n"/>
      <c r="J74" s="27" t="n"/>
    </row>
    <row r="75">
      <c r="E75" s="11" t="n"/>
      <c r="F75" s="29" t="n"/>
      <c r="G75" s="27" t="n"/>
      <c r="H75" s="29" t="n"/>
      <c r="I75" s="27" t="n"/>
      <c r="J75" s="27" t="n"/>
    </row>
    <row r="76">
      <c r="E76" s="11" t="n"/>
      <c r="F76" s="29" t="n"/>
      <c r="G76" s="27" t="n"/>
      <c r="H76" s="29" t="n"/>
      <c r="I76" s="27" t="n"/>
      <c r="J76" s="27" t="n"/>
    </row>
    <row r="77">
      <c r="E77" s="11" t="n"/>
      <c r="F77" s="29" t="n"/>
      <c r="G77" s="27" t="n"/>
      <c r="H77" s="29" t="n"/>
      <c r="I77" s="27" t="n"/>
      <c r="J77" s="27" t="n"/>
    </row>
    <row r="78">
      <c r="E78" s="11" t="n"/>
      <c r="F78" s="29" t="n"/>
      <c r="G78" s="27" t="n"/>
      <c r="H78" s="29" t="n"/>
      <c r="I78" s="27" t="n"/>
      <c r="J78" s="27" t="n"/>
    </row>
    <row r="79">
      <c r="E79" s="11" t="n"/>
      <c r="F79" s="29" t="n"/>
      <c r="G79" s="27" t="n"/>
      <c r="H79" s="29" t="n"/>
      <c r="I79" s="27" t="n"/>
      <c r="J79" s="27" t="n"/>
    </row>
    <row r="80">
      <c r="E80" s="11" t="n"/>
      <c r="F80" s="29" t="n"/>
      <c r="G80" s="27" t="n"/>
      <c r="H80" s="29" t="n"/>
      <c r="I80" s="27" t="n"/>
      <c r="J80" s="27" t="n"/>
    </row>
    <row r="81">
      <c r="E81" s="11" t="n"/>
      <c r="F81" s="29" t="n"/>
      <c r="G81" s="27" t="n"/>
      <c r="H81" s="29" t="n"/>
      <c r="I81" s="27" t="n"/>
      <c r="J81" s="27" t="n"/>
    </row>
    <row r="82">
      <c r="E82" s="11" t="n"/>
      <c r="F82" s="29" t="n"/>
      <c r="G82" s="27" t="n"/>
      <c r="H82" s="29" t="n"/>
      <c r="I82" s="27" t="n"/>
      <c r="J82" s="27" t="n"/>
    </row>
    <row r="83">
      <c r="E83" s="11" t="n"/>
      <c r="F83" s="29" t="n"/>
      <c r="G83" s="27" t="n"/>
      <c r="H83" s="29" t="n"/>
      <c r="I83" s="27" t="n"/>
      <c r="J83" s="27" t="n"/>
    </row>
    <row r="84">
      <c r="E84" s="11" t="n"/>
      <c r="F84" s="29" t="n"/>
      <c r="G84" s="27" t="n"/>
      <c r="H84" s="29" t="n"/>
      <c r="I84" s="27" t="n"/>
      <c r="J84" s="27" t="n"/>
    </row>
    <row r="85">
      <c r="E85" s="11" t="n"/>
      <c r="F85" s="29" t="n"/>
      <c r="G85" s="27" t="n"/>
      <c r="H85" s="29" t="n"/>
      <c r="I85" s="27" t="n"/>
      <c r="J85" s="27" t="n"/>
    </row>
    <row r="86">
      <c r="E86" s="11" t="n"/>
      <c r="F86" s="29" t="n"/>
      <c r="G86" s="27" t="n"/>
      <c r="H86" s="29" t="n"/>
      <c r="I86" s="27" t="n"/>
      <c r="J86" s="27" t="n"/>
    </row>
    <row r="87">
      <c r="E87" s="11" t="n"/>
      <c r="F87" s="29" t="n"/>
      <c r="G87" s="27" t="n"/>
      <c r="H87" s="29" t="n"/>
      <c r="I87" s="27" t="n"/>
      <c r="J87" s="27" t="n"/>
    </row>
    <row r="88">
      <c r="E88" s="11" t="n"/>
      <c r="F88" s="29" t="n"/>
      <c r="G88" s="27" t="n"/>
      <c r="H88" s="29" t="n"/>
      <c r="I88" s="27" t="n"/>
      <c r="J88" s="27" t="n"/>
    </row>
    <row r="89">
      <c r="E89" s="11" t="n"/>
      <c r="F89" s="29" t="n"/>
      <c r="G89" s="27" t="n"/>
      <c r="H89" s="29" t="n"/>
      <c r="I89" s="27" t="n"/>
      <c r="J89" s="27" t="n"/>
    </row>
    <row r="90">
      <c r="E90" s="11" t="n"/>
      <c r="F90" s="29" t="n"/>
      <c r="G90" s="27" t="n"/>
      <c r="H90" s="29" t="n"/>
      <c r="I90" s="27" t="n"/>
      <c r="J90" s="27" t="n"/>
    </row>
    <row r="91">
      <c r="E91" s="11" t="n"/>
      <c r="F91" s="29" t="n"/>
      <c r="G91" s="27" t="n"/>
      <c r="H91" s="29" t="n"/>
      <c r="I91" s="27" t="n"/>
      <c r="J91" s="27" t="n"/>
    </row>
    <row r="92">
      <c r="E92" s="11" t="n"/>
      <c r="F92" s="29" t="n"/>
      <c r="G92" s="27" t="n"/>
      <c r="H92" s="29" t="n"/>
      <c r="I92" s="27" t="n"/>
      <c r="J92" s="27" t="n"/>
    </row>
    <row r="93">
      <c r="E93" s="11" t="n"/>
      <c r="F93" s="29" t="n"/>
      <c r="G93" s="27" t="n"/>
      <c r="H93" s="29" t="n"/>
      <c r="I93" s="27" t="n"/>
      <c r="J93" s="27" t="n"/>
    </row>
    <row r="94">
      <c r="E94" s="11" t="n"/>
      <c r="F94" s="29" t="n"/>
      <c r="G94" s="27" t="n"/>
      <c r="H94" s="29" t="n"/>
      <c r="I94" s="27" t="n"/>
      <c r="J94" s="27" t="n"/>
    </row>
    <row r="95">
      <c r="E95" s="11" t="n"/>
      <c r="F95" s="29" t="n"/>
      <c r="G95" s="27" t="n"/>
      <c r="H95" s="29" t="n"/>
      <c r="I95" s="27" t="n"/>
      <c r="J95" s="27" t="n"/>
    </row>
    <row r="96">
      <c r="E96" s="11" t="n"/>
      <c r="F96" s="29" t="n"/>
      <c r="G96" s="27" t="n"/>
      <c r="H96" s="29" t="n"/>
      <c r="I96" s="27" t="n"/>
      <c r="J96" s="27" t="n"/>
    </row>
    <row r="97">
      <c r="E97" s="11" t="n"/>
      <c r="F97" s="29" t="n"/>
      <c r="G97" s="27" t="n"/>
      <c r="H97" s="29" t="n"/>
      <c r="I97" s="27" t="n"/>
      <c r="J97" s="27" t="n"/>
    </row>
    <row r="98">
      <c r="E98" s="11" t="n"/>
      <c r="F98" s="29" t="n"/>
      <c r="G98" s="27" t="n"/>
      <c r="H98" s="29" t="n"/>
      <c r="I98" s="27" t="n"/>
      <c r="J98" s="27" t="n"/>
    </row>
    <row r="99">
      <c r="E99" s="11" t="n"/>
      <c r="F99" s="29" t="n"/>
      <c r="G99" s="27" t="n"/>
      <c r="H99" s="29" t="n"/>
      <c r="I99" s="27" t="n"/>
    </row>
    <row r="100">
      <c r="E100" s="11" t="n"/>
      <c r="F100" s="29" t="n"/>
      <c r="G100" s="27" t="n"/>
      <c r="H100" s="29" t="n"/>
      <c r="I100" s="27" t="n"/>
    </row>
    <row r="101">
      <c r="E101" s="11" t="n"/>
      <c r="F101" s="29" t="n"/>
      <c r="G101" s="27" t="n"/>
      <c r="H101" s="29" t="n"/>
      <c r="I101" s="27" t="n"/>
    </row>
    <row r="102">
      <c r="E102" s="11" t="n"/>
      <c r="F102" s="29" t="n"/>
      <c r="G102" s="27" t="n"/>
      <c r="H102" s="29" t="n"/>
      <c r="I102" s="27" t="n"/>
    </row>
    <row r="103">
      <c r="E103" s="11" t="n"/>
      <c r="F103" s="29" t="n"/>
      <c r="G103" s="27" t="n"/>
      <c r="H103" s="29" t="n"/>
      <c r="I103" s="27" t="n"/>
    </row>
    <row r="104">
      <c r="E104" s="11" t="n"/>
      <c r="F104" s="29" t="n"/>
      <c r="G104" s="27" t="n"/>
      <c r="H104" s="29" t="n"/>
      <c r="I104" s="27" t="n"/>
    </row>
    <row r="105">
      <c r="E105" s="11" t="n"/>
      <c r="F105" s="29" t="n"/>
      <c r="G105" s="27" t="n"/>
      <c r="H105" s="29" t="n"/>
      <c r="I105" s="27" t="n"/>
    </row>
    <row r="106">
      <c r="E106" s="11" t="n"/>
      <c r="F106" s="29" t="n"/>
      <c r="G106" s="27" t="n"/>
      <c r="H106" s="29" t="n"/>
      <c r="I106" s="27" t="n"/>
    </row>
    <row r="107">
      <c r="E107" s="11" t="n"/>
      <c r="F107" s="29" t="n"/>
      <c r="G107" s="27" t="n"/>
      <c r="H107" s="29" t="n"/>
      <c r="I107" s="27" t="n"/>
    </row>
    <row r="108">
      <c r="E108" s="11" t="n"/>
      <c r="F108" s="29" t="n"/>
      <c r="G108" s="27" t="n"/>
      <c r="H108" s="29" t="n"/>
      <c r="I108" s="27" t="n"/>
    </row>
    <row r="109">
      <c r="E109" s="11" t="n"/>
      <c r="F109" s="29" t="n"/>
      <c r="G109" s="27" t="n"/>
      <c r="H109" s="29" t="n"/>
      <c r="I109" s="27" t="n"/>
    </row>
    <row r="110">
      <c r="E110" s="11" t="n"/>
      <c r="F110" s="29" t="n"/>
      <c r="G110" s="27" t="n"/>
      <c r="H110" s="29" t="n"/>
      <c r="I110" s="27" t="n"/>
    </row>
    <row r="111">
      <c r="F111" s="29" t="n"/>
      <c r="G111" s="27" t="n"/>
      <c r="H111" s="29" t="n"/>
      <c r="I111" s="27" t="n"/>
    </row>
    <row r="112">
      <c r="F112" s="29" t="n"/>
      <c r="G112" s="27" t="n"/>
      <c r="H112" s="29" t="n"/>
      <c r="I112" s="27" t="n"/>
    </row>
    <row r="113">
      <c r="F113" s="29" t="n"/>
      <c r="G113" s="27" t="n"/>
      <c r="H113" s="29" t="n"/>
      <c r="I113" s="27" t="n"/>
    </row>
    <row r="114">
      <c r="F114" s="29" t="n"/>
      <c r="G114" s="27" t="n"/>
      <c r="H114" s="29" t="n"/>
      <c r="I114" s="27" t="n"/>
    </row>
    <row r="115">
      <c r="F115" s="29" t="n"/>
      <c r="G115" s="27" t="n"/>
      <c r="H115" s="29" t="n"/>
      <c r="I115" s="27" t="n"/>
    </row>
    <row r="116">
      <c r="F116" s="29" t="n"/>
      <c r="G116" s="27" t="n"/>
      <c r="H116" s="29" t="n"/>
      <c r="I116" s="27" t="n"/>
    </row>
    <row r="117">
      <c r="F117" s="29" t="n"/>
      <c r="G117" s="27" t="n"/>
      <c r="H117" s="29" t="n"/>
      <c r="I117" s="27" t="n"/>
    </row>
    <row r="118">
      <c r="F118" s="29" t="n"/>
      <c r="G118" s="27" t="n"/>
      <c r="H118" s="29" t="n"/>
      <c r="I118" s="27" t="n"/>
    </row>
    <row r="119">
      <c r="F119" s="29" t="n"/>
      <c r="G119" s="27" t="n"/>
      <c r="H119" s="29" t="n"/>
      <c r="I119" s="27" t="n"/>
    </row>
    <row r="120">
      <c r="F120" s="29" t="n"/>
      <c r="G120" s="27" t="n"/>
      <c r="H120" s="29" t="n"/>
      <c r="I120" s="27" t="n"/>
    </row>
    <row r="121">
      <c r="F121" s="29" t="n"/>
      <c r="G121" s="27" t="n"/>
      <c r="H121" s="29" t="n"/>
      <c r="I121" s="27" t="n"/>
    </row>
    <row r="122">
      <c r="F122" s="29" t="n"/>
      <c r="G122" s="27" t="n"/>
      <c r="H122" s="29" t="n"/>
      <c r="I122" s="27" t="n"/>
    </row>
    <row r="123">
      <c r="F123" s="29" t="n"/>
      <c r="G123" s="27" t="n"/>
      <c r="H123" s="29" t="n"/>
      <c r="I123" s="27" t="n"/>
    </row>
    <row r="124">
      <c r="F124" s="29" t="n"/>
      <c r="G124" s="27" t="n"/>
      <c r="H124" s="29" t="n"/>
      <c r="I124" s="27" t="n"/>
    </row>
    <row r="125">
      <c r="F125" s="29" t="n"/>
      <c r="G125" s="27" t="n"/>
      <c r="H125" s="29" t="n"/>
      <c r="I125" s="27" t="n"/>
    </row>
    <row r="126">
      <c r="F126" s="29" t="n"/>
      <c r="G126" s="27" t="n"/>
      <c r="H126" s="29" t="n"/>
      <c r="I126" s="27" t="n"/>
    </row>
    <row r="127">
      <c r="F127" s="29" t="n"/>
      <c r="G127" s="27" t="n"/>
      <c r="H127" s="29" t="n"/>
      <c r="I127" s="27" t="n"/>
    </row>
    <row r="128">
      <c r="F128" s="29" t="n"/>
      <c r="G128" s="27" t="n"/>
      <c r="H128" s="29" t="n"/>
      <c r="I128" s="27" t="n"/>
    </row>
    <row r="129">
      <c r="F129" s="29" t="n"/>
      <c r="G129" s="27" t="n"/>
      <c r="H129" s="29" t="n"/>
      <c r="I129" s="27" t="n"/>
    </row>
    <row r="130">
      <c r="F130" s="29" t="n"/>
      <c r="G130" s="27" t="n"/>
      <c r="H130" s="29" t="n"/>
      <c r="I130" s="27" t="n"/>
    </row>
    <row r="131">
      <c r="F131" s="29" t="n"/>
      <c r="G131" s="27" t="n"/>
      <c r="H131" s="29" t="n"/>
      <c r="I131" s="27" t="n"/>
    </row>
    <row r="132">
      <c r="F132" s="29" t="n"/>
      <c r="G132" s="27" t="n"/>
      <c r="H132" s="29" t="n"/>
      <c r="I132" s="27" t="n"/>
    </row>
    <row r="133">
      <c r="F133" s="29" t="n"/>
      <c r="G133" s="27" t="n"/>
      <c r="H133" s="29" t="n"/>
      <c r="I133" s="27" t="n"/>
    </row>
    <row r="134">
      <c r="F134" s="29" t="n"/>
      <c r="G134" s="27" t="n"/>
      <c r="H134" s="29" t="n"/>
      <c r="I134" s="27" t="n"/>
    </row>
    <row r="135">
      <c r="F135" s="29" t="n"/>
      <c r="G135" s="27" t="n"/>
      <c r="H135" s="29" t="n"/>
      <c r="I135" s="27" t="n"/>
    </row>
    <row r="136">
      <c r="F136" s="29" t="n"/>
      <c r="G136" s="27" t="n"/>
      <c r="H136" s="29" t="n"/>
      <c r="I136" s="27" t="n"/>
    </row>
    <row r="137">
      <c r="F137" s="29" t="n"/>
      <c r="G137" s="27" t="n"/>
      <c r="H137" s="29" t="n"/>
      <c r="I137" s="27" t="n"/>
    </row>
    <row r="138">
      <c r="F138" s="29" t="n"/>
      <c r="G138" s="27" t="n"/>
      <c r="H138" s="29" t="n"/>
      <c r="I138" s="27" t="n"/>
    </row>
    <row r="139">
      <c r="F139" s="29" t="n"/>
      <c r="G139" s="27" t="n"/>
      <c r="H139" s="29" t="n"/>
      <c r="I139" s="27" t="n"/>
    </row>
    <row r="140">
      <c r="F140" s="29" t="n"/>
      <c r="G140" s="27" t="n"/>
      <c r="H140" s="29" t="n"/>
      <c r="I140" s="27" t="n"/>
    </row>
    <row r="141">
      <c r="F141" s="29" t="n"/>
      <c r="G141" s="27" t="n"/>
      <c r="H141" s="29" t="n"/>
      <c r="I141" s="27" t="n"/>
    </row>
    <row r="142">
      <c r="F142" s="29" t="n"/>
      <c r="G142" s="27" t="n"/>
      <c r="H142" s="29" t="n"/>
      <c r="I142" s="27" t="n"/>
    </row>
    <row r="143">
      <c r="F143" s="29" t="n"/>
      <c r="G143" s="27" t="n"/>
      <c r="I143" s="27" t="n"/>
    </row>
    <row r="144">
      <c r="F144" s="29" t="n"/>
      <c r="G144" s="27" t="n"/>
      <c r="I144" s="27" t="n"/>
    </row>
    <row r="145">
      <c r="F145" s="29" t="n"/>
      <c r="G145" s="27" t="n"/>
      <c r="I145" s="27" t="n"/>
    </row>
    <row r="146">
      <c r="F146" s="29" t="n"/>
      <c r="G146" s="27" t="n"/>
      <c r="I146" s="27" t="n"/>
    </row>
    <row r="147">
      <c r="F147" s="29" t="n"/>
      <c r="G147" s="27" t="n"/>
      <c r="I147" s="27" t="n"/>
    </row>
    <row r="148">
      <c r="F148" s="29" t="n"/>
      <c r="G148" s="27" t="n"/>
      <c r="I148" s="27" t="n"/>
    </row>
    <row r="149">
      <c r="F149" s="29" t="n"/>
      <c r="G149" s="27" t="n"/>
      <c r="I149" s="27" t="n"/>
    </row>
    <row r="150">
      <c r="F150" s="29" t="n"/>
      <c r="G150" s="27" t="n"/>
      <c r="I150" s="27" t="n"/>
    </row>
    <row r="151">
      <c r="F151" s="29" t="n"/>
      <c r="G151" s="27" t="n"/>
      <c r="I151" s="27" t="n"/>
    </row>
    <row r="152">
      <c r="F152" s="29" t="n"/>
      <c r="G152" s="27" t="n"/>
      <c r="I152" s="27" t="n"/>
    </row>
    <row r="153">
      <c r="F153" s="29" t="n"/>
      <c r="G153" s="27" t="n"/>
      <c r="I153" s="27" t="n"/>
    </row>
    <row r="154">
      <c r="F154" s="29" t="n"/>
      <c r="G154" s="27" t="n"/>
      <c r="I154" s="27" t="n"/>
    </row>
    <row r="155">
      <c r="F155" s="29" t="n"/>
      <c r="G155" s="27" t="n"/>
      <c r="I155" s="27" t="n"/>
    </row>
    <row r="156">
      <c r="F156" s="29" t="n"/>
      <c r="G156" s="27" t="n"/>
      <c r="I156" s="27" t="n"/>
    </row>
    <row r="157">
      <c r="F157" s="29" t="n"/>
      <c r="G157" s="27" t="n"/>
      <c r="I157" s="27" t="n"/>
    </row>
    <row r="158">
      <c r="F158" s="29" t="n"/>
      <c r="G158" s="27" t="n"/>
      <c r="I158" s="27" t="n"/>
    </row>
    <row r="159">
      <c r="F159" s="29" t="n"/>
      <c r="G159" s="27" t="n"/>
      <c r="I159" s="27" t="n"/>
    </row>
    <row r="160">
      <c r="F160" s="29" t="n"/>
      <c r="G160" s="27" t="n"/>
      <c r="I160" s="27" t="n"/>
    </row>
    <row r="161">
      <c r="F161" s="29" t="n"/>
      <c r="G161" s="27" t="n"/>
      <c r="I161" s="27" t="n"/>
    </row>
    <row r="162">
      <c r="F162" s="29" t="n"/>
      <c r="G162" s="27" t="n"/>
      <c r="I162" s="27" t="n"/>
    </row>
    <row r="163">
      <c r="F163" s="29" t="n"/>
      <c r="G163" s="27" t="n"/>
      <c r="I163" s="27" t="n"/>
    </row>
    <row r="164">
      <c r="F164" s="29" t="n"/>
      <c r="G164" s="27" t="n"/>
      <c r="I164" s="27" t="n"/>
    </row>
    <row r="165">
      <c r="F165" s="29" t="n"/>
      <c r="G165" s="27" t="n"/>
    </row>
    <row r="166">
      <c r="F166" s="29" t="n"/>
      <c r="G166" s="27" t="n"/>
    </row>
    <row r="167">
      <c r="F167" s="29" t="n"/>
      <c r="G167" s="27" t="n"/>
    </row>
    <row r="168">
      <c r="F168" s="29" t="n"/>
      <c r="G168" s="27" t="n"/>
    </row>
    <row r="169">
      <c r="F169" s="29" t="n"/>
      <c r="G169" s="27" t="n"/>
    </row>
    <row r="170">
      <c r="F170" s="29" t="n"/>
      <c r="G170" s="27" t="n"/>
    </row>
    <row r="171">
      <c r="F171" s="29" t="n"/>
      <c r="G171" s="27" t="n"/>
    </row>
    <row r="172">
      <c r="F172" s="29" t="n"/>
      <c r="G172" s="27" t="n"/>
    </row>
    <row r="173">
      <c r="F173" s="29" t="n"/>
      <c r="G173" s="27" t="n"/>
    </row>
    <row r="174">
      <c r="F174" s="29" t="n"/>
      <c r="G174" s="27" t="n"/>
    </row>
    <row r="175">
      <c r="F175" s="29" t="n"/>
      <c r="G175" s="27" t="n"/>
    </row>
    <row r="176">
      <c r="F176" s="29" t="n"/>
      <c r="G176" s="27" t="n"/>
    </row>
    <row r="177">
      <c r="F177" s="29" t="n"/>
      <c r="G177" s="27" t="n"/>
    </row>
    <row r="178">
      <c r="F178" s="29" t="n"/>
      <c r="G178" s="27" t="n"/>
    </row>
    <row r="179">
      <c r="F179" s="29" t="n"/>
      <c r="G179" s="27" t="n"/>
    </row>
    <row r="180">
      <c r="F180" s="29" t="n"/>
      <c r="G180" s="27" t="n"/>
    </row>
    <row r="181">
      <c r="F181" s="29" t="n"/>
      <c r="G181" s="27" t="n"/>
    </row>
    <row r="182">
      <c r="F182" s="29" t="n"/>
      <c r="G182" s="27" t="n"/>
    </row>
    <row r="183">
      <c r="F183" s="29" t="n"/>
      <c r="G183" s="27" t="n"/>
    </row>
    <row r="184">
      <c r="F184" s="29" t="n"/>
      <c r="G184" s="27" t="n"/>
    </row>
    <row r="185">
      <c r="F185" s="29" t="n"/>
      <c r="G185" s="27" t="n"/>
    </row>
    <row r="186">
      <c r="F186" s="29" t="n"/>
      <c r="G186" s="27" t="n"/>
    </row>
    <row r="187">
      <c r="G187" s="27" t="n"/>
    </row>
    <row r="188">
      <c r="G188" s="27" t="n"/>
    </row>
    <row r="189">
      <c r="G189" s="27" t="n"/>
    </row>
    <row r="190">
      <c r="G190" s="27" t="n"/>
    </row>
    <row r="191">
      <c r="G191" s="27" t="n"/>
    </row>
    <row r="192">
      <c r="G192" s="27" t="n"/>
    </row>
    <row r="193">
      <c r="G193" s="27" t="n"/>
    </row>
    <row r="194">
      <c r="G194" s="27" t="n"/>
    </row>
    <row r="195">
      <c r="G195" s="27" t="n"/>
    </row>
    <row r="196">
      <c r="G196" s="27" t="n"/>
    </row>
    <row r="197">
      <c r="G197" s="27" t="n"/>
    </row>
    <row r="198">
      <c r="G198" s="27" t="n"/>
    </row>
    <row r="199">
      <c r="G199" s="27" t="n"/>
    </row>
    <row r="200">
      <c r="G200" s="27" t="n"/>
    </row>
    <row r="201">
      <c r="G201" s="27" t="n"/>
    </row>
    <row r="202">
      <c r="G202" s="27" t="n"/>
    </row>
    <row r="203">
      <c r="G203" s="27" t="n"/>
    </row>
    <row r="204">
      <c r="G204" s="27" t="n"/>
    </row>
    <row r="205">
      <c r="G205" s="27" t="n"/>
    </row>
    <row r="206">
      <c r="G206" s="27" t="n"/>
    </row>
    <row r="207">
      <c r="G207" s="27" t="n"/>
    </row>
    <row r="208">
      <c r="G208" s="27" t="n"/>
    </row>
  </sheetData>
  <mergeCells count="3">
    <mergeCell ref="D8:E8"/>
    <mergeCell ref="F8:G8"/>
    <mergeCell ref="H8:I8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5"/>
  <sheetViews>
    <sheetView workbookViewId="0">
      <selection activeCell="A1" sqref="A1"/>
    </sheetView>
  </sheetViews>
  <sheetFormatPr baseColWidth="8" defaultRowHeight="15"/>
  <sheetData>
    <row r="2">
      <c r="B2" t="inlineStr">
        <is>
          <t>dt</t>
        </is>
      </c>
      <c r="C2" t="inlineStr">
        <is>
          <t>accuracy</t>
        </is>
      </c>
      <c r="D2" t="inlineStr">
        <is>
          <t>log_dt</t>
        </is>
      </c>
      <c r="E2" t="inlineStr">
        <is>
          <t>log_acc</t>
        </is>
      </c>
    </row>
    <row r="3">
      <c r="B3" t="n">
        <v>0.001</v>
      </c>
      <c r="C3" t="n">
        <v>3.056</v>
      </c>
      <c r="D3">
        <f>LN(B3)</f>
        <v/>
      </c>
      <c r="E3">
        <f>LN(C3)</f>
        <v/>
      </c>
    </row>
    <row r="4">
      <c r="B4" t="n">
        <v>0.002</v>
      </c>
      <c r="C4" t="n">
        <v>2.969</v>
      </c>
      <c r="D4">
        <f>LN(B4)</f>
        <v/>
      </c>
      <c r="E4">
        <f>LN(C4)</f>
        <v/>
      </c>
    </row>
    <row r="5">
      <c r="B5" t="n">
        <v>0.003</v>
      </c>
      <c r="C5" t="n">
        <v>2.96</v>
      </c>
      <c r="D5">
        <f>LN(B5)</f>
        <v/>
      </c>
      <c r="E5">
        <f>LN(C5)</f>
        <v/>
      </c>
    </row>
    <row r="6">
      <c r="B6" t="n">
        <v>0.004</v>
      </c>
      <c r="C6" t="n">
        <v>3.18</v>
      </c>
      <c r="D6">
        <f>LN(B6)</f>
        <v/>
      </c>
      <c r="E6">
        <f>LN(C6)</f>
        <v/>
      </c>
    </row>
    <row r="7">
      <c r="B7" t="n">
        <v>0.005</v>
      </c>
      <c r="C7" t="n">
        <v>2.87</v>
      </c>
      <c r="D7">
        <f>LN(B7)</f>
        <v/>
      </c>
      <c r="E7">
        <f>LN(C7)</f>
        <v/>
      </c>
    </row>
    <row r="8">
      <c r="B8" t="n">
        <v>0.006</v>
      </c>
      <c r="C8" t="n">
        <v>3.132</v>
      </c>
      <c r="D8">
        <f>LN(B8)</f>
        <v/>
      </c>
      <c r="E8">
        <f>LN(C8)</f>
        <v/>
      </c>
    </row>
    <row r="9">
      <c r="B9" t="n">
        <v>0.007</v>
      </c>
      <c r="C9" t="n">
        <v>2.92</v>
      </c>
      <c r="D9">
        <f>LN(B9)</f>
        <v/>
      </c>
      <c r="E9">
        <f>LN(C9)</f>
        <v/>
      </c>
    </row>
    <row r="10">
      <c r="B10" t="n">
        <v>0.008</v>
      </c>
      <c r="C10" t="n">
        <v>3.132</v>
      </c>
      <c r="D10">
        <f>LN(B10)</f>
        <v/>
      </c>
      <c r="E10">
        <f>LN(C10)</f>
        <v/>
      </c>
    </row>
    <row r="11">
      <c r="B11" t="n">
        <v>0.008999999999999999</v>
      </c>
      <c r="C11" t="n">
        <v>2.905</v>
      </c>
      <c r="D11">
        <f>LN(B11)</f>
        <v/>
      </c>
      <c r="E11">
        <f>LN(C11)</f>
        <v/>
      </c>
    </row>
    <row r="12">
      <c r="B12" t="n">
        <v>0.01</v>
      </c>
      <c r="C12" t="n">
        <v>2.965</v>
      </c>
      <c r="D12">
        <f>LN(B12)</f>
        <v/>
      </c>
      <c r="E12">
        <f>LN(C12)</f>
        <v/>
      </c>
    </row>
    <row r="15">
      <c r="G15" t="inlineStr">
        <is>
          <t>There is no clear relationship in this case for the 1*(S_ &lt; k) hedging strategy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Keith Lewis</dc:creator>
  <dcterms:created xmlns:dcterms="http://purl.org/dc/terms/" xmlns:xsi="http://www.w3.org/2001/XMLSchema-instance" xsi:type="dcterms:W3CDTF">2026-02-23T20:58:14Z</dcterms:created>
  <dcterms:modified xmlns:dcterms="http://purl.org/dc/terms/" xmlns:xsi="http://www.w3.org/2001/XMLSchema-instance" xsi:type="dcterms:W3CDTF">2026-03-08T17:23:25Z</dcterms:modified>
  <cp:lastModifiedBy>zm h</cp:lastModifiedBy>
</cp:coreProperties>
</file>