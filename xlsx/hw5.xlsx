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3466\source\repos\xll_ml_HW5\xlsx\"/>
    </mc:Choice>
  </mc:AlternateContent>
  <xr:revisionPtr revIDLastSave="0" documentId="13_ncr:1_{B8877D7B-268C-4901-8964-8DCA890B745C}" xr6:coauthVersionLast="47" xr6:coauthVersionMax="47" xr10:uidLastSave="{00000000-0000-0000-0000-000000000000}"/>
  <bookViews>
    <workbookView xWindow="-108" yWindow="-108" windowWidth="23256" windowHeight="13896" activeTab="2" xr2:uid="{5E38A752-04D7-4C78-952F-E31FCF3159F7}"/>
  </bookViews>
  <sheets>
    <sheet name="Elementary" sheetId="1" r:id="rId1"/>
    <sheet name="Simulation" sheetId="4" r:id="rId2"/>
    <sheet name="Simulation (2)" sheetId="6" r:id="rId3"/>
  </sheets>
  <definedNames>
    <definedName name="_M" localSheetId="2">_xlfn.ANCHORARRAY('Simulation (2)'!$H$10)</definedName>
    <definedName name="_M">_xlfn.ANCHORARRAY(Simulation!$H$10)</definedName>
    <definedName name="_N" localSheetId="2">_xlfn.ANCHORARRAY('Simulation (2)'!$I$10)</definedName>
    <definedName name="_N">_xlfn.ANCHORARRAY(Simulation!$I$10)</definedName>
    <definedName name="A" localSheetId="2">_xlfn.ANCHORARRAY('Simulation (2)'!$K$10)</definedName>
    <definedName name="A">_xlfn.ANCHORARRAY(Simulation!$K$10)</definedName>
    <definedName name="ad">_xlfn.LAMBDA(_xlpm.x, _xlfn.VSTACK(_xlfn.TAKE(_xlpm.x,1), _xlfn.DROP(_xlpm.x,1) - _xlfn.DROP(_xlpm.x,-1)))</definedName>
    <definedName name="B_" localSheetId="2">_xlfn.ANCHORARRAY('Simulation (2)'!$C$10)</definedName>
    <definedName name="B_">_xlfn.ANCHORARRAY(Simulation!$C$10)</definedName>
    <definedName name="co">_xlfn.LAMBDA(_xlpm.x,_xlfn.LET(_xlpm.x_,_xlfn.DROP(_xlpm.x,-1),_xlfn.VSTACK(_xlpm.x_, -SUM(_xlpm.x_))))</definedName>
    <definedName name="dt" localSheetId="2">'Simulation (2)'!$C$6</definedName>
    <definedName name="dt">Simulation!$C$6</definedName>
    <definedName name="error" localSheetId="2">'Simulation (2)'!$G$6</definedName>
    <definedName name="error">Simulation!$G$6</definedName>
    <definedName name="f" localSheetId="2">'Simulation (2)'!$C$3</definedName>
    <definedName name="f">Simulation!$C$3</definedName>
    <definedName name="hedge" localSheetId="2">'Simulation (2)'!$G$5</definedName>
    <definedName name="hedge">Simulation!$G$5</definedName>
    <definedName name="k" localSheetId="2">'Simulation (2)'!$C$7</definedName>
    <definedName name="k">Simulation!$C$7</definedName>
    <definedName name="last" localSheetId="2">'Simulation (2)'!$G$3</definedName>
    <definedName name="last">Simulation!$G$3</definedName>
    <definedName name="M" localSheetId="2">_xlfn.ANCHORARRAY('Simulation (2)'!$F$10)</definedName>
    <definedName name="M">_xlfn.ANCHORARRAY(Simulation!$F$10)</definedName>
    <definedName name="mu" localSheetId="2">'Simulation (2)'!$C$2</definedName>
    <definedName name="mu">Simulation!$C$2</definedName>
    <definedName name="N" localSheetId="2">_xlfn.ANCHORARRAY('Simulation (2)'!$G$10)</definedName>
    <definedName name="N">_xlfn.ANCHORARRAY(Simulation!$G$10)</definedName>
    <definedName name="payoff" localSheetId="2">'Simulation (2)'!$G$4</definedName>
    <definedName name="payoff">Simulation!$G$4</definedName>
    <definedName name="put" localSheetId="2">'Simulation (2)'!$G$2</definedName>
    <definedName name="put">Simulation!$G$2</definedName>
    <definedName name="R_" localSheetId="2">_xlfn.ANCHORARRAY('Simulation (2)'!$D$10)</definedName>
    <definedName name="R_">_xlfn.ANCHORARRAY(Simulation!$D$10)</definedName>
    <definedName name="S_" localSheetId="2">_xlfn.ANCHORARRAY('Simulation (2)'!$E$10)</definedName>
    <definedName name="S_">_xlfn.ANCHORARRAY(Simulation!$E$10)</definedName>
    <definedName name="sigma" localSheetId="2">'Simulation (2)'!$C$4</definedName>
    <definedName name="sigma">Simulation!$C$4</definedName>
    <definedName name="t" localSheetId="2">'Simulation (2)'!$C$5</definedName>
    <definedName name="t">Simulation!$C$5</definedName>
    <definedName name="t_" localSheetId="2">_xlfn.ANCHORARRAY('Simulation (2)'!$B$10)</definedName>
    <definedName name="t_">_xlfn.ANCHORARRAY(Simulation!$B$10)</definedName>
    <definedName name="V" localSheetId="2">_xlfn.ANCHORARRAY('Simulation (2)'!$J$10)</definedName>
    <definedName name="V">_xlfn.ANCHORARRAY(Simulation!$J$10)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" i="6" l="1"/>
  <c r="U5" i="6"/>
  <c r="U6" i="6"/>
  <c r="U7" i="6"/>
  <c r="U8" i="6"/>
  <c r="U9" i="6"/>
  <c r="U10" i="6"/>
  <c r="U11" i="6"/>
  <c r="U12" i="6"/>
  <c r="T4" i="6"/>
  <c r="T5" i="6"/>
  <c r="T6" i="6"/>
  <c r="T7" i="6"/>
  <c r="T8" i="6"/>
  <c r="T9" i="6"/>
  <c r="T10" i="6"/>
  <c r="T11" i="6"/>
  <c r="T12" i="6"/>
  <c r="T3" i="6"/>
  <c r="R3" i="6" a="1"/>
  <c r="R3" i="6"/>
  <c r="U4" i="4"/>
  <c r="U5" i="4"/>
  <c r="U6" i="4"/>
  <c r="U7" i="4"/>
  <c r="U8" i="4"/>
  <c r="U9" i="4"/>
  <c r="U10" i="4"/>
  <c r="U11" i="4"/>
  <c r="U12" i="4"/>
  <c r="O3" i="6" a="1"/>
  <c r="O3" i="4" a="1"/>
  <c r="O3" i="4" s="1"/>
  <c r="H4" i="1"/>
  <c r="F5" i="1"/>
  <c r="D5" i="1"/>
  <c r="D4" i="1"/>
  <c r="B10" i="6" a="1"/>
  <c r="B10" i="4" a="1"/>
  <c r="K2" i="6" a="1"/>
  <c r="J2" i="6" a="1"/>
  <c r="G2" i="6" a="1"/>
  <c r="I2" i="4" a="1"/>
  <c r="I2" i="6" a="1"/>
  <c r="G2" i="4" a="1"/>
  <c r="K2" i="4" a="1"/>
  <c r="J2" i="4" a="1"/>
  <c r="R3" i="4" a="1"/>
  <c r="B1" i="4" a="1"/>
  <c r="B1" i="6" a="1"/>
  <c r="B10" i="6" l="1"/>
  <c r="B10" i="4"/>
  <c r="T4" i="4"/>
  <c r="T5" i="4"/>
  <c r="T6" i="4"/>
  <c r="T7" i="4"/>
  <c r="T8" i="4"/>
  <c r="T9" i="4"/>
  <c r="T10" i="4"/>
  <c r="T11" i="4"/>
  <c r="T12" i="4"/>
  <c r="R3" i="4"/>
  <c r="T3" i="4" s="1"/>
  <c r="G2" i="6"/>
  <c r="I2" i="6"/>
  <c r="J2" i="6"/>
  <c r="N21" i="6"/>
  <c r="P20" i="6"/>
  <c r="K2" i="6"/>
  <c r="B1" i="6"/>
  <c r="P3" i="6" a="1"/>
  <c r="P3" i="6" s="1"/>
  <c r="O3" i="6"/>
  <c r="P3" i="4" a="1"/>
  <c r="P3" i="4" s="1"/>
  <c r="B1" i="4"/>
  <c r="N21" i="4"/>
  <c r="P20" i="4"/>
  <c r="K2" i="4"/>
  <c r="J2" i="4"/>
  <c r="I2" i="4"/>
  <c r="G2" i="4"/>
  <c r="K5" i="1"/>
  <c r="E4" i="1"/>
  <c r="C10" i="6" a="1"/>
  <c r="C10" i="4" a="1"/>
  <c r="M14" i="6" l="1"/>
  <c r="C10" i="6"/>
  <c r="E10" i="6" s="1" a="1"/>
  <c r="L2" i="6"/>
  <c r="M2" i="6"/>
  <c r="M14" i="4"/>
  <c r="C10" i="4"/>
  <c r="L2" i="4"/>
  <c r="M2" i="4" s="1"/>
  <c r="G4" i="1"/>
  <c r="E5" i="1"/>
  <c r="J5" i="1" s="1"/>
  <c r="L5" i="1" s="1"/>
  <c r="J4" i="1"/>
  <c r="M16" i="6" a="1"/>
  <c r="M20" i="6" a="1"/>
  <c r="O20" i="6" a="1"/>
  <c r="M20" i="4" a="1"/>
  <c r="M20" i="6" l="1"/>
  <c r="M21" i="6"/>
  <c r="E10" i="6"/>
  <c r="I10" i="6" s="1" a="1"/>
  <c r="I10" i="6" s="1"/>
  <c r="O21" i="6"/>
  <c r="O20" i="6"/>
  <c r="M16" i="6"/>
  <c r="N14" i="6"/>
  <c r="D10" i="6" a="1"/>
  <c r="D10" i="6" s="1"/>
  <c r="E10" i="4" a="1"/>
  <c r="E10" i="4" s="1"/>
  <c r="M21" i="4"/>
  <c r="M20" i="4"/>
  <c r="D10" i="4" a="1"/>
  <c r="D10" i="4" s="1"/>
  <c r="G5" i="1" a="1"/>
  <c r="G5" i="1" s="1"/>
  <c r="I5" i="1" s="1"/>
  <c r="I4" i="1"/>
  <c r="M16" i="4" a="1"/>
  <c r="O20" i="4" a="1"/>
  <c r="G3" i="6" l="1" a="1"/>
  <c r="G3" i="6" s="1"/>
  <c r="G4" i="6" s="1"/>
  <c r="L10" i="6" a="1"/>
  <c r="L10" i="6" s="1"/>
  <c r="G10" i="6" a="1"/>
  <c r="N16" i="6"/>
  <c r="M16" i="4"/>
  <c r="N14" i="4"/>
  <c r="O20" i="4"/>
  <c r="O21" i="4"/>
  <c r="H4" i="6" a="1"/>
  <c r="I10" i="4" a="1"/>
  <c r="I4" i="6" l="1"/>
  <c r="H4" i="6"/>
  <c r="G10" i="6"/>
  <c r="M10" i="6" s="1"/>
  <c r="M11" i="6"/>
  <c r="N16" i="4"/>
  <c r="I10" i="4"/>
  <c r="L10" i="4" a="1"/>
  <c r="L10" i="4" s="1"/>
  <c r="G3" i="4" a="1"/>
  <c r="G3" i="4" s="1"/>
  <c r="F10" i="6" l="1" a="1"/>
  <c r="F10" i="6" s="1"/>
  <c r="N10" i="6" s="1"/>
  <c r="G4" i="4"/>
  <c r="G10" i="4" a="1"/>
  <c r="H4" i="4" a="1"/>
  <c r="N11" i="6" l="1"/>
  <c r="K10" i="6" a="1"/>
  <c r="H10" i="6" a="1"/>
  <c r="H4" i="4"/>
  <c r="I4" i="4"/>
  <c r="G10" i="4"/>
  <c r="F10" i="4" s="1" a="1"/>
  <c r="F10" i="4" s="1"/>
  <c r="M11" i="4"/>
  <c r="K10" i="6" l="1"/>
  <c r="G5" i="6" s="1" a="1"/>
  <c r="G5" i="6" s="1"/>
  <c r="G6" i="6" s="1"/>
  <c r="H10" i="6"/>
  <c r="J10" i="6" s="1" a="1"/>
  <c r="J10" i="6" s="1"/>
  <c r="K10" i="4" a="1"/>
  <c r="M10" i="4"/>
  <c r="N10" i="4" s="1"/>
  <c r="N11" i="4"/>
  <c r="H10" i="4" a="1"/>
  <c r="H6" i="6" a="1"/>
  <c r="I6" i="6" l="1"/>
  <c r="J6" i="6" s="1"/>
  <c r="S3" i="6" s="1"/>
  <c r="U3" i="6" s="1"/>
  <c r="H6" i="6"/>
  <c r="K10" i="4"/>
  <c r="H10" i="4"/>
  <c r="J10" i="4" s="1" a="1"/>
  <c r="J10" i="4" s="1"/>
  <c r="G5" i="4" l="1" a="1"/>
  <c r="G5" i="4" s="1"/>
  <c r="G6" i="4" l="1"/>
  <c r="H6" i="4" a="1"/>
  <c r="I6" i="4" l="1"/>
  <c r="J6" i="4" s="1"/>
  <c r="H6" i="4"/>
  <c r="S3" i="4" l="1"/>
  <c r="U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H4" authorId="0" shapeId="0" xr:uid="{11EC72C2-EA02-4BCF-BE17-CDD3CFEC86F9}">
      <text>
        <r>
          <rPr>
            <b/>
            <sz val="11"/>
            <color indexed="81"/>
            <rFont val="Tahoma"/>
            <family val="2"/>
          </rPr>
          <t>E[max(k - F, 0)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H4" authorId="0" shapeId="0" xr:uid="{F34ED366-CF92-4219-AD7E-EF5DB3E0B5BC}">
      <text>
        <r>
          <rPr>
            <b/>
            <sz val="11"/>
            <color indexed="81"/>
            <rFont val="Tahoma"/>
            <family val="2"/>
          </rPr>
          <t>E[max(k - F, 0)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<sst xmlns="http://schemas.openxmlformats.org/spreadsheetml/2006/main" count="88" uniqueCount="45">
  <si>
    <t>X</t>
  </si>
  <si>
    <t>t</t>
  </si>
  <si>
    <t>R</t>
  </si>
  <si>
    <t>S</t>
  </si>
  <si>
    <t>M</t>
  </si>
  <si>
    <t>N</t>
  </si>
  <si>
    <t>\M</t>
  </si>
  <si>
    <t>\N</t>
  </si>
  <si>
    <t>V</t>
  </si>
  <si>
    <t>A</t>
  </si>
  <si>
    <t>Γ</t>
  </si>
  <si>
    <t>(Δ+Γ).X</t>
  </si>
  <si>
    <t>-Γ.X</t>
  </si>
  <si>
    <t>Δ+Γ</t>
  </si>
  <si>
    <t>sigma</t>
  </si>
  <si>
    <t>mu</t>
  </si>
  <si>
    <t>f</t>
  </si>
  <si>
    <t>k</t>
  </si>
  <si>
    <t>R_</t>
  </si>
  <si>
    <t>S_</t>
  </si>
  <si>
    <t>put</t>
  </si>
  <si>
    <t>dt</t>
  </si>
  <si>
    <t>t_</t>
  </si>
  <si>
    <t>B_</t>
  </si>
  <si>
    <t>payoff</t>
  </si>
  <si>
    <t>hedge</t>
  </si>
  <si>
    <t>_M</t>
  </si>
  <si>
    <t>_N</t>
  </si>
  <si>
    <t>last</t>
  </si>
  <si>
    <t>error</t>
  </si>
  <si>
    <t>accuracy</t>
  </si>
  <si>
    <t>intrinsic</t>
  </si>
  <si>
    <t>dt values</t>
  </si>
  <si>
    <t>It is observed that higher dt values mean more inaccuracy, as the error would take a greater percentage here.</t>
  </si>
  <si>
    <t>It is expected as higher dt means applying less detailed steps, so that the the error would be greater compared to the put price.</t>
  </si>
  <si>
    <t>It feels like that if you are given less number of opportunities to adjust, the results will sure be less accurate.</t>
  </si>
  <si>
    <t>The accuracy more like stands for percentage error here, so a lower "accuracy" seems mean it being more accurate.</t>
  </si>
  <si>
    <t>This might be due to that we adjust position to 1 when favorable for put, and immediately sell everything with fear when it is not favorable.</t>
  </si>
  <si>
    <t>This been a rather simple strategy, in which I feel that it is simply driven by fear, and we know that it would not necessarily provide reasonably accurate results.</t>
  </si>
  <si>
    <t>log dt</t>
  </si>
  <si>
    <t>log accuracy</t>
  </si>
  <si>
    <t>Note that "accuracy" here is actually relative magnitude of error; greater it is, the worse the valuation being.</t>
  </si>
  <si>
    <t>Similarly, I would also say that the "accuracy" is actually the deviation from BS prices</t>
  </si>
  <si>
    <t>It is observed that we deviate from the calculated prices greatly; it seems do not really have any clue</t>
  </si>
  <si>
    <t>A snapshot of what I had is preserved here as the randomness could not be controlled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</si>
</sst>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&quot;0x&quot;#"/>
    <numFmt numFmtId="166" formatCode="0.0000"/>
    <numFmt numFmtId="167" formatCode="0.000"/>
    <numFmt numFmtId="168" formatCode="0.0%"/>
    <numFmt numFmtId="169" formatCode="_(* #,##0_);_(* \(#,##0\);_(* &quot;-&quot;??_);_(@_)"/>
  </numFmts>
  <fonts count="13" x14ac:knownFonts="1">
    <font>
      <sz val="14"/>
      <color theme="1"/>
      <name val="Aptos Narrow"/>
      <family val="2"/>
      <scheme val="minor"/>
    </font>
    <font>
      <sz val="14"/>
      <color theme="1"/>
      <name val="Aptos Narrow"/>
      <family val="2"/>
    </font>
    <font>
      <b/>
      <sz val="14"/>
      <color theme="0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  <font>
      <sz val="14"/>
      <color theme="0" tint="-0.34998626667073579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3F3F3F"/>
      <name val="Aptos Narrow"/>
      <family val="2"/>
      <scheme val="minor"/>
    </font>
    <font>
      <sz val="14"/>
      <color rgb="FF3F3F76"/>
      <name val="Aptos Narrow"/>
      <family val="2"/>
      <scheme val="minor"/>
    </font>
    <font>
      <b/>
      <sz val="14"/>
      <color rgb="FFFA7D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rgb="FFF2F2F2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2" fillId="2" borderId="2" applyNumberFormat="0" applyAlignment="0" applyProtection="0"/>
    <xf numFmtId="165" fontId="3" fillId="0" borderId="0">
      <alignment horizontal="center" vertical="center"/>
    </xf>
    <xf numFmtId="9" fontId="6" fillId="0" borderId="0" applyFont="0" applyFill="0" applyBorder="0" applyAlignment="0" applyProtection="0"/>
    <xf numFmtId="0" fontId="7" fillId="3" borderId="3" applyNumberFormat="0" applyAlignment="0" applyProtection="0"/>
    <xf numFmtId="164" fontId="6" fillId="0" borderId="0" applyFont="0" applyFill="0" applyBorder="0" applyAlignment="0" applyProtection="0"/>
    <xf numFmtId="0" fontId="8" fillId="4" borderId="4" applyNumberFormat="0" applyAlignment="0" applyProtection="0"/>
    <xf numFmtId="0" fontId="9" fillId="3" borderId="4" applyNumberFormat="0" applyAlignment="0" applyProtection="0"/>
  </cellStyleXfs>
  <cellXfs count="2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0" fontId="2" fillId="2" borderId="2" xfId="1"/>
    <xf numFmtId="0" fontId="5" fillId="0" borderId="0" xfId="0" applyFont="1"/>
    <xf numFmtId="166" fontId="0" fillId="0" borderId="0" xfId="0" applyNumberFormat="1"/>
    <xf numFmtId="166" fontId="5" fillId="0" borderId="0" xfId="0" applyNumberFormat="1" applyFont="1"/>
    <xf numFmtId="0" fontId="5" fillId="0" borderId="0" xfId="0" applyFont="1" applyAlignment="1">
      <alignment horizontal="right"/>
    </xf>
    <xf numFmtId="167" fontId="0" fillId="0" borderId="0" xfId="0" applyNumberFormat="1"/>
    <xf numFmtId="2" fontId="0" fillId="0" borderId="0" xfId="0" applyNumberFormat="1"/>
    <xf numFmtId="166" fontId="7" fillId="3" borderId="3" xfId="4" applyNumberFormat="1"/>
    <xf numFmtId="0" fontId="0" fillId="0" borderId="0" xfId="0" applyAlignment="1">
      <alignment horizontal="center"/>
    </xf>
    <xf numFmtId="0" fontId="10" fillId="0" borderId="0" xfId="0" applyFont="1"/>
    <xf numFmtId="168" fontId="0" fillId="0" borderId="0" xfId="3" applyNumberFormat="1" applyFont="1" applyAlignment="1">
      <alignment horizontal="center"/>
    </xf>
    <xf numFmtId="169" fontId="11" fillId="0" borderId="0" xfId="5" applyNumberFormat="1" applyFont="1"/>
    <xf numFmtId="0" fontId="8" fillId="4" borderId="4" xfId="6"/>
    <xf numFmtId="0" fontId="9" fillId="3" borderId="4" xfId="7"/>
    <xf numFmtId="0" fontId="12" fillId="0" borderId="0" xfId="0" applyFont="1"/>
    <xf numFmtId="10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8">
    <cellStyle name="Calculation" xfId="7" builtinId="22"/>
    <cellStyle name="Check Cell" xfId="1" builtinId="23"/>
    <cellStyle name="Comma" xfId="5" builtinId="3"/>
    <cellStyle name="Handle" xfId="2" xr:uid="{FF7A162F-DF08-42FE-AEB2-120BB5405C33}"/>
    <cellStyle name="Input" xfId="6" builtinId="20"/>
    <cellStyle name="Normal" xfId="0" builtinId="0"/>
    <cellStyle name="Output" xfId="4" builtinId="21"/>
    <cellStyle name="Percent" xfId="3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Simulation!$U$2</c:f>
              <c:strCache>
                <c:ptCount val="1"/>
                <c:pt idx="0">
                  <c:v>log accuracy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Simulation!$T$3:$T$12</c:f>
              <c:numCache>
                <c:formatCode>General</c:formatCode>
                <c:ptCount val="10"/>
                <c:pt idx="0">
                  <c:v>-3</c:v>
                </c:pt>
                <c:pt idx="1">
                  <c:v>-2.6989700043360187</c:v>
                </c:pt>
                <c:pt idx="2">
                  <c:v>-2.5228787452803374</c:v>
                </c:pt>
                <c:pt idx="3">
                  <c:v>-2.3979400086720375</c:v>
                </c:pt>
                <c:pt idx="4">
                  <c:v>-2.3010299956639813</c:v>
                </c:pt>
                <c:pt idx="5">
                  <c:v>-2.2218487496163561</c:v>
                </c:pt>
                <c:pt idx="6">
                  <c:v>-2.1549019599857431</c:v>
                </c:pt>
                <c:pt idx="7">
                  <c:v>-2.0969100130080562</c:v>
                </c:pt>
                <c:pt idx="8">
                  <c:v>-2.0457574905606752</c:v>
                </c:pt>
                <c:pt idx="9">
                  <c:v>-2</c:v>
                </c:pt>
              </c:numCache>
            </c:numRef>
          </c:xVal>
          <c:yVal>
            <c:numRef>
              <c:f>Simulation!$U$3:$U$12</c:f>
              <c:numCache>
                <c:formatCode>General</c:formatCode>
                <c:ptCount val="10"/>
                <c:pt idx="0">
                  <c:v>-2.0607586899949575</c:v>
                </c:pt>
                <c:pt idx="1">
                  <c:v>-2.0607586899949575</c:v>
                </c:pt>
                <c:pt idx="2">
                  <c:v>-2.0607586899949575</c:v>
                </c:pt>
                <c:pt idx="3">
                  <c:v>-2.0607586899949575</c:v>
                </c:pt>
                <c:pt idx="4">
                  <c:v>-2.0607586899949575</c:v>
                </c:pt>
                <c:pt idx="5">
                  <c:v>-2.0607586899949575</c:v>
                </c:pt>
                <c:pt idx="6">
                  <c:v>-2.0607586899949575</c:v>
                </c:pt>
                <c:pt idx="7">
                  <c:v>-2.0607586899949575</c:v>
                </c:pt>
                <c:pt idx="8">
                  <c:v>-2.0607586899949575</c:v>
                </c:pt>
                <c:pt idx="9">
                  <c:v>-2.0607586899949575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5D-4823-B9C3-02D8E572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7484080"/>
        <c:axId val="2097485520"/>
      </c:scatterChart>
      <c:valAx>
        <c:axId val="2097484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485520"/>
        <c:crosses val="autoZero"/>
        <c:crossBetween val="midCat"/>
      </c:valAx>
      <c:valAx>
        <c:axId val="209748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484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Simulation!$S$2</c:f>
              <c:strCache>
                <c:ptCount val="1"/>
                <c:pt idx="0">
                  <c:v>accuracy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Simulation!$R$3:$R$12</c:f>
              <c:numCache>
                <c:formatCode>General</c:formatCode>
                <c:ptCount val="10"/>
                <c:pt idx="0">
                  <c:v>1E-3</c:v>
                </c:pt>
                <c:pt idx="1">
                  <c:v>2E-3</c:v>
                </c:pt>
                <c:pt idx="2">
                  <c:v>3.0000000000000001E-3</c:v>
                </c:pt>
                <c:pt idx="3">
                  <c:v>4.0000000000000001E-3</c:v>
                </c:pt>
                <c:pt idx="4">
                  <c:v>5.0000000000000001E-3</c:v>
                </c:pt>
                <c:pt idx="5">
                  <c:v>6.0000000000000001E-3</c:v>
                </c:pt>
                <c:pt idx="6">
                  <c:v>7.0000000000000001E-3</c:v>
                </c:pt>
                <c:pt idx="7">
                  <c:v>8.0000000000000002E-3</c:v>
                </c:pt>
                <c:pt idx="8">
                  <c:v>9.0000000000000011E-3</c:v>
                </c:pt>
                <c:pt idx="9">
                  <c:v>1.0000000000000002E-2</c:v>
                </c:pt>
              </c:numCache>
            </c:numRef>
          </c:xVal>
          <c:yVal>
            <c:numRef>
              <c:f>Simulation!$S$3:$S$12</c:f>
              <c:numCache>
                <c:formatCode>0.00%</c:formatCode>
                <c:ptCount val="10"/>
                <c:pt idx="0">
                  <c:v>8.6944338985919765E-3</c:v>
                </c:pt>
                <c:pt idx="1">
                  <c:v>8.6944338985919765E-3</c:v>
                </c:pt>
                <c:pt idx="2">
                  <c:v>8.6944338985919765E-3</c:v>
                </c:pt>
                <c:pt idx="3">
                  <c:v>8.6944338985919765E-3</c:v>
                </c:pt>
                <c:pt idx="4">
                  <c:v>8.6944338985919765E-3</c:v>
                </c:pt>
                <c:pt idx="5">
                  <c:v>8.6944338985919765E-3</c:v>
                </c:pt>
                <c:pt idx="6">
                  <c:v>8.6944338985919765E-3</c:v>
                </c:pt>
                <c:pt idx="7">
                  <c:v>8.6944338985919765E-3</c:v>
                </c:pt>
                <c:pt idx="8">
                  <c:v>8.6944338985919765E-3</c:v>
                </c:pt>
                <c:pt idx="9">
                  <c:v>8.6944338985919765E-3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46-427F-81C7-B01BD59C2E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2977855"/>
        <c:axId val="862974975"/>
      </c:scatterChart>
      <c:valAx>
        <c:axId val="862977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2974975"/>
        <c:crosses val="autoZero"/>
        <c:crossBetween val="midCat"/>
      </c:valAx>
      <c:valAx>
        <c:axId val="86297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29778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'Simulation (2)'!$S$2</c:f>
              <c:strCache>
                <c:ptCount val="1"/>
                <c:pt idx="0">
                  <c:v>accuracy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'Simulation (2)'!$R$3:$R$12</c:f>
              <c:numCache>
                <c:formatCode>0.00%</c:formatCode>
                <c:ptCount val="10"/>
                <c:pt idx="0">
                  <c:v>1E-3</c:v>
                </c:pt>
                <c:pt idx="1">
                  <c:v>2E-3</c:v>
                </c:pt>
                <c:pt idx="2">
                  <c:v>3.0000000000000001E-3</c:v>
                </c:pt>
                <c:pt idx="3">
                  <c:v>4.0000000000000001E-3</c:v>
                </c:pt>
                <c:pt idx="4">
                  <c:v>5.0000000000000001E-3</c:v>
                </c:pt>
                <c:pt idx="5">
                  <c:v>6.0000000000000001E-3</c:v>
                </c:pt>
                <c:pt idx="6">
                  <c:v>7.0000000000000001E-3</c:v>
                </c:pt>
                <c:pt idx="7">
                  <c:v>8.0000000000000002E-3</c:v>
                </c:pt>
                <c:pt idx="8">
                  <c:v>9.0000000000000011E-3</c:v>
                </c:pt>
                <c:pt idx="9">
                  <c:v>1.0000000000000002E-2</c:v>
                </c:pt>
              </c:numCache>
            </c:numRef>
          </c:xVal>
          <c:yVal>
            <c:numRef>
              <c:f>'Simulation (2)'!$S$3:$S$12</c:f>
              <c:numCache>
                <c:formatCode>0.00%</c:formatCode>
                <c:ptCount val="10"/>
                <c:pt idx="0">
                  <c:v>3.9252881883282882</c:v>
                </c:pt>
                <c:pt idx="1">
                  <c:v>3.9252881883282882</c:v>
                </c:pt>
                <c:pt idx="2">
                  <c:v>3.9252881883282882</c:v>
                </c:pt>
                <c:pt idx="3">
                  <c:v>3.9252881883282882</c:v>
                </c:pt>
                <c:pt idx="4">
                  <c:v>3.9252881883282882</c:v>
                </c:pt>
                <c:pt idx="5">
                  <c:v>3.9252881883282882</c:v>
                </c:pt>
                <c:pt idx="6">
                  <c:v>3.9252881883282882</c:v>
                </c:pt>
                <c:pt idx="7">
                  <c:v>3.9252881883282882</c:v>
                </c:pt>
                <c:pt idx="8">
                  <c:v>3.9252881883282882</c:v>
                </c:pt>
                <c:pt idx="9">
                  <c:v>3.9252881883282882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2C-4840-9ADD-1B65D3B0C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2962975"/>
        <c:axId val="862965375"/>
      </c:scatterChart>
      <c:valAx>
        <c:axId val="862962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2965375"/>
        <c:crosses val="autoZero"/>
        <c:crossBetween val="midCat"/>
      </c:valAx>
      <c:valAx>
        <c:axId val="862965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2962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'Simulation (2)'!$U$2</c:f>
              <c:strCache>
                <c:ptCount val="1"/>
                <c:pt idx="0">
                  <c:v>log accuracy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'Simulation (2)'!$T$3:$T$12</c:f>
              <c:numCache>
                <c:formatCode>General</c:formatCode>
                <c:ptCount val="10"/>
                <c:pt idx="0">
                  <c:v>-3</c:v>
                </c:pt>
                <c:pt idx="1">
                  <c:v>-2.6989700043360187</c:v>
                </c:pt>
                <c:pt idx="2">
                  <c:v>-2.5228787452803374</c:v>
                </c:pt>
                <c:pt idx="3">
                  <c:v>-2.3979400086720375</c:v>
                </c:pt>
                <c:pt idx="4">
                  <c:v>-2.3010299956639813</c:v>
                </c:pt>
                <c:pt idx="5">
                  <c:v>-2.2218487496163561</c:v>
                </c:pt>
                <c:pt idx="6">
                  <c:v>-2.1549019599857431</c:v>
                </c:pt>
                <c:pt idx="7">
                  <c:v>-2.0969100130080562</c:v>
                </c:pt>
                <c:pt idx="8">
                  <c:v>-2.0457574905606752</c:v>
                </c:pt>
                <c:pt idx="9">
                  <c:v>-2</c:v>
                </c:pt>
              </c:numCache>
            </c:numRef>
          </c:xVal>
          <c:yVal>
            <c:numRef>
              <c:f>'Simulation (2)'!$U$3:$U$12</c:f>
              <c:numCache>
                <c:formatCode>General</c:formatCode>
                <c:ptCount val="10"/>
                <c:pt idx="0">
                  <c:v>0.59387154745226256</c:v>
                </c:pt>
                <c:pt idx="1">
                  <c:v>0.59387154745226256</c:v>
                </c:pt>
                <c:pt idx="2">
                  <c:v>0.59387154745226256</c:v>
                </c:pt>
                <c:pt idx="3">
                  <c:v>0.59387154745226256</c:v>
                </c:pt>
                <c:pt idx="4">
                  <c:v>0.59387154745226256</c:v>
                </c:pt>
                <c:pt idx="5">
                  <c:v>0.59387154745226256</c:v>
                </c:pt>
                <c:pt idx="6">
                  <c:v>0.59387154745226256</c:v>
                </c:pt>
                <c:pt idx="7">
                  <c:v>0.59387154745226256</c:v>
                </c:pt>
                <c:pt idx="8">
                  <c:v>0.59387154745226256</c:v>
                </c:pt>
                <c:pt idx="9">
                  <c:v>0.59387154745226256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30-4B47-B10E-38A58C0FA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005695"/>
        <c:axId val="863001855"/>
      </c:scatterChart>
      <c:valAx>
        <c:axId val="863005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001855"/>
        <c:crosses val="autoZero"/>
        <c:crossBetween val="midCat"/>
      </c:valAx>
      <c:valAx>
        <c:axId val="86300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0056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10026</xdr:colOff>
      <xdr:row>12</xdr:row>
      <xdr:rowOff>17046</xdr:rowOff>
    </xdr:from>
    <xdr:to>
      <xdr:col>28</xdr:col>
      <xdr:colOff>320842</xdr:colOff>
      <xdr:row>23</xdr:row>
      <xdr:rowOff>223588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3CCC69-7A92-3E5C-0CFF-DCD136205B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50131</xdr:colOff>
      <xdr:row>12</xdr:row>
      <xdr:rowOff>47124</xdr:rowOff>
    </xdr:from>
    <xdr:to>
      <xdr:col>22</xdr:col>
      <xdr:colOff>661737</xdr:colOff>
      <xdr:row>24</xdr:row>
      <xdr:rowOff>23061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913877-7C3F-E5F4-6509-9FF9448FB2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16</xdr:col>
      <xdr:colOff>782053</xdr:colOff>
      <xdr:row>33</xdr:row>
      <xdr:rowOff>30078</xdr:rowOff>
    </xdr:from>
    <xdr:to>
      <xdr:col>28</xdr:col>
      <xdr:colOff>264488</xdr:colOff>
      <xdr:row>61</xdr:row>
      <xdr:rowOff>222509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3A18891-E60B-7B89-CCFC-B6B5D92D7C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786185" y="7640052"/>
          <a:ext cx="9288171" cy="664937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770282</xdr:colOff>
      <xdr:row>13</xdr:row>
      <xdr:rowOff>44726</xdr:rowOff>
    </xdr:from>
    <xdr:to>
      <xdr:col>22</xdr:col>
      <xdr:colOff>571500</xdr:colOff>
      <xdr:row>25</xdr:row>
      <xdr:rowOff>4970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6F75C3A-20C9-D6C8-A024-48D6B65E1D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8282</xdr:colOff>
      <xdr:row>13</xdr:row>
      <xdr:rowOff>28161</xdr:rowOff>
    </xdr:from>
    <xdr:to>
      <xdr:col>28</xdr:col>
      <xdr:colOff>604630</xdr:colOff>
      <xdr:row>24</xdr:row>
      <xdr:rowOff>220318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6938AD-4968-05D0-D63B-FBFBFEBAEA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17</xdr:col>
      <xdr:colOff>0</xdr:colOff>
      <xdr:row>30</xdr:row>
      <xdr:rowOff>0</xdr:rowOff>
    </xdr:from>
    <xdr:to>
      <xdr:col>32</xdr:col>
      <xdr:colOff>87392</xdr:colOff>
      <xdr:row>59</xdr:row>
      <xdr:rowOff>86662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2040D24-C09E-02F2-6CAB-D3A236893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782675" y="6858000"/>
          <a:ext cx="11946017" cy="671606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3CCDB-807E-4762-83AC-A616811C3245}">
  <dimension ref="B2:L6"/>
  <sheetViews>
    <sheetView workbookViewId="0">
      <selection activeCell="J5" sqref="J5"/>
    </sheetView>
  </sheetViews>
  <sheetFormatPr defaultRowHeight="18" x14ac:dyDescent="0.35"/>
  <cols>
    <col min="1" max="1" width="3.58203125" customWidth="1"/>
  </cols>
  <sheetData>
    <row r="2" spans="2:12" x14ac:dyDescent="0.35">
      <c r="C2" s="21" t="s">
        <v>0</v>
      </c>
      <c r="D2" s="21"/>
      <c r="E2" s="22" t="s">
        <v>10</v>
      </c>
      <c r="F2" s="22"/>
      <c r="G2" s="22" t="s">
        <v>13</v>
      </c>
      <c r="H2" s="22"/>
      <c r="I2" s="1" t="s">
        <v>11</v>
      </c>
      <c r="J2" s="2" t="s">
        <v>12</v>
      </c>
    </row>
    <row r="3" spans="2:12" x14ac:dyDescent="0.35">
      <c r="B3" s="4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</row>
    <row r="4" spans="2:12" ht="18.600000000000001" thickBot="1" x14ac:dyDescent="0.4">
      <c r="B4">
        <v>0</v>
      </c>
      <c r="C4">
        <v>1</v>
      </c>
      <c r="D4">
        <f ca="1">RAND()</f>
        <v>3.6177531055982759E-2</v>
      </c>
      <c r="E4">
        <f ca="1">-F4*D4</f>
        <v>-0.10853259316794828</v>
      </c>
      <c r="F4" s="17">
        <v>3</v>
      </c>
      <c r="G4">
        <f ca="1">E4</f>
        <v>-0.10853259316794828</v>
      </c>
      <c r="H4">
        <f>F4</f>
        <v>3</v>
      </c>
      <c r="I4">
        <f ca="1">SUMPRODUCT(G4:H4,C4:D4)</f>
        <v>0</v>
      </c>
      <c r="J4">
        <f ca="1">-SUMPRODUCT(E4:F4,C4:D4)</f>
        <v>0</v>
      </c>
    </row>
    <row r="5" spans="2:12" ht="19.2" thickTop="1" thickBot="1" x14ac:dyDescent="0.4">
      <c r="B5">
        <v>1</v>
      </c>
      <c r="C5">
        <v>1</v>
      </c>
      <c r="D5">
        <f ca="1">RAND()</f>
        <v>0.14496709091133586</v>
      </c>
      <c r="E5">
        <f ca="1">-E4</f>
        <v>0.10853259316794828</v>
      </c>
      <c r="F5" s="18">
        <f>-F4</f>
        <v>-3</v>
      </c>
      <c r="G5" cm="1">
        <f t="array" aca="1" ref="G5:H5" ca="1">G4:H4+E5:F5</f>
        <v>0</v>
      </c>
      <c r="H5">
        <f ca="1"/>
        <v>0</v>
      </c>
      <c r="I5">
        <f ca="1">SUMPRODUCT(G5:H5,C5:D5)</f>
        <v>0</v>
      </c>
      <c r="J5">
        <f ca="1">-SUMPRODUCT(E5:F5,C5:D5)</f>
        <v>0.32636867956605931</v>
      </c>
      <c r="K5">
        <f ca="1">F4*(D5-D4)</f>
        <v>0.32636867956605931</v>
      </c>
      <c r="L5" s="5">
        <f ca="1">J5-K5</f>
        <v>0</v>
      </c>
    </row>
    <row r="6" spans="2:12" ht="18.600000000000001" thickTop="1" x14ac:dyDescent="0.35"/>
  </sheetData>
  <mergeCells count="3">
    <mergeCell ref="C2:D2"/>
    <mergeCell ref="E2:F2"/>
    <mergeCell ref="G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952DD-292F-41DF-A786-89DEB5029ACA}">
  <dimension ref="B1:U260"/>
  <sheetViews>
    <sheetView zoomScale="76" workbookViewId="0">
      <selection activeCell="Q35" sqref="Q35"/>
    </sheetView>
  </sheetViews>
  <sheetFormatPr defaultRowHeight="18" x14ac:dyDescent="0.35"/>
  <cols>
    <col min="1" max="1" width="3.58203125" customWidth="1"/>
    <col min="2" max="2" width="9.9140625" bestFit="1" customWidth="1"/>
    <col min="7" max="7" width="11.6640625" bestFit="1" customWidth="1"/>
    <col min="10" max="10" width="10.1640625" bestFit="1" customWidth="1"/>
    <col min="13" max="13" width="11.6640625" bestFit="1" customWidth="1"/>
    <col min="24" max="24" width="11.9140625" bestFit="1" customWidth="1"/>
  </cols>
  <sheetData>
    <row r="1" spans="2:21" x14ac:dyDescent="0.35">
      <c r="B1" s="16" cm="1">
        <f t="array" aca="1" ref="B1" ca="1">_xll.MONTE.COUNT()</f>
        <v>4</v>
      </c>
      <c r="R1" t="s">
        <v>41</v>
      </c>
    </row>
    <row r="2" spans="2:21" x14ac:dyDescent="0.35">
      <c r="B2" s="3" t="s">
        <v>15</v>
      </c>
      <c r="C2">
        <v>0</v>
      </c>
      <c r="F2" s="3" t="s">
        <v>20</v>
      </c>
      <c r="G2" s="7" cm="1">
        <f t="array" ref="G2">_xll.OPTION.BLACK.PUT(f, sigma*SQRT(t), k)</f>
        <v>3.987761167674492</v>
      </c>
      <c r="I2" s="8" cm="1">
        <f t="array" ref="I2">_xll.OPTION.BLACK.PUT_DELTA(f, sigma*SQRT(t), k)</f>
        <v>-0.48006119416162751</v>
      </c>
      <c r="J2" s="8" cm="1">
        <f t="array" ref="J2">_xll.OPTION.BLACK.PUT(f+0.01, sigma*SQRT(t), k)</f>
        <v>3.9829625478526722</v>
      </c>
      <c r="K2" s="8" cm="1">
        <f t="array" ref="K2">_xll.OPTION.BLACK.PUT(f-0.01, sigma*SQRT(t), k)</f>
        <v>3.9925637719351386</v>
      </c>
      <c r="L2" s="8">
        <f>(J2-K2)/0.02</f>
        <v>-0.48006120412331654</v>
      </c>
      <c r="M2" s="9">
        <f>I2-L2</f>
        <v>9.9616890292253402E-9</v>
      </c>
      <c r="R2" t="s">
        <v>32</v>
      </c>
      <c r="S2" t="s">
        <v>30</v>
      </c>
      <c r="T2" t="s">
        <v>39</v>
      </c>
      <c r="U2" t="s">
        <v>40</v>
      </c>
    </row>
    <row r="3" spans="2:21" x14ac:dyDescent="0.35">
      <c r="B3" s="3" t="s">
        <v>16</v>
      </c>
      <c r="C3">
        <v>100</v>
      </c>
      <c r="F3" s="3" t="s">
        <v>28</v>
      </c>
      <c r="G3" s="7" cm="1">
        <f t="array" aca="1" ref="G3" ca="1">_xlfn.TAKE(S_,-1)</f>
        <v>104.86255852681701</v>
      </c>
      <c r="N3" s="6">
        <v>1</v>
      </c>
      <c r="O3" s="6" cm="1">
        <f t="array" ref="O3:O5">ad(N3:N5)</f>
        <v>1</v>
      </c>
      <c r="P3" s="6" cm="1">
        <f t="array" ref="P3:P5">_xlfn.SCAN(0,_xlfn.ANCHORARRAY(O3),_xlfn.LAMBDA(_xlpm.a,_xlpm.b,_xlpm.a+_xlpm.b))</f>
        <v>1</v>
      </c>
      <c r="R3" cm="1">
        <f t="array" ref="R3:R12">_xll.ARRAY.SEQUENCE(0.001, 0.01, 0.001)</f>
        <v>1E-3</v>
      </c>
      <c r="S3" s="20">
        <f ca="1">J6</f>
        <v>8.6944338985919765E-3</v>
      </c>
      <c r="T3">
        <f>LOG(R3)</f>
        <v>-3</v>
      </c>
      <c r="U3">
        <f ca="1">LOG(S3)</f>
        <v>-2.0607586899949575</v>
      </c>
    </row>
    <row r="4" spans="2:21" x14ac:dyDescent="0.35">
      <c r="B4" s="3" t="s">
        <v>14</v>
      </c>
      <c r="C4">
        <v>0.2</v>
      </c>
      <c r="F4" s="3" t="s">
        <v>24</v>
      </c>
      <c r="G4" s="10">
        <f ca="1">MAX(k - last,0)</f>
        <v>0</v>
      </c>
      <c r="H4" s="10">
        <f t="array" aca="1" ref="H4:I4" ca="1">_xll.MONTE.STDEV(G4)</f>
        <v>3.8920816848009876</v>
      </c>
      <c r="I4" s="10">
        <f ca="1"/>
        <v>3.7353735262856738</v>
      </c>
      <c r="M4">
        <v>1E-3</v>
      </c>
      <c r="N4" s="6">
        <v>2</v>
      </c>
      <c r="O4" s="6">
        <v>1</v>
      </c>
      <c r="P4" s="6">
        <v>2</v>
      </c>
      <c r="R4">
        <v>2E-3</v>
      </c>
      <c r="S4" s="20">
        <f t="dataTable" ref="S4:S12" dt2D="0" dtr="0" r1="C6" ca="1"/>
        <v>8.6944338985919765E-3</v>
      </c>
      <c r="T4">
        <f t="shared" ref="T4:T12" si="0">LOG(R4)</f>
        <v>-2.6989700043360187</v>
      </c>
      <c r="U4">
        <f t="shared" ref="U4:U12" si="1">LOG(S4)</f>
        <v>-2.0607586899949575</v>
      </c>
    </row>
    <row r="5" spans="2:21" x14ac:dyDescent="0.35">
      <c r="B5" s="3" t="s">
        <v>1</v>
      </c>
      <c r="C5">
        <v>0.25</v>
      </c>
      <c r="F5" s="3" t="s">
        <v>25</v>
      </c>
      <c r="G5" s="10" cm="1">
        <f t="array" aca="1" ref="G5" ca="1">_xlfn.TAKE(A,-1)</f>
        <v>-0.32856846978008963</v>
      </c>
      <c r="H5" s="10"/>
      <c r="I5" s="10"/>
      <c r="M5">
        <v>0.01</v>
      </c>
      <c r="N5" s="6">
        <v>3</v>
      </c>
      <c r="O5" s="6">
        <v>1</v>
      </c>
      <c r="P5" s="6">
        <v>3</v>
      </c>
      <c r="R5">
        <v>3.0000000000000001E-3</v>
      </c>
      <c r="S5" s="20">
        <v>8.6944338985919765E-3</v>
      </c>
      <c r="T5">
        <f t="shared" si="0"/>
        <v>-2.5228787452803374</v>
      </c>
      <c r="U5">
        <f t="shared" si="1"/>
        <v>-2.0607586899949575</v>
      </c>
    </row>
    <row r="6" spans="2:21" x14ac:dyDescent="0.35">
      <c r="B6" s="3" t="s">
        <v>21</v>
      </c>
      <c r="C6">
        <v>1E-3</v>
      </c>
      <c r="F6" s="3" t="s">
        <v>29</v>
      </c>
      <c r="G6" s="10">
        <f ca="1">payoff-hedge</f>
        <v>0.32856846978008963</v>
      </c>
      <c r="H6" s="7">
        <f t="array" aca="1" ref="H6:I6" ca="1">_xll.MONTE.STDEV(error)</f>
        <v>-6.0847739779225002E-2</v>
      </c>
      <c r="I6" s="12">
        <f ca="1"/>
        <v>3.4671325875717827E-2</v>
      </c>
      <c r="J6" s="15">
        <f ca="1">I6/put</f>
        <v>8.6944338985919765E-3</v>
      </c>
      <c r="K6" s="14" t="s">
        <v>30</v>
      </c>
      <c r="M6">
        <v>0.1</v>
      </c>
      <c r="R6">
        <v>4.0000000000000001E-3</v>
      </c>
      <c r="S6" s="20">
        <v>8.6944338985919765E-3</v>
      </c>
      <c r="T6">
        <f t="shared" si="0"/>
        <v>-2.3979400086720375</v>
      </c>
      <c r="U6">
        <f t="shared" si="1"/>
        <v>-2.0607586899949575</v>
      </c>
    </row>
    <row r="7" spans="2:21" x14ac:dyDescent="0.35">
      <c r="B7" s="3" t="s">
        <v>17</v>
      </c>
      <c r="C7">
        <v>100</v>
      </c>
      <c r="R7">
        <v>5.0000000000000001E-3</v>
      </c>
      <c r="S7" s="20">
        <v>8.6944338985919765E-3</v>
      </c>
      <c r="T7">
        <f t="shared" si="0"/>
        <v>-2.3010299956639813</v>
      </c>
      <c r="U7">
        <f t="shared" si="1"/>
        <v>-2.0607586899949575</v>
      </c>
    </row>
    <row r="8" spans="2:21" x14ac:dyDescent="0.35">
      <c r="D8" s="23" t="s">
        <v>0</v>
      </c>
      <c r="E8" s="23"/>
      <c r="F8" s="24" t="s">
        <v>10</v>
      </c>
      <c r="G8" s="24"/>
      <c r="H8" s="24" t="s">
        <v>13</v>
      </c>
      <c r="I8" s="24"/>
      <c r="J8" s="1" t="s">
        <v>11</v>
      </c>
      <c r="K8" s="2" t="s">
        <v>12</v>
      </c>
      <c r="R8">
        <v>6.0000000000000001E-3</v>
      </c>
      <c r="S8" s="20">
        <v>8.6944338985919765E-3</v>
      </c>
      <c r="T8">
        <f t="shared" si="0"/>
        <v>-2.2218487496163561</v>
      </c>
      <c r="U8">
        <f t="shared" si="1"/>
        <v>-2.0607586899949575</v>
      </c>
    </row>
    <row r="9" spans="2:21" x14ac:dyDescent="0.35">
      <c r="B9" s="4" t="s">
        <v>22</v>
      </c>
      <c r="C9" s="4" t="s">
        <v>23</v>
      </c>
      <c r="D9" s="4" t="s">
        <v>18</v>
      </c>
      <c r="E9" s="4" t="s">
        <v>19</v>
      </c>
      <c r="F9" s="4" t="s">
        <v>4</v>
      </c>
      <c r="G9" s="4" t="s">
        <v>5</v>
      </c>
      <c r="H9" s="4" t="s">
        <v>26</v>
      </c>
      <c r="I9" s="4" t="s">
        <v>27</v>
      </c>
      <c r="J9" s="4" t="s">
        <v>8</v>
      </c>
      <c r="K9" s="4" t="s">
        <v>9</v>
      </c>
      <c r="L9" s="13" t="s">
        <v>31</v>
      </c>
      <c r="R9">
        <v>7.0000000000000001E-3</v>
      </c>
      <c r="S9" s="20">
        <v>8.6944338985919765E-3</v>
      </c>
      <c r="T9">
        <f t="shared" si="0"/>
        <v>-2.1549019599857431</v>
      </c>
      <c r="U9">
        <f t="shared" si="1"/>
        <v>-2.0607586899949575</v>
      </c>
    </row>
    <row r="10" spans="2:21" x14ac:dyDescent="0.35">
      <c r="B10" cm="1">
        <f t="array" ref="B10:B260">_xll.ARRAY.SEQUENCE(0, t, dt)</f>
        <v>0</v>
      </c>
      <c r="C10" cm="1">
        <f t="array" aca="1" ref="C10:C260" ca="1">_xll.RANDOM.BROWNIAN(t_)</f>
        <v>0</v>
      </c>
      <c r="D10" cm="1">
        <f t="array" aca="1" ref="D10:D260" ca="1">1+0*B_</f>
        <v>1</v>
      </c>
      <c r="E10" cm="1">
        <f t="array" aca="1" ref="E10:E260" ca="1">f*EXP(sigma*B_+(mu-sigma*sigma/2)*t_)</f>
        <v>100</v>
      </c>
      <c r="F10" s="10" cm="1">
        <f t="array" aca="1" ref="F10:F260" ca="1">co(put*(t_ = 0) - N*S_/R_)</f>
        <v>51.993880583837246</v>
      </c>
      <c r="G10" s="7" cm="1">
        <f t="array" aca="1" ref="G10:G260" ca="1">co(ad(_N))</f>
        <v>-0.48006119416162751</v>
      </c>
      <c r="H10" s="10" cm="1">
        <f t="array" aca="1" ref="H10:H260" ca="1">_xlfn.SCAN(0,M,_xlfn.LAMBDA(_xlpm.a,_xlpm.b,_xlpm.a+_xlpm.b))</f>
        <v>51.993880583837246</v>
      </c>
      <c r="I10" s="7" cm="1">
        <f t="array" aca="1" ref="I10:I260" ca="1">_xlfn.VSTACK(_xlfn.DROP(_xlfn.MAP(t_,S_,_xlfn.LAMBDA(_xlpm._t,_xlpm._S,_xll.OPTION.BLACK.PUT_DELTA(_xlpm._S,sigma*SQRT(t - _xlpm._t),k))),-1),0)</f>
        <v>-0.48006119416162751</v>
      </c>
      <c r="J10" s="7" cm="1">
        <f t="array" aca="1" ref="J10:J260" ca="1">_M * R_ + _N * S_</f>
        <v>3.987761167674492</v>
      </c>
      <c r="K10" cm="1">
        <f t="array" aca="1" ref="K10:K260" ca="1">-M * R_ - N * S_</f>
        <v>-3.987761167674492</v>
      </c>
      <c r="L10" cm="1">
        <f t="array" aca="1" ref="L10:L260" ca="1">_xlfn.MAP(S_,_xlfn.LAMBDA(_xlpm.s,MAX(k-_xlpm.s,0)))</f>
        <v>0</v>
      </c>
      <c r="M10" s="19">
        <f ca="1">put - G10*E10</f>
        <v>51.993880583837246</v>
      </c>
      <c r="N10" s="19">
        <f ca="1">F10-M10</f>
        <v>0</v>
      </c>
      <c r="R10">
        <v>8.0000000000000002E-3</v>
      </c>
      <c r="S10" s="20">
        <v>8.6944338985919765E-3</v>
      </c>
      <c r="T10">
        <f t="shared" si="0"/>
        <v>-2.0969100130080562</v>
      </c>
      <c r="U10">
        <f t="shared" si="1"/>
        <v>-2.0607586899949575</v>
      </c>
    </row>
    <row r="11" spans="2:21" x14ac:dyDescent="0.35">
      <c r="B11">
        <v>1E-3</v>
      </c>
      <c r="C11">
        <f ca="1"/>
        <v>9.5567810295004205E-2</v>
      </c>
      <c r="D11">
        <f ca="1"/>
        <v>1</v>
      </c>
      <c r="E11" s="11">
        <f ca="1"/>
        <v>101.92770098119739</v>
      </c>
      <c r="F11" s="10">
        <f ca="1"/>
        <v>-7.6821199361496371</v>
      </c>
      <c r="G11" s="7">
        <f ca="1"/>
        <v>7.5368323450822838E-2</v>
      </c>
      <c r="H11" s="10">
        <f ca="1"/>
        <v>44.311760647687606</v>
      </c>
      <c r="I11" s="7">
        <f ca="1"/>
        <v>-0.40469287071080468</v>
      </c>
      <c r="J11" s="7">
        <f ca="1"/>
        <v>3.0623467326543334</v>
      </c>
      <c r="K11">
        <f ca="1"/>
        <v>0</v>
      </c>
      <c r="L11">
        <f ca="1"/>
        <v>0</v>
      </c>
      <c r="M11" s="19">
        <f ca="1" xml:space="preserve"> - G11*E11</f>
        <v>-7.6821199361496371</v>
      </c>
      <c r="N11" s="19">
        <f ca="1">F11-M11</f>
        <v>0</v>
      </c>
      <c r="R11">
        <v>9.0000000000000011E-3</v>
      </c>
      <c r="S11" s="20">
        <v>8.6944338985919765E-3</v>
      </c>
      <c r="T11">
        <f t="shared" si="0"/>
        <v>-2.0457574905606752</v>
      </c>
      <c r="U11">
        <f t="shared" si="1"/>
        <v>-2.0607586899949575</v>
      </c>
    </row>
    <row r="12" spans="2:21" x14ac:dyDescent="0.35">
      <c r="B12">
        <v>2E-3</v>
      </c>
      <c r="C12">
        <f ca="1"/>
        <v>0.14686017632034587</v>
      </c>
      <c r="D12">
        <f ca="1"/>
        <v>1</v>
      </c>
      <c r="E12" s="11">
        <f ca="1"/>
        <v>102.97664564941789</v>
      </c>
      <c r="F12" s="10">
        <f ca="1"/>
        <v>-4.0554930550544075</v>
      </c>
      <c r="G12" s="7">
        <f ca="1"/>
        <v>3.9382648652795116E-2</v>
      </c>
      <c r="H12" s="10">
        <f ca="1"/>
        <v>40.256267592633201</v>
      </c>
      <c r="I12" s="7">
        <f ca="1"/>
        <v>-0.36531022205800956</v>
      </c>
      <c r="J12" s="7">
        <f ca="1"/>
        <v>2.6378463036553867</v>
      </c>
      <c r="K12">
        <f ca="1"/>
        <v>0</v>
      </c>
      <c r="L12">
        <f ca="1"/>
        <v>0</v>
      </c>
      <c r="R12">
        <v>1.0000000000000002E-2</v>
      </c>
      <c r="S12" s="20">
        <v>8.6944338985919765E-3</v>
      </c>
      <c r="T12">
        <f t="shared" si="0"/>
        <v>-2</v>
      </c>
      <c r="U12">
        <f t="shared" si="1"/>
        <v>-2.0607586899949575</v>
      </c>
    </row>
    <row r="13" spans="2:21" x14ac:dyDescent="0.35">
      <c r="B13">
        <v>3.0000000000000001E-3</v>
      </c>
      <c r="C13">
        <f ca="1"/>
        <v>0.12497770331801182</v>
      </c>
      <c r="D13">
        <f ca="1"/>
        <v>1</v>
      </c>
      <c r="E13" s="11">
        <f ca="1"/>
        <v>102.52490315222109</v>
      </c>
      <c r="F13" s="10">
        <f ca="1"/>
        <v>1.6981385953022365</v>
      </c>
      <c r="G13" s="7">
        <f ca="1"/>
        <v>-1.6563181657250348E-2</v>
      </c>
      <c r="H13" s="10">
        <f ca="1"/>
        <v>41.95440618793544</v>
      </c>
      <c r="I13" s="7">
        <f ca="1"/>
        <v>-0.38187340371525991</v>
      </c>
      <c r="J13" s="7">
        <f ca="1"/>
        <v>2.8028724556193936</v>
      </c>
      <c r="K13">
        <f ca="1"/>
        <v>0</v>
      </c>
      <c r="L13">
        <f ca="1"/>
        <v>0</v>
      </c>
    </row>
    <row r="14" spans="2:21" x14ac:dyDescent="0.35">
      <c r="B14">
        <v>4.0000000000000001E-3</v>
      </c>
      <c r="C14">
        <f ca="1"/>
        <v>0.10029792217952296</v>
      </c>
      <c r="D14">
        <f ca="1"/>
        <v>1</v>
      </c>
      <c r="E14" s="11">
        <f ca="1"/>
        <v>102.01805122535144</v>
      </c>
      <c r="F14" s="10">
        <f ca="1"/>
        <v>1.9413012272053491</v>
      </c>
      <c r="G14" s="7">
        <f ca="1"/>
        <v>-1.9028997357704247E-2</v>
      </c>
      <c r="H14" s="10">
        <f ca="1"/>
        <v>43.895707415140791</v>
      </c>
      <c r="I14" s="7">
        <f ca="1"/>
        <v>-0.40090240107296415</v>
      </c>
      <c r="J14" s="7">
        <f ca="1"/>
        <v>2.9964257261127472</v>
      </c>
      <c r="K14">
        <f ca="1"/>
        <v>0</v>
      </c>
      <c r="L14">
        <f ca="1"/>
        <v>0</v>
      </c>
      <c r="M14" s="19">
        <f ca="1">f*EXP(sigma*C14-sigma^2*B14/2)</f>
        <v>102.01805122535144</v>
      </c>
      <c r="N14" s="19">
        <f ca="1">E14-M14</f>
        <v>0</v>
      </c>
    </row>
    <row r="15" spans="2:21" x14ac:dyDescent="0.35">
      <c r="B15">
        <v>5.0000000000000001E-3</v>
      </c>
      <c r="C15">
        <f ca="1"/>
        <v>9.4067251906328489E-2</v>
      </c>
      <c r="D15">
        <f ca="1"/>
        <v>1</v>
      </c>
      <c r="E15" s="11">
        <f ca="1"/>
        <v>101.88896443434305</v>
      </c>
      <c r="F15" s="10">
        <f ca="1"/>
        <v>0.4923171771712192</v>
      </c>
      <c r="G15" s="7">
        <f ca="1"/>
        <v>-4.8318989196172168E-3</v>
      </c>
      <c r="H15" s="10">
        <f ca="1"/>
        <v>44.388024592312007</v>
      </c>
      <c r="I15" s="7">
        <f ca="1"/>
        <v>-0.40573429999258137</v>
      </c>
      <c r="J15" s="7">
        <f ca="1"/>
        <v>3.0481769305748116</v>
      </c>
      <c r="K15">
        <f ca="1"/>
        <v>0</v>
      </c>
      <c r="L15">
        <f ca="1"/>
        <v>0</v>
      </c>
    </row>
    <row r="16" spans="2:21" x14ac:dyDescent="0.35">
      <c r="B16">
        <v>6.0000000000000001E-3</v>
      </c>
      <c r="C16">
        <f ca="1"/>
        <v>4.7202242655093339E-2</v>
      </c>
      <c r="D16">
        <f ca="1"/>
        <v>1</v>
      </c>
      <c r="E16" s="11">
        <f ca="1"/>
        <v>100.93640191721967</v>
      </c>
      <c r="F16" s="10">
        <f ca="1"/>
        <v>3.7466235352865418</v>
      </c>
      <c r="G16" s="7">
        <f ca="1"/>
        <v>-3.7118655550643032E-2</v>
      </c>
      <c r="H16" s="10">
        <f ca="1"/>
        <v>48.134648127598552</v>
      </c>
      <c r="I16" s="7">
        <f ca="1"/>
        <v>-0.4428529555432244</v>
      </c>
      <c r="J16" s="7">
        <f ca="1"/>
        <v>3.4346642166590371</v>
      </c>
      <c r="K16">
        <f ca="1"/>
        <v>0</v>
      </c>
      <c r="L16">
        <f ca="1"/>
        <v>0</v>
      </c>
      <c r="M16" s="19" cm="1">
        <f t="array" aca="1" ref="M16" ca="1">_xll.OPTION.BLACK.PUT_DELTA(E16,sigma*SQRT(t - B16),k)</f>
        <v>-0.4428529555432244</v>
      </c>
      <c r="N16" s="19">
        <f ca="1">I16-M16</f>
        <v>0</v>
      </c>
    </row>
    <row r="17" spans="2:18" x14ac:dyDescent="0.35">
      <c r="B17">
        <v>7.0000000000000001E-3</v>
      </c>
      <c r="C17">
        <f ca="1"/>
        <v>-1.1193227839716428E-2</v>
      </c>
      <c r="D17">
        <f ca="1"/>
        <v>1</v>
      </c>
      <c r="E17" s="11">
        <f ca="1"/>
        <v>99.7624181167714</v>
      </c>
      <c r="F17" s="10">
        <f ca="1"/>
        <v>4.6995445506949647</v>
      </c>
      <c r="G17" s="7">
        <f ca="1"/>
        <v>-4.7107364069645663E-2</v>
      </c>
      <c r="H17" s="10">
        <f ca="1"/>
        <v>52.834192678293519</v>
      </c>
      <c r="I17" s="7">
        <f ca="1"/>
        <v>-0.48996031961287007</v>
      </c>
      <c r="J17" s="7">
        <f ca="1"/>
        <v>3.9545664124474271</v>
      </c>
      <c r="K17">
        <f ca="1"/>
        <v>0</v>
      </c>
      <c r="L17">
        <f ca="1"/>
        <v>0.23758188322860008</v>
      </c>
    </row>
    <row r="18" spans="2:18" x14ac:dyDescent="0.35">
      <c r="B18">
        <v>8.0000000000000002E-3</v>
      </c>
      <c r="C18">
        <f ca="1"/>
        <v>-2.0458354453879724E-2</v>
      </c>
      <c r="D18">
        <f ca="1"/>
        <v>1</v>
      </c>
      <c r="E18" s="11">
        <f ca="1"/>
        <v>99.575735466614262</v>
      </c>
      <c r="F18" s="10">
        <f ca="1"/>
        <v>0.76216478082850481</v>
      </c>
      <c r="G18" s="7">
        <f ca="1"/>
        <v>-7.6541215312845301E-3</v>
      </c>
      <c r="H18" s="10">
        <f ca="1"/>
        <v>53.596357459122025</v>
      </c>
      <c r="I18" s="7">
        <f ca="1"/>
        <v>-0.4976144411441546</v>
      </c>
      <c r="J18" s="7">
        <f ca="1"/>
        <v>4.0460335033845922</v>
      </c>
      <c r="K18">
        <f ca="1"/>
        <v>0</v>
      </c>
      <c r="L18">
        <f ca="1"/>
        <v>0.42426453338573822</v>
      </c>
    </row>
    <row r="19" spans="2:18" x14ac:dyDescent="0.35">
      <c r="B19">
        <v>9.0000000000000011E-3</v>
      </c>
      <c r="C19">
        <f ca="1"/>
        <v>-2.2601398428250527E-2</v>
      </c>
      <c r="D19">
        <f ca="1"/>
        <v>1</v>
      </c>
      <c r="E19" s="11">
        <f ca="1"/>
        <v>99.531074934230674</v>
      </c>
      <c r="F19" s="10">
        <f ca="1"/>
        <v>0.18902022521144074</v>
      </c>
      <c r="G19" s="7">
        <f ca="1"/>
        <v>-1.8991076438825139E-3</v>
      </c>
      <c r="H19" s="10">
        <f ca="1"/>
        <v>53.785377684333469</v>
      </c>
      <c r="I19" s="7">
        <f ca="1"/>
        <v>-0.49951354878803711</v>
      </c>
      <c r="J19" s="7">
        <f ca="1"/>
        <v>4.0682572292478554</v>
      </c>
      <c r="K19">
        <f ca="1"/>
        <v>0</v>
      </c>
      <c r="L19">
        <f ca="1"/>
        <v>0.46892506576932647</v>
      </c>
    </row>
    <row r="20" spans="2:18" x14ac:dyDescent="0.35">
      <c r="B20">
        <v>0.01</v>
      </c>
      <c r="C20">
        <f ca="1"/>
        <v>-3.9813599782061726E-3</v>
      </c>
      <c r="D20">
        <f ca="1"/>
        <v>1</v>
      </c>
      <c r="E20" s="11">
        <f ca="1"/>
        <v>99.900422411853484</v>
      </c>
      <c r="F20" s="10">
        <f ca="1"/>
        <v>-1.4982317636789817</v>
      </c>
      <c r="G20" s="7">
        <f ca="1"/>
        <v>1.4997251538159784E-2</v>
      </c>
      <c r="H20" s="10">
        <f ca="1"/>
        <v>52.287145920654488</v>
      </c>
      <c r="I20" s="7">
        <f ca="1"/>
        <v>-0.48451629724987733</v>
      </c>
      <c r="J20" s="7">
        <f ca="1"/>
        <v>3.8837631599645803</v>
      </c>
      <c r="K20">
        <f ca="1"/>
        <v>0</v>
      </c>
      <c r="L20">
        <f ca="1"/>
        <v>9.9577588146516405E-2</v>
      </c>
      <c r="M20" s="6">
        <f t="array" aca="1" ref="M20:M21" ca="1">_xll.MONTE.STDEV(C20)</f>
        <v>6.9430161663386419E-2</v>
      </c>
      <c r="N20" s="6">
        <v>0</v>
      </c>
      <c r="O20" s="6">
        <f t="array" aca="1" ref="O20:O21" ca="1">_xll.MONTE.STDEV(E20)</f>
        <v>101.41352890540301</v>
      </c>
      <c r="P20" s="6">
        <f>f*EXP(mu*B20)</f>
        <v>100</v>
      </c>
    </row>
    <row r="21" spans="2:18" x14ac:dyDescent="0.35">
      <c r="B21">
        <v>1.0999999999999999E-2</v>
      </c>
      <c r="C21">
        <f ca="1"/>
        <v>-9.6764189067586152E-3</v>
      </c>
      <c r="D21">
        <f ca="1"/>
        <v>1</v>
      </c>
      <c r="E21" s="11">
        <f ca="1"/>
        <v>99.784703717499795</v>
      </c>
      <c r="F21" s="10">
        <f ca="1"/>
        <v>0.47653481559953942</v>
      </c>
      <c r="G21" s="7">
        <f ca="1"/>
        <v>-4.7756299096568533E-3</v>
      </c>
      <c r="H21" s="10">
        <f ca="1"/>
        <v>52.763680736254031</v>
      </c>
      <c r="I21" s="7">
        <f ca="1"/>
        <v>-0.48929192715953418</v>
      </c>
      <c r="J21" s="7">
        <f ca="1"/>
        <v>3.9398307532754231</v>
      </c>
      <c r="K21">
        <f ca="1"/>
        <v>0</v>
      </c>
      <c r="L21">
        <f ca="1"/>
        <v>0.21529628250020494</v>
      </c>
      <c r="M21" s="6">
        <f ca="1"/>
        <v>0.18460861453158464</v>
      </c>
      <c r="N21" s="6">
        <f>SQRT(B20)</f>
        <v>0.1</v>
      </c>
      <c r="O21" s="6">
        <f ca="1"/>
        <v>3.7448414905143288</v>
      </c>
      <c r="P21" s="6"/>
    </row>
    <row r="22" spans="2:18" x14ac:dyDescent="0.35">
      <c r="B22">
        <v>1.2E-2</v>
      </c>
      <c r="C22">
        <f ca="1"/>
        <v>-2.8131729464031689E-2</v>
      </c>
      <c r="D22">
        <f ca="1"/>
        <v>1</v>
      </c>
      <c r="E22" s="11">
        <f ca="1"/>
        <v>99.415082751613127</v>
      </c>
      <c r="F22" s="10">
        <f ca="1"/>
        <v>1.5142466440175129</v>
      </c>
      <c r="G22" s="7">
        <f ca="1"/>
        <v>-1.5231558452763472E-2</v>
      </c>
      <c r="H22" s="10">
        <f ca="1"/>
        <v>54.277927380271542</v>
      </c>
      <c r="I22" s="7">
        <f ca="1"/>
        <v>-0.50452348561229765</v>
      </c>
      <c r="J22" s="7">
        <f ca="1"/>
        <v>4.1206833079926781</v>
      </c>
      <c r="K22">
        <f ca="1"/>
        <v>0</v>
      </c>
      <c r="L22">
        <f ca="1"/>
        <v>0.58491724838687276</v>
      </c>
    </row>
    <row r="23" spans="2:18" x14ac:dyDescent="0.35">
      <c r="B23">
        <v>1.3000000000000001E-2</v>
      </c>
      <c r="C23">
        <f ca="1"/>
        <v>1.4723434411173728E-3</v>
      </c>
      <c r="D23">
        <f ca="1"/>
        <v>1</v>
      </c>
      <c r="E23" s="11">
        <f ca="1"/>
        <v>100.00344692822756</v>
      </c>
      <c r="F23" s="10">
        <f ca="1"/>
        <v>-2.4079275232731798</v>
      </c>
      <c r="G23" s="7">
        <f ca="1"/>
        <v>2.4078445266005166E-2</v>
      </c>
      <c r="H23" s="10">
        <f ca="1"/>
        <v>51.869999856998362</v>
      </c>
      <c r="I23" s="7">
        <f ca="1"/>
        <v>-0.48044504034629248</v>
      </c>
      <c r="J23" s="7">
        <f ca="1"/>
        <v>3.8238397627977534</v>
      </c>
      <c r="K23">
        <f ca="1"/>
        <v>0</v>
      </c>
      <c r="L23">
        <f ca="1"/>
        <v>0</v>
      </c>
    </row>
    <row r="24" spans="2:18" x14ac:dyDescent="0.35">
      <c r="B24">
        <v>1.4E-2</v>
      </c>
      <c r="C24">
        <f ca="1"/>
        <v>-2.6322068995916836E-2</v>
      </c>
      <c r="D24">
        <f ca="1"/>
        <v>1</v>
      </c>
      <c r="E24" s="11">
        <f ca="1"/>
        <v>99.447092809597081</v>
      </c>
      <c r="F24" s="10">
        <f ca="1"/>
        <v>2.2813165108861844</v>
      </c>
      <c r="G24" s="7">
        <f ca="1"/>
        <v>-2.2940002029561868E-2</v>
      </c>
      <c r="H24" s="10">
        <f ca="1"/>
        <v>54.151316367884547</v>
      </c>
      <c r="I24" s="7">
        <f ca="1"/>
        <v>-0.50338504237585435</v>
      </c>
      <c r="J24" s="7">
        <f ca="1"/>
        <v>4.0911373397700004</v>
      </c>
      <c r="K24">
        <f ca="1"/>
        <v>0</v>
      </c>
      <c r="L24">
        <f ca="1"/>
        <v>0.55290719040291947</v>
      </c>
    </row>
    <row r="25" spans="2:18" x14ac:dyDescent="0.35">
      <c r="B25">
        <v>1.4999999999999999E-2</v>
      </c>
      <c r="C25">
        <f ca="1"/>
        <v>-3.1769808738254732E-3</v>
      </c>
      <c r="D25">
        <f ca="1"/>
        <v>1</v>
      </c>
      <c r="E25" s="11">
        <f ca="1"/>
        <v>99.906504117186202</v>
      </c>
      <c r="F25" s="10">
        <f ca="1"/>
        <v>-1.8854005936473341</v>
      </c>
      <c r="G25" s="7">
        <f ca="1"/>
        <v>1.8871650152384845E-2</v>
      </c>
      <c r="H25" s="10">
        <f ca="1"/>
        <v>52.265915774237214</v>
      </c>
      <c r="I25" s="7">
        <f ca="1"/>
        <v>-0.48451339222346951</v>
      </c>
      <c r="J25" s="7">
        <f ca="1"/>
        <v>3.8598765592313029</v>
      </c>
      <c r="K25">
        <f ca="1"/>
        <v>0</v>
      </c>
      <c r="L25">
        <f ca="1"/>
        <v>9.3495882813797948E-2</v>
      </c>
    </row>
    <row r="26" spans="2:18" x14ac:dyDescent="0.35">
      <c r="B26">
        <v>1.6E-2</v>
      </c>
      <c r="C26">
        <f ca="1"/>
        <v>-2.2928305047161684E-2</v>
      </c>
      <c r="D26">
        <f ca="1"/>
        <v>1</v>
      </c>
      <c r="E26" s="11">
        <f ca="1"/>
        <v>99.510635209343931</v>
      </c>
      <c r="F26" s="10">
        <f ca="1"/>
        <v>1.6336793596373202</v>
      </c>
      <c r="G26" s="7">
        <f ca="1"/>
        <v>-1.6417133266213135E-2</v>
      </c>
      <c r="H26" s="10">
        <f ca="1"/>
        <v>53.899595133874534</v>
      </c>
      <c r="I26" s="7">
        <f ca="1"/>
        <v>-0.50093052548968264</v>
      </c>
      <c r="J26" s="7">
        <f ca="1"/>
        <v>4.0516803466457603</v>
      </c>
      <c r="K26">
        <f ca="1"/>
        <v>0</v>
      </c>
      <c r="L26">
        <f ca="1"/>
        <v>0.48936479065606875</v>
      </c>
    </row>
    <row r="27" spans="2:18" x14ac:dyDescent="0.35">
      <c r="B27">
        <v>1.7000000000000001E-2</v>
      </c>
      <c r="C27">
        <f ca="1"/>
        <v>-4.1268390228670362E-2</v>
      </c>
      <c r="D27">
        <f ca="1"/>
        <v>1</v>
      </c>
      <c r="E27" s="11">
        <f ca="1"/>
        <v>99.144314205658418</v>
      </c>
      <c r="F27" s="10">
        <f ca="1"/>
        <v>1.5189404220586256</v>
      </c>
      <c r="G27" s="7">
        <f ca="1"/>
        <v>-1.532049955893422E-2</v>
      </c>
      <c r="H27" s="10">
        <f ca="1"/>
        <v>55.418535555933161</v>
      </c>
      <c r="I27" s="7">
        <f ca="1"/>
        <v>-0.51625102504861686</v>
      </c>
      <c r="J27" s="7">
        <f ca="1"/>
        <v>4.2351817195198578</v>
      </c>
      <c r="K27">
        <f ca="1"/>
        <v>0</v>
      </c>
      <c r="L27">
        <f ca="1"/>
        <v>0.8556857943415821</v>
      </c>
      <c r="R27" t="s">
        <v>33</v>
      </c>
    </row>
    <row r="28" spans="2:18" x14ac:dyDescent="0.35">
      <c r="B28">
        <v>1.8000000000000002E-2</v>
      </c>
      <c r="C28">
        <f ca="1"/>
        <v>-3.2899145933110482E-2</v>
      </c>
      <c r="D28">
        <f ca="1"/>
        <v>1</v>
      </c>
      <c r="E28" s="11">
        <f ca="1"/>
        <v>99.308419581934231</v>
      </c>
      <c r="F28" s="10">
        <f ca="1"/>
        <v>-0.66811333970447861</v>
      </c>
      <c r="G28" s="7">
        <f ca="1"/>
        <v>6.7276605802114586E-3</v>
      </c>
      <c r="H28" s="10">
        <f ca="1"/>
        <v>54.750422216228685</v>
      </c>
      <c r="I28" s="7">
        <f ca="1"/>
        <v>-0.5095233644684054</v>
      </c>
      <c r="J28" s="7">
        <f ca="1"/>
        <v>4.1504621508014807</v>
      </c>
      <c r="K28">
        <f ca="1"/>
        <v>0</v>
      </c>
      <c r="L28">
        <f ca="1"/>
        <v>0.69158041806576875</v>
      </c>
      <c r="R28" t="s">
        <v>34</v>
      </c>
    </row>
    <row r="29" spans="2:18" x14ac:dyDescent="0.35">
      <c r="B29">
        <v>1.9E-2</v>
      </c>
      <c r="C29">
        <f ca="1"/>
        <v>-1.6294583909655228E-2</v>
      </c>
      <c r="D29">
        <f ca="1"/>
        <v>1</v>
      </c>
      <c r="E29" s="11">
        <f ca="1"/>
        <v>99.636769605212578</v>
      </c>
      <c r="F29" s="10">
        <f ca="1"/>
        <v>-1.3545651443393834</v>
      </c>
      <c r="G29" s="7">
        <f ca="1"/>
        <v>1.3595032734466717E-2</v>
      </c>
      <c r="H29" s="10">
        <f ca="1"/>
        <v>53.395857071889303</v>
      </c>
      <c r="I29" s="7">
        <f ca="1"/>
        <v>-0.49592833173393869</v>
      </c>
      <c r="J29" s="7">
        <f ca="1"/>
        <v>3.9831601422174217</v>
      </c>
      <c r="K29">
        <f ca="1"/>
        <v>0</v>
      </c>
      <c r="L29">
        <f ca="1"/>
        <v>0.36323039478742203</v>
      </c>
      <c r="R29" t="s">
        <v>35</v>
      </c>
    </row>
    <row r="30" spans="2:18" x14ac:dyDescent="0.35">
      <c r="B30">
        <v>0.02</v>
      </c>
      <c r="C30">
        <f ca="1"/>
        <v>9.775912425949735E-3</v>
      </c>
      <c r="D30">
        <f ca="1"/>
        <v>1</v>
      </c>
      <c r="E30" s="11">
        <f ca="1"/>
        <v>100.15563924086071</v>
      </c>
      <c r="F30" s="10">
        <f ca="1"/>
        <v>-2.1545261395606414</v>
      </c>
      <c r="G30" s="7">
        <f ca="1"/>
        <v>2.1511780623548304E-2</v>
      </c>
      <c r="H30" s="10">
        <f ca="1"/>
        <v>51.241330932328658</v>
      </c>
      <c r="I30" s="7">
        <f ca="1"/>
        <v>-0.47441655111039038</v>
      </c>
      <c r="J30" s="7">
        <f ca="1"/>
        <v>3.7258379894230416</v>
      </c>
      <c r="K30">
        <f ca="1"/>
        <v>0</v>
      </c>
      <c r="L30">
        <f ca="1"/>
        <v>0</v>
      </c>
      <c r="R30" t="s">
        <v>36</v>
      </c>
    </row>
    <row r="31" spans="2:18" x14ac:dyDescent="0.35">
      <c r="B31">
        <v>2.1000000000000001E-2</v>
      </c>
      <c r="C31">
        <f ca="1"/>
        <v>5.1985685845289314E-2</v>
      </c>
      <c r="D31">
        <f ca="1"/>
        <v>1</v>
      </c>
      <c r="E31" s="11">
        <f ca="1"/>
        <v>101.00270747419341</v>
      </c>
      <c r="F31" s="10">
        <f ca="1"/>
        <v>-3.5211951858899253</v>
      </c>
      <c r="G31" s="7">
        <f ca="1"/>
        <v>3.486238412757009E-2</v>
      </c>
      <c r="H31" s="10">
        <f ca="1"/>
        <v>47.720135746438736</v>
      </c>
      <c r="I31" s="7">
        <f ca="1"/>
        <v>-0.43955416698282029</v>
      </c>
      <c r="J31" s="7">
        <f ca="1"/>
        <v>3.3239747996101698</v>
      </c>
      <c r="K31">
        <f ca="1"/>
        <v>0</v>
      </c>
      <c r="L31">
        <f ca="1"/>
        <v>0</v>
      </c>
    </row>
    <row r="32" spans="2:18" x14ac:dyDescent="0.35">
      <c r="B32">
        <v>2.1999999999999999E-2</v>
      </c>
      <c r="C32">
        <f ca="1"/>
        <v>1.9125603711750858E-2</v>
      </c>
      <c r="D32">
        <f ca="1"/>
        <v>1</v>
      </c>
      <c r="E32" s="11">
        <f ca="1"/>
        <v>100.33908567340856</v>
      </c>
      <c r="F32" s="10">
        <f ca="1"/>
        <v>2.7386179985681545</v>
      </c>
      <c r="G32" s="7">
        <f ca="1"/>
        <v>-2.7293631192554624E-2</v>
      </c>
      <c r="H32" s="10">
        <f ca="1"/>
        <v>50.458753745006888</v>
      </c>
      <c r="I32" s="7">
        <f ca="1"/>
        <v>-0.46684779817537492</v>
      </c>
      <c r="J32" s="7">
        <f ca="1"/>
        <v>3.6156725274457955</v>
      </c>
      <c r="K32">
        <f ca="1"/>
        <v>0</v>
      </c>
      <c r="L32">
        <f ca="1"/>
        <v>0</v>
      </c>
      <c r="R32" t="s">
        <v>44</v>
      </c>
    </row>
    <row r="33" spans="2:12" x14ac:dyDescent="0.35">
      <c r="B33">
        <v>2.3E-2</v>
      </c>
      <c r="C33">
        <f ca="1"/>
        <v>-1.2581835739647329E-4</v>
      </c>
      <c r="D33">
        <f ca="1"/>
        <v>1</v>
      </c>
      <c r="E33" s="11">
        <f ca="1"/>
        <v>99.951495400138384</v>
      </c>
      <c r="F33" s="10">
        <f ca="1"/>
        <v>1.6173275643859297</v>
      </c>
      <c r="G33" s="7">
        <f ca="1"/>
        <v>-1.6181124233421829E-2</v>
      </c>
      <c r="H33" s="10">
        <f ca="1"/>
        <v>52.076081309392819</v>
      </c>
      <c r="I33" s="7">
        <f ca="1"/>
        <v>-0.48302892240879675</v>
      </c>
      <c r="J33" s="7">
        <f ca="1"/>
        <v>3.7966181931161742</v>
      </c>
      <c r="K33">
        <f ca="1"/>
        <v>0</v>
      </c>
      <c r="L33">
        <f ca="1"/>
        <v>4.8504599861615816E-2</v>
      </c>
    </row>
    <row r="34" spans="2:12" x14ac:dyDescent="0.35">
      <c r="B34">
        <v>2.4E-2</v>
      </c>
      <c r="C34">
        <f ca="1"/>
        <v>3.1609410881839078E-2</v>
      </c>
      <c r="D34">
        <f ca="1"/>
        <v>1</v>
      </c>
      <c r="E34" s="11">
        <f ca="1"/>
        <v>100.58589792468588</v>
      </c>
      <c r="F34" s="10">
        <f ca="1"/>
        <v>-2.657530223629005</v>
      </c>
      <c r="G34" s="7">
        <f ca="1"/>
        <v>2.6420505045536724E-2</v>
      </c>
      <c r="H34" s="10">
        <f ca="1"/>
        <v>49.418551085763816</v>
      </c>
      <c r="I34" s="7">
        <f ca="1"/>
        <v>-0.45660841736326002</v>
      </c>
      <c r="J34" s="7">
        <f ca="1"/>
        <v>3.4901834253105761</v>
      </c>
      <c r="K34">
        <f ca="1"/>
        <v>0</v>
      </c>
      <c r="L34">
        <f ca="1"/>
        <v>0</v>
      </c>
    </row>
    <row r="35" spans="2:12" x14ac:dyDescent="0.35">
      <c r="B35">
        <v>2.5000000000000001E-2</v>
      </c>
      <c r="C35">
        <f ca="1"/>
        <v>5.4794626021903166E-2</v>
      </c>
      <c r="D35">
        <f ca="1"/>
        <v>1</v>
      </c>
      <c r="E35" s="11">
        <f ca="1"/>
        <v>101.0513810944321</v>
      </c>
      <c r="F35" s="10">
        <f ca="1"/>
        <v>-1.9456734078681359</v>
      </c>
      <c r="G35" s="7">
        <f ca="1"/>
        <v>1.9254298029335315E-2</v>
      </c>
      <c r="H35" s="10">
        <f ca="1"/>
        <v>47.472877677895681</v>
      </c>
      <c r="I35" s="7">
        <f ca="1"/>
        <v>-0.43735411933392471</v>
      </c>
      <c r="J35" s="7">
        <f ca="1"/>
        <v>3.2776398918635223</v>
      </c>
      <c r="K35">
        <f ca="1"/>
        <v>0</v>
      </c>
      <c r="L35">
        <f ca="1"/>
        <v>0</v>
      </c>
    </row>
    <row r="36" spans="2:12" x14ac:dyDescent="0.35">
      <c r="B36">
        <v>2.6000000000000002E-2</v>
      </c>
      <c r="C36">
        <f ca="1"/>
        <v>7.8085734090306544E-2</v>
      </c>
      <c r="D36">
        <f ca="1"/>
        <v>1</v>
      </c>
      <c r="E36" s="11">
        <f ca="1"/>
        <v>101.52116844101408</v>
      </c>
      <c r="F36" s="10">
        <f ca="1"/>
        <v>-1.9572705645837498</v>
      </c>
      <c r="G36" s="7">
        <f ca="1"/>
        <v>1.9279432995503443E-2</v>
      </c>
      <c r="H36" s="10">
        <f ca="1"/>
        <v>45.51560711331193</v>
      </c>
      <c r="I36" s="7">
        <f ca="1"/>
        <v>-0.41807468633842126</v>
      </c>
      <c r="J36" s="7">
        <f ca="1"/>
        <v>3.072176460624938</v>
      </c>
      <c r="K36">
        <f ca="1"/>
        <v>0</v>
      </c>
      <c r="L36">
        <f ca="1"/>
        <v>0</v>
      </c>
    </row>
    <row r="37" spans="2:12" x14ac:dyDescent="0.35">
      <c r="B37">
        <v>2.7E-2</v>
      </c>
      <c r="C37">
        <f ca="1"/>
        <v>1.3175583713969985E-2</v>
      </c>
      <c r="D37">
        <f ca="1"/>
        <v>1</v>
      </c>
      <c r="E37" s="11">
        <f ca="1"/>
        <v>100.20973130334376</v>
      </c>
      <c r="F37" s="10">
        <f ca="1"/>
        <v>5.4372274428196361</v>
      </c>
      <c r="G37" s="7">
        <f ca="1"/>
        <v>-5.4258477416336603E-2</v>
      </c>
      <c r="H37" s="10">
        <f ca="1"/>
        <v>50.952834556131563</v>
      </c>
      <c r="I37" s="7">
        <f ca="1"/>
        <v>-0.47233316375475787</v>
      </c>
      <c r="J37" s="7">
        <f ca="1"/>
        <v>3.6204551306090096</v>
      </c>
      <c r="K37">
        <f ca="1"/>
        <v>0</v>
      </c>
      <c r="L37">
        <f ca="1"/>
        <v>0</v>
      </c>
    </row>
    <row r="38" spans="2:12" x14ac:dyDescent="0.35">
      <c r="B38">
        <v>2.8000000000000001E-2</v>
      </c>
      <c r="C38">
        <f ca="1"/>
        <v>6.595514782135898E-4</v>
      </c>
      <c r="D38">
        <f ca="1"/>
        <v>1</v>
      </c>
      <c r="E38" s="11">
        <f ca="1"/>
        <v>99.957200191296621</v>
      </c>
      <c r="F38" s="10">
        <f ca="1"/>
        <v>1.0682812157421688</v>
      </c>
      <c r="G38" s="7">
        <f ca="1"/>
        <v>-1.0687386338329885E-2</v>
      </c>
      <c r="H38" s="10">
        <f ca="1"/>
        <v>52.021115771873731</v>
      </c>
      <c r="I38" s="7">
        <f ca="1"/>
        <v>-0.48302055009308775</v>
      </c>
      <c r="J38" s="7">
        <f ca="1"/>
        <v>3.739733949708743</v>
      </c>
      <c r="K38">
        <f ca="1"/>
        <v>0</v>
      </c>
      <c r="L38">
        <f ca="1"/>
        <v>4.2799808703378517E-2</v>
      </c>
    </row>
    <row r="39" spans="2:12" x14ac:dyDescent="0.35">
      <c r="B39">
        <v>2.9000000000000001E-2</v>
      </c>
      <c r="C39">
        <f ca="1"/>
        <v>4.2384995048965299E-2</v>
      </c>
      <c r="D39">
        <f ca="1"/>
        <v>1</v>
      </c>
      <c r="E39" s="11">
        <f ca="1"/>
        <v>100.79282625483314</v>
      </c>
      <c r="F39" s="10">
        <f ca="1"/>
        <v>-3.5412338527480154</v>
      </c>
      <c r="G39" s="7">
        <f ca="1"/>
        <v>3.5133788626928286E-2</v>
      </c>
      <c r="H39" s="10">
        <f ca="1"/>
        <v>48.479881919125717</v>
      </c>
      <c r="I39" s="7">
        <f ca="1"/>
        <v>-0.44788676146615947</v>
      </c>
      <c r="J39" s="7">
        <f ca="1"/>
        <v>3.3361093888272109</v>
      </c>
      <c r="K39">
        <f ca="1"/>
        <v>0</v>
      </c>
      <c r="L39">
        <f ca="1"/>
        <v>0</v>
      </c>
    </row>
    <row r="40" spans="2:12" x14ac:dyDescent="0.35">
      <c r="B40">
        <v>0.03</v>
      </c>
      <c r="C40">
        <f ca="1"/>
        <v>-2.4951406352723401E-2</v>
      </c>
      <c r="D40">
        <f ca="1"/>
        <v>1</v>
      </c>
      <c r="E40" s="11">
        <f ca="1"/>
        <v>99.442531527523712</v>
      </c>
      <c r="F40" s="10">
        <f ca="1"/>
        <v>5.6856325365019948</v>
      </c>
      <c r="G40" s="7">
        <f ca="1"/>
        <v>-5.7175058289101632E-2</v>
      </c>
      <c r="H40" s="10">
        <f ca="1"/>
        <v>54.165514455627715</v>
      </c>
      <c r="I40" s="7">
        <f ca="1"/>
        <v>-0.5050618197552611</v>
      </c>
      <c r="J40" s="7">
        <f ca="1"/>
        <v>3.9408885212666647</v>
      </c>
      <c r="K40">
        <f ca="1"/>
        <v>0</v>
      </c>
      <c r="L40">
        <f ca="1"/>
        <v>0.5574684724762875</v>
      </c>
    </row>
    <row r="41" spans="2:12" x14ac:dyDescent="0.35">
      <c r="B41">
        <v>3.1E-2</v>
      </c>
      <c r="C41">
        <f ca="1"/>
        <v>-1.6075954662679082E-2</v>
      </c>
      <c r="D41">
        <f ca="1"/>
        <v>1</v>
      </c>
      <c r="E41" s="11">
        <f ca="1"/>
        <v>99.617215401944406</v>
      </c>
      <c r="F41" s="10">
        <f ca="1"/>
        <v>-0.73557562847937652</v>
      </c>
      <c r="G41" s="7">
        <f ca="1"/>
        <v>7.3840211805902278E-3</v>
      </c>
      <c r="H41" s="10">
        <f ca="1"/>
        <v>53.429938827148341</v>
      </c>
      <c r="I41" s="7">
        <f ca="1"/>
        <v>-0.49767779857467087</v>
      </c>
      <c r="J41" s="7">
        <f ca="1"/>
        <v>3.8526623657698522</v>
      </c>
      <c r="K41">
        <f ca="1"/>
        <v>0</v>
      </c>
      <c r="L41">
        <f ca="1"/>
        <v>0.38278459805559351</v>
      </c>
    </row>
    <row r="42" spans="2:12" x14ac:dyDescent="0.35">
      <c r="B42">
        <v>3.2000000000000001E-2</v>
      </c>
      <c r="C42">
        <f ca="1"/>
        <v>-1.8290650367557816E-2</v>
      </c>
      <c r="D42">
        <f ca="1"/>
        <v>1</v>
      </c>
      <c r="E42" s="11">
        <f ca="1"/>
        <v>99.571109366787411</v>
      </c>
      <c r="F42" s="10">
        <f ca="1"/>
        <v>0.20490545368754015</v>
      </c>
      <c r="G42" s="7">
        <f ca="1"/>
        <v>-2.0578805939857059E-3</v>
      </c>
      <c r="H42" s="10">
        <f ca="1"/>
        <v>53.634844280835878</v>
      </c>
      <c r="I42" s="7">
        <f ca="1"/>
        <v>-0.49973567916865658</v>
      </c>
      <c r="J42" s="7">
        <f ca="1"/>
        <v>3.8756083158477921</v>
      </c>
      <c r="K42">
        <f ca="1"/>
        <v>0</v>
      </c>
      <c r="L42">
        <f ca="1"/>
        <v>0.42889063321258902</v>
      </c>
    </row>
    <row r="43" spans="2:12" x14ac:dyDescent="0.35">
      <c r="B43">
        <v>3.3000000000000002E-2</v>
      </c>
      <c r="C43">
        <f ca="1"/>
        <v>-1.7158231993209965E-2</v>
      </c>
      <c r="D43">
        <f ca="1"/>
        <v>1</v>
      </c>
      <c r="E43" s="11">
        <f ca="1"/>
        <v>99.591671298138834</v>
      </c>
      <c r="F43" s="10">
        <f ca="1"/>
        <v>-7.958735947344632E-2</v>
      </c>
      <c r="G43" s="7">
        <f ca="1"/>
        <v>7.9913669924458475E-4</v>
      </c>
      <c r="H43" s="10">
        <f ca="1"/>
        <v>53.555256921362435</v>
      </c>
      <c r="I43" s="7">
        <f ca="1"/>
        <v>-0.49893654246941199</v>
      </c>
      <c r="J43" s="7">
        <f ca="1"/>
        <v>3.8653327851188664</v>
      </c>
      <c r="K43">
        <f ca="1"/>
        <v>0</v>
      </c>
      <c r="L43">
        <f ca="1"/>
        <v>0.40832870186116565</v>
      </c>
    </row>
    <row r="44" spans="2:12" x14ac:dyDescent="0.35">
      <c r="B44">
        <v>3.4000000000000002E-2</v>
      </c>
      <c r="C44">
        <f ca="1"/>
        <v>2.5869660328313674E-2</v>
      </c>
      <c r="D44">
        <f ca="1"/>
        <v>1</v>
      </c>
      <c r="E44" s="11">
        <f ca="1"/>
        <v>100.45040449215223</v>
      </c>
      <c r="F44" s="10">
        <f ca="1"/>
        <v>-3.6874096552629485</v>
      </c>
      <c r="G44" s="7">
        <f ca="1"/>
        <v>3.6708758654635687E-2</v>
      </c>
      <c r="H44" s="10">
        <f ca="1"/>
        <v>49.867847266099488</v>
      </c>
      <c r="I44" s="7">
        <f ca="1"/>
        <v>-0.46222778381477631</v>
      </c>
      <c r="J44" s="7">
        <f ca="1"/>
        <v>3.436879414394113</v>
      </c>
      <c r="K44">
        <f ca="1"/>
        <v>0</v>
      </c>
      <c r="L44">
        <f ca="1"/>
        <v>0</v>
      </c>
    </row>
    <row r="45" spans="2:12" x14ac:dyDescent="0.35">
      <c r="B45">
        <v>3.5000000000000003E-2</v>
      </c>
      <c r="C45">
        <f ca="1"/>
        <v>-7.3601339899209452E-3</v>
      </c>
      <c r="D45">
        <f ca="1"/>
        <v>1</v>
      </c>
      <c r="E45" s="11">
        <f ca="1"/>
        <v>99.783033034531982</v>
      </c>
      <c r="F45" s="10">
        <f ca="1"/>
        <v>2.8556587320585725</v>
      </c>
      <c r="G45" s="7">
        <f ca="1"/>
        <v>-2.861868040301313E-2</v>
      </c>
      <c r="H45" s="10">
        <f ca="1"/>
        <v>52.72350599815806</v>
      </c>
      <c r="I45" s="7">
        <f ca="1"/>
        <v>-0.49084646421778944</v>
      </c>
      <c r="J45" s="7">
        <f ca="1"/>
        <v>3.7453570442311559</v>
      </c>
      <c r="K45">
        <f ca="1"/>
        <v>0</v>
      </c>
      <c r="L45">
        <f ca="1"/>
        <v>0.21696696546801775</v>
      </c>
    </row>
    <row r="46" spans="2:12" x14ac:dyDescent="0.35">
      <c r="B46">
        <v>3.6000000000000004E-2</v>
      </c>
      <c r="C46">
        <f ca="1"/>
        <v>-2.6083589154613514E-2</v>
      </c>
      <c r="D46">
        <f ca="1"/>
        <v>1</v>
      </c>
      <c r="E46" s="11">
        <f ca="1"/>
        <v>99.408086965718283</v>
      </c>
      <c r="F46" s="10">
        <f ca="1"/>
        <v>1.6200366665583386</v>
      </c>
      <c r="G46" s="7">
        <f ca="1"/>
        <v>-1.6296829724899764E-2</v>
      </c>
      <c r="H46" s="10">
        <f ca="1"/>
        <v>54.343542664716402</v>
      </c>
      <c r="I46" s="7">
        <f ca="1"/>
        <v>-0.5071432939426892</v>
      </c>
      <c r="J46" s="7">
        <f ca="1"/>
        <v>3.9293979963807217</v>
      </c>
      <c r="K46">
        <f ca="1"/>
        <v>0</v>
      </c>
      <c r="L46">
        <f ca="1"/>
        <v>0.59191303428171693</v>
      </c>
    </row>
    <row r="47" spans="2:12" x14ac:dyDescent="0.35">
      <c r="B47">
        <v>3.6999999999999998E-2</v>
      </c>
      <c r="C47">
        <f ca="1"/>
        <v>-6.9491867886199404E-2</v>
      </c>
      <c r="D47">
        <f ca="1"/>
        <v>1</v>
      </c>
      <c r="E47" s="11">
        <f ca="1"/>
        <v>98.546824653091647</v>
      </c>
      <c r="F47" s="10">
        <f ca="1"/>
        <v>3.7071612745330262</v>
      </c>
      <c r="G47" s="7">
        <f ca="1"/>
        <v>-3.7618272202915914E-2</v>
      </c>
      <c r="H47" s="10">
        <f ca="1"/>
        <v>58.050703939249431</v>
      </c>
      <c r="I47" s="7">
        <f ca="1"/>
        <v>-0.54476156614560511</v>
      </c>
      <c r="J47" s="7">
        <f ca="1"/>
        <v>4.3661814025548935</v>
      </c>
      <c r="K47">
        <f ca="1"/>
        <v>0</v>
      </c>
      <c r="L47">
        <f ca="1"/>
        <v>1.4531753469083526</v>
      </c>
    </row>
    <row r="48" spans="2:12" x14ac:dyDescent="0.35">
      <c r="B48">
        <v>3.7999999999999999E-2</v>
      </c>
      <c r="C48">
        <f ca="1"/>
        <v>-4.9298547825113011E-2</v>
      </c>
      <c r="D48">
        <f ca="1"/>
        <v>1</v>
      </c>
      <c r="E48" s="11">
        <f ca="1"/>
        <v>98.943648046742169</v>
      </c>
      <c r="F48" s="10">
        <f ca="1"/>
        <v>-1.6964135458111422</v>
      </c>
      <c r="G48" s="7">
        <f ca="1"/>
        <v>1.7145249637548599E-2</v>
      </c>
      <c r="H48" s="10">
        <f ca="1"/>
        <v>56.354290393438291</v>
      </c>
      <c r="I48" s="7">
        <f ca="1"/>
        <v>-0.52761631650805652</v>
      </c>
      <c r="J48" s="7">
        <f ca="1"/>
        <v>4.1500072691466272</v>
      </c>
      <c r="K48">
        <f ca="1"/>
        <v>0</v>
      </c>
      <c r="L48">
        <f ca="1"/>
        <v>1.0563519532578312</v>
      </c>
    </row>
    <row r="49" spans="2:12" x14ac:dyDescent="0.35">
      <c r="B49">
        <v>3.9E-2</v>
      </c>
      <c r="C49">
        <f ca="1"/>
        <v>7.252012607052806E-3</v>
      </c>
      <c r="D49">
        <f ca="1"/>
        <v>1</v>
      </c>
      <c r="E49" s="11">
        <f ca="1"/>
        <v>100.0670627291407</v>
      </c>
      <c r="F49" s="10">
        <f ca="1"/>
        <v>-4.8875571405180587</v>
      </c>
      <c r="G49" s="7">
        <f ca="1"/>
        <v>4.8842816079728346E-2</v>
      </c>
      <c r="H49" s="10">
        <f ca="1"/>
        <v>51.466733252920235</v>
      </c>
      <c r="I49" s="7">
        <f ca="1"/>
        <v>-0.47877350042832817</v>
      </c>
      <c r="J49" s="7">
        <f ca="1"/>
        <v>3.557275352508448</v>
      </c>
      <c r="K49">
        <f ca="1"/>
        <v>0</v>
      </c>
      <c r="L49">
        <f ca="1"/>
        <v>0</v>
      </c>
    </row>
    <row r="50" spans="2:12" x14ac:dyDescent="0.35">
      <c r="B50">
        <v>0.04</v>
      </c>
      <c r="C50">
        <f ca="1"/>
        <v>2.1199773841556999E-2</v>
      </c>
      <c r="D50">
        <f ca="1"/>
        <v>1</v>
      </c>
      <c r="E50" s="11">
        <f ca="1"/>
        <v>100.34458782028837</v>
      </c>
      <c r="F50" s="10">
        <f ca="1"/>
        <v>-1.2031670447101623</v>
      </c>
      <c r="G50" s="7">
        <f ca="1"/>
        <v>1.1990353150535316E-2</v>
      </c>
      <c r="H50" s="10">
        <f ca="1"/>
        <v>50.263566208210072</v>
      </c>
      <c r="I50" s="7">
        <f ca="1"/>
        <v>-0.46678314727779285</v>
      </c>
      <c r="J50" s="7">
        <f ca="1"/>
        <v>3.4244036931629864</v>
      </c>
      <c r="K50">
        <f ca="1"/>
        <v>0</v>
      </c>
      <c r="L50">
        <f ca="1"/>
        <v>0</v>
      </c>
    </row>
    <row r="51" spans="2:12" x14ac:dyDescent="0.35">
      <c r="B51">
        <v>4.1000000000000002E-2</v>
      </c>
      <c r="C51">
        <f ca="1"/>
        <v>4.6399784327843051E-2</v>
      </c>
      <c r="D51">
        <f ca="1"/>
        <v>1</v>
      </c>
      <c r="E51" s="11">
        <f ca="1"/>
        <v>100.84958434288592</v>
      </c>
      <c r="F51" s="10">
        <f ca="1"/>
        <v>-2.1943733514261541</v>
      </c>
      <c r="G51" s="7">
        <f ca="1"/>
        <v>2.175887353154915E-2</v>
      </c>
      <c r="H51" s="10">
        <f ca="1"/>
        <v>48.069192856783921</v>
      </c>
      <c r="I51" s="7">
        <f ca="1"/>
        <v>-0.4450242737462437</v>
      </c>
      <c r="J51" s="7">
        <f ca="1"/>
        <v>3.1886798269805681</v>
      </c>
      <c r="K51">
        <f ca="1"/>
        <v>0</v>
      </c>
      <c r="L51">
        <f ca="1"/>
        <v>0</v>
      </c>
    </row>
    <row r="52" spans="2:12" x14ac:dyDescent="0.35">
      <c r="B52">
        <v>4.2000000000000003E-2</v>
      </c>
      <c r="C52">
        <f ca="1"/>
        <v>1.776918926845757E-2</v>
      </c>
      <c r="D52">
        <f ca="1"/>
        <v>1</v>
      </c>
      <c r="E52" s="11">
        <f ca="1"/>
        <v>100.27175236450989</v>
      </c>
      <c r="F52" s="10">
        <f ca="1"/>
        <v>2.5007869266207985</v>
      </c>
      <c r="G52" s="7">
        <f ca="1"/>
        <v>-2.494009397113045E-2</v>
      </c>
      <c r="H52" s="10">
        <f ca="1"/>
        <v>50.569979783404719</v>
      </c>
      <c r="I52" s="7">
        <f ca="1"/>
        <v>-0.46996436771737415</v>
      </c>
      <c r="J52" s="7">
        <f ca="1"/>
        <v>3.4458290835047123</v>
      </c>
      <c r="K52">
        <f ca="1"/>
        <v>0</v>
      </c>
      <c r="L52">
        <f ca="1"/>
        <v>0</v>
      </c>
    </row>
    <row r="53" spans="2:12" x14ac:dyDescent="0.35">
      <c r="B53">
        <v>4.3000000000000003E-2</v>
      </c>
      <c r="C53">
        <f ca="1"/>
        <v>2.1448027894491434E-2</v>
      </c>
      <c r="D53">
        <f ca="1"/>
        <v>1</v>
      </c>
      <c r="E53" s="11">
        <f ca="1"/>
        <v>100.34354934051615</v>
      </c>
      <c r="F53" s="10">
        <f ca="1"/>
        <v>-0.31238377054468053</v>
      </c>
      <c r="G53" s="7">
        <f ca="1"/>
        <v>3.1131425248334121E-3</v>
      </c>
      <c r="H53" s="10">
        <f ca="1"/>
        <v>50.257596012860041</v>
      </c>
      <c r="I53" s="7">
        <f ca="1"/>
        <v>-0.46685122519254074</v>
      </c>
      <c r="J53" s="7">
        <f ca="1"/>
        <v>3.4120870630719153</v>
      </c>
      <c r="K53">
        <f ca="1"/>
        <v>0</v>
      </c>
      <c r="L53">
        <f ca="1"/>
        <v>0</v>
      </c>
    </row>
    <row r="54" spans="2:12" x14ac:dyDescent="0.35">
      <c r="B54">
        <v>4.3999999999999997E-2</v>
      </c>
      <c r="C54">
        <f ca="1"/>
        <v>6.8277710579654066E-2</v>
      </c>
      <c r="D54">
        <f ca="1"/>
        <v>1</v>
      </c>
      <c r="E54" s="11">
        <f ca="1"/>
        <v>101.28574979924771</v>
      </c>
      <c r="F54" s="10">
        <f ca="1"/>
        <v>-4.1201521257143812</v>
      </c>
      <c r="G54" s="7">
        <f ca="1"/>
        <v>4.0678497556474458E-2</v>
      </c>
      <c r="H54" s="10">
        <f ca="1"/>
        <v>46.137443887145658</v>
      </c>
      <c r="I54" s="7">
        <f ca="1"/>
        <v>-0.42617272763606628</v>
      </c>
      <c r="J54" s="7">
        <f ca="1"/>
        <v>2.972219624536109</v>
      </c>
      <c r="K54">
        <f ca="1"/>
        <v>0</v>
      </c>
      <c r="L54">
        <f ca="1"/>
        <v>0</v>
      </c>
    </row>
    <row r="55" spans="2:12" x14ac:dyDescent="0.35">
      <c r="B55">
        <v>4.4999999999999998E-2</v>
      </c>
      <c r="C55">
        <f ca="1"/>
        <v>6.9035020516709927E-2</v>
      </c>
      <c r="D55">
        <f ca="1"/>
        <v>1</v>
      </c>
      <c r="E55" s="11">
        <f ca="1"/>
        <v>101.29906590047415</v>
      </c>
      <c r="F55" s="10">
        <f ca="1"/>
        <v>-6.6887627032260685E-2</v>
      </c>
      <c r="G55" s="7">
        <f ca="1"/>
        <v>6.6029855692822936E-4</v>
      </c>
      <c r="H55" s="10">
        <f ca="1"/>
        <v>46.070556260113399</v>
      </c>
      <c r="I55" s="7">
        <f ca="1"/>
        <v>-0.42551242907913805</v>
      </c>
      <c r="J55" s="7">
        <f ca="1"/>
        <v>2.9665446653549594</v>
      </c>
      <c r="K55">
        <f ca="1"/>
        <v>0</v>
      </c>
      <c r="L55">
        <f ca="1"/>
        <v>0</v>
      </c>
    </row>
    <row r="56" spans="2:12" x14ac:dyDescent="0.35">
      <c r="B56">
        <v>4.5999999999999999E-2</v>
      </c>
      <c r="C56">
        <f ca="1"/>
        <v>5.6322960348141785E-2</v>
      </c>
      <c r="D56">
        <f ca="1"/>
        <v>1</v>
      </c>
      <c r="E56" s="11">
        <f ca="1"/>
        <v>101.03982823371052</v>
      </c>
      <c r="F56" s="10">
        <f ca="1"/>
        <v>1.1167931902253323</v>
      </c>
      <c r="G56" s="7">
        <f ca="1"/>
        <v>-1.1052999690796483E-2</v>
      </c>
      <c r="H56" s="10">
        <f ca="1"/>
        <v>47.187349450338729</v>
      </c>
      <c r="I56" s="7">
        <f ca="1"/>
        <v>-0.43656542876993454</v>
      </c>
      <c r="J56" s="7">
        <f ca="1"/>
        <v>3.0768535146483558</v>
      </c>
      <c r="K56">
        <f ca="1"/>
        <v>0</v>
      </c>
      <c r="L56">
        <f ca="1"/>
        <v>0</v>
      </c>
    </row>
    <row r="57" spans="2:12" x14ac:dyDescent="0.35">
      <c r="B57">
        <v>4.7E-2</v>
      </c>
      <c r="C57">
        <f ca="1"/>
        <v>0.11435094235544505</v>
      </c>
      <c r="D57">
        <f ca="1"/>
        <v>1</v>
      </c>
      <c r="E57" s="11">
        <f ca="1"/>
        <v>102.21724225598956</v>
      </c>
      <c r="F57" s="10">
        <f ca="1"/>
        <v>-5.1164160068661646</v>
      </c>
      <c r="G57" s="7">
        <f ca="1"/>
        <v>5.005433421939498E-2</v>
      </c>
      <c r="H57" s="10">
        <f ca="1"/>
        <v>42.070933443472562</v>
      </c>
      <c r="I57" s="7">
        <f ca="1"/>
        <v>-0.38651109455053956</v>
      </c>
      <c r="J57" s="7">
        <f ca="1"/>
        <v>2.5628352571723738</v>
      </c>
      <c r="K57">
        <f ca="1"/>
        <v>0</v>
      </c>
      <c r="L57">
        <f ca="1"/>
        <v>0</v>
      </c>
    </row>
    <row r="58" spans="2:12" x14ac:dyDescent="0.35">
      <c r="B58">
        <v>4.8000000000000001E-2</v>
      </c>
      <c r="C58">
        <f ca="1"/>
        <v>0.11753143574168794</v>
      </c>
      <c r="D58">
        <f ca="1"/>
        <v>1</v>
      </c>
      <c r="E58" s="11">
        <f ca="1"/>
        <v>102.28023756740686</v>
      </c>
      <c r="F58" s="10">
        <f ca="1"/>
        <v>-0.2871699871539875</v>
      </c>
      <c r="G58" s="7">
        <f ca="1"/>
        <v>2.8076781398237438E-3</v>
      </c>
      <c r="H58" s="10">
        <f ca="1"/>
        <v>41.783763456318574</v>
      </c>
      <c r="I58" s="7">
        <f ca="1"/>
        <v>-0.38370341641071581</v>
      </c>
      <c r="J58" s="7">
        <f ca="1"/>
        <v>2.5384868704049239</v>
      </c>
      <c r="K58">
        <f ca="1"/>
        <v>0</v>
      </c>
      <c r="L58">
        <f ca="1"/>
        <v>0</v>
      </c>
    </row>
    <row r="59" spans="2:12" x14ac:dyDescent="0.35">
      <c r="B59">
        <v>4.9000000000000002E-2</v>
      </c>
      <c r="C59">
        <f ca="1"/>
        <v>0.12348665985845018</v>
      </c>
      <c r="D59">
        <f ca="1"/>
        <v>1</v>
      </c>
      <c r="E59" s="11">
        <f ca="1"/>
        <v>102.4000824683211</v>
      </c>
      <c r="F59" s="10">
        <f ca="1"/>
        <v>-0.52962551135409808</v>
      </c>
      <c r="G59" s="7">
        <f ca="1"/>
        <v>5.1721199689262476E-3</v>
      </c>
      <c r="H59" s="10">
        <f ca="1"/>
        <v>41.254137944964477</v>
      </c>
      <c r="I59" s="7">
        <f ca="1"/>
        <v>-0.37853129644178957</v>
      </c>
      <c r="J59" s="7">
        <f ca="1"/>
        <v>2.4925019724847246</v>
      </c>
      <c r="K59">
        <f ca="1"/>
        <v>0</v>
      </c>
      <c r="L59">
        <f ca="1"/>
        <v>0</v>
      </c>
    </row>
    <row r="60" spans="2:12" x14ac:dyDescent="0.35">
      <c r="B60">
        <v>0.05</v>
      </c>
      <c r="C60">
        <f ca="1"/>
        <v>0.12052062689659783</v>
      </c>
      <c r="D60">
        <f ca="1"/>
        <v>1</v>
      </c>
      <c r="E60" s="11">
        <f ca="1"/>
        <v>102.33730931111617</v>
      </c>
      <c r="F60" s="10">
        <f ca="1"/>
        <v>0.24570499212775046</v>
      </c>
      <c r="G60" s="7">
        <f ca="1"/>
        <v>-2.4009326977786905E-3</v>
      </c>
      <c r="H60" s="10">
        <f ca="1"/>
        <v>41.499842937092225</v>
      </c>
      <c r="I60" s="7">
        <f ca="1"/>
        <v>-0.38093222913956826</v>
      </c>
      <c r="J60" s="7">
        <f ca="1"/>
        <v>2.5162635770632491</v>
      </c>
      <c r="K60">
        <f ca="1"/>
        <v>0</v>
      </c>
      <c r="L60">
        <f ca="1"/>
        <v>0</v>
      </c>
    </row>
    <row r="61" spans="2:12" x14ac:dyDescent="0.35">
      <c r="B61">
        <v>5.1000000000000004E-2</v>
      </c>
      <c r="C61">
        <f ca="1"/>
        <v>9.2795764256316915E-2</v>
      </c>
      <c r="D61">
        <f ca="1"/>
        <v>1</v>
      </c>
      <c r="E61" s="11">
        <f ca="1"/>
        <v>101.76938669873429</v>
      </c>
      <c r="F61" s="10">
        <f ca="1"/>
        <v>2.4190269302170648</v>
      </c>
      <c r="G61" s="7">
        <f ca="1"/>
        <v>-2.376969154170161E-2</v>
      </c>
      <c r="H61" s="10">
        <f ca="1"/>
        <v>43.91886986730929</v>
      </c>
      <c r="I61" s="7">
        <f ca="1"/>
        <v>-0.40470192068126987</v>
      </c>
      <c r="J61" s="7">
        <f ca="1"/>
        <v>2.7326036037766457</v>
      </c>
      <c r="K61">
        <f ca="1"/>
        <v>0</v>
      </c>
      <c r="L61">
        <f ca="1"/>
        <v>0</v>
      </c>
    </row>
    <row r="62" spans="2:12" x14ac:dyDescent="0.35">
      <c r="B62">
        <v>5.2000000000000005E-2</v>
      </c>
      <c r="C62">
        <f ca="1"/>
        <v>0.10864911763556673</v>
      </c>
      <c r="D62">
        <f ca="1"/>
        <v>1</v>
      </c>
      <c r="E62" s="11">
        <f ca="1"/>
        <v>102.0905341704042</v>
      </c>
      <c r="F62" s="10">
        <f ca="1"/>
        <v>-1.409347345121533</v>
      </c>
      <c r="G62" s="7">
        <f ca="1"/>
        <v>1.3804877764368673E-2</v>
      </c>
      <c r="H62" s="10">
        <f ca="1"/>
        <v>42.509522522187758</v>
      </c>
      <c r="I62" s="7">
        <f ca="1"/>
        <v>-0.39089704291690119</v>
      </c>
      <c r="J62" s="7">
        <f ca="1"/>
        <v>2.6026346051699036</v>
      </c>
      <c r="K62">
        <f ca="1"/>
        <v>0</v>
      </c>
      <c r="L62">
        <f ca="1"/>
        <v>0</v>
      </c>
    </row>
    <row r="63" spans="2:12" x14ac:dyDescent="0.35">
      <c r="B63">
        <v>5.2999999999999999E-2</v>
      </c>
      <c r="C63">
        <f ca="1"/>
        <v>8.540204603422985E-2</v>
      </c>
      <c r="D63">
        <f ca="1"/>
        <v>1</v>
      </c>
      <c r="E63" s="11">
        <f ca="1"/>
        <v>101.61494239982459</v>
      </c>
      <c r="F63" s="10">
        <f ca="1"/>
        <v>2.0473616490440003</v>
      </c>
      <c r="G63" s="7">
        <f ca="1"/>
        <v>-2.0148234114902519E-2</v>
      </c>
      <c r="H63" s="10">
        <f ca="1"/>
        <v>44.556884171231758</v>
      </c>
      <c r="I63" s="7">
        <f ca="1"/>
        <v>-0.41104527703180371</v>
      </c>
      <c r="J63" s="7">
        <f ca="1"/>
        <v>2.7885420219250818</v>
      </c>
      <c r="K63">
        <f ca="1"/>
        <v>0</v>
      </c>
      <c r="L63">
        <f ca="1"/>
        <v>0</v>
      </c>
    </row>
    <row r="64" spans="2:12" x14ac:dyDescent="0.35">
      <c r="B64">
        <v>5.3999999999999999E-2</v>
      </c>
      <c r="C64">
        <f ca="1"/>
        <v>0.11661099181779634</v>
      </c>
      <c r="D64">
        <f ca="1"/>
        <v>1</v>
      </c>
      <c r="E64" s="11">
        <f ca="1"/>
        <v>102.24914002270506</v>
      </c>
      <c r="F64" s="10">
        <f ca="1"/>
        <v>-2.7840982882208669</v>
      </c>
      <c r="G64" s="7">
        <f ca="1"/>
        <v>2.7228574123974447E-2</v>
      </c>
      <c r="H64" s="10">
        <f ca="1"/>
        <v>41.77278588301089</v>
      </c>
      <c r="I64" s="7">
        <f ca="1"/>
        <v>-0.38381670290782927</v>
      </c>
      <c r="J64" s="7">
        <f ca="1"/>
        <v>2.5278580843352643</v>
      </c>
      <c r="K64">
        <f ca="1"/>
        <v>0</v>
      </c>
      <c r="L64">
        <f ca="1"/>
        <v>0</v>
      </c>
    </row>
    <row r="65" spans="2:12" x14ac:dyDescent="0.35">
      <c r="B65">
        <v>5.5E-2</v>
      </c>
      <c r="C65">
        <f ca="1"/>
        <v>0.16077369519319298</v>
      </c>
      <c r="D65">
        <f ca="1"/>
        <v>1</v>
      </c>
      <c r="E65" s="11">
        <f ca="1"/>
        <v>103.15419679567555</v>
      </c>
      <c r="F65" s="10">
        <f ca="1"/>
        <v>-3.8873339575249206</v>
      </c>
      <c r="G65" s="7">
        <f ca="1"/>
        <v>3.7684690281916733E-2</v>
      </c>
      <c r="H65" s="10">
        <f ca="1"/>
        <v>37.885451925485967</v>
      </c>
      <c r="I65" s="7">
        <f ca="1"/>
        <v>-0.34613201262591253</v>
      </c>
      <c r="J65" s="7">
        <f ca="1"/>
        <v>2.1804821777893295</v>
      </c>
      <c r="K65">
        <f ca="1"/>
        <v>0</v>
      </c>
      <c r="L65">
        <f ca="1"/>
        <v>0</v>
      </c>
    </row>
    <row r="66" spans="2:12" x14ac:dyDescent="0.35">
      <c r="B66">
        <v>5.6000000000000001E-2</v>
      </c>
      <c r="C66">
        <f ca="1"/>
        <v>0.11572819658817646</v>
      </c>
      <c r="D66">
        <f ca="1"/>
        <v>1</v>
      </c>
      <c r="E66" s="11">
        <f ca="1"/>
        <v>102.22699944395303</v>
      </c>
      <c r="F66" s="10">
        <f ca="1"/>
        <v>3.9067990806835198</v>
      </c>
      <c r="G66" s="7">
        <f ca="1"/>
        <v>-3.8216900642040863E-2</v>
      </c>
      <c r="H66" s="10">
        <f ca="1"/>
        <v>41.792251006169487</v>
      </c>
      <c r="I66" s="7">
        <f ca="1"/>
        <v>-0.3843489132679534</v>
      </c>
      <c r="J66" s="7">
        <f ca="1"/>
        <v>2.5014148632424593</v>
      </c>
      <c r="K66">
        <f ca="1"/>
        <v>0</v>
      </c>
      <c r="L66">
        <f ca="1"/>
        <v>0</v>
      </c>
    </row>
    <row r="67" spans="2:12" x14ac:dyDescent="0.35">
      <c r="B67">
        <v>5.7000000000000002E-2</v>
      </c>
      <c r="C67">
        <f ca="1"/>
        <v>8.8584967416152044E-2</v>
      </c>
      <c r="D67">
        <f ca="1"/>
        <v>1</v>
      </c>
      <c r="E67" s="11">
        <f ca="1"/>
        <v>101.67151542137671</v>
      </c>
      <c r="F67" s="10">
        <f ca="1"/>
        <v>2.4083320236073398</v>
      </c>
      <c r="G67" s="7">
        <f ca="1"/>
        <v>-2.3687381993137691E-2</v>
      </c>
      <c r="H67" s="10">
        <f ca="1"/>
        <v>44.200583029776823</v>
      </c>
      <c r="I67" s="7">
        <f ca="1"/>
        <v>-0.40803629526109109</v>
      </c>
      <c r="J67" s="7">
        <f ca="1"/>
        <v>2.7149145436573789</v>
      </c>
      <c r="K67">
        <f ca="1"/>
        <v>0</v>
      </c>
      <c r="L67">
        <f ca="1"/>
        <v>0</v>
      </c>
    </row>
    <row r="68" spans="2:12" x14ac:dyDescent="0.35">
      <c r="B68">
        <v>5.8000000000000003E-2</v>
      </c>
      <c r="C68">
        <f ca="1"/>
        <v>7.910062549497314E-2</v>
      </c>
      <c r="D68">
        <f ca="1"/>
        <v>1</v>
      </c>
      <c r="E68" s="11">
        <f ca="1"/>
        <v>101.47681117870984</v>
      </c>
      <c r="F68" s="10">
        <f ca="1"/>
        <v>0.84907888312439284</v>
      </c>
      <c r="G68" s="7">
        <f ca="1"/>
        <v>-8.3672207794260323E-3</v>
      </c>
      <c r="H68" s="10">
        <f ca="1"/>
        <v>45.049661912901215</v>
      </c>
      <c r="I68" s="7">
        <f ca="1"/>
        <v>-0.41640351604051712</v>
      </c>
      <c r="J68" s="7">
        <f ca="1"/>
        <v>2.7943609415067883</v>
      </c>
      <c r="K68">
        <f ca="1"/>
        <v>0</v>
      </c>
      <c r="L68">
        <f ca="1"/>
        <v>0</v>
      </c>
    </row>
    <row r="69" spans="2:12" x14ac:dyDescent="0.35">
      <c r="B69">
        <v>5.9000000000000004E-2</v>
      </c>
      <c r="C69">
        <f ca="1"/>
        <v>2.1906134350417696E-2</v>
      </c>
      <c r="D69">
        <f ca="1"/>
        <v>1</v>
      </c>
      <c r="E69" s="11">
        <f ca="1"/>
        <v>100.32063562688163</v>
      </c>
      <c r="F69" s="10">
        <f ca="1"/>
        <v>5.1750123785927826</v>
      </c>
      <c r="G69" s="7">
        <f ca="1"/>
        <v>-5.1584724780253499E-2</v>
      </c>
      <c r="H69" s="10">
        <f ca="1"/>
        <v>50.224674291493997</v>
      </c>
      <c r="I69" s="7">
        <f ca="1"/>
        <v>-0.46798824082077062</v>
      </c>
      <c r="J69" s="7">
        <f ca="1"/>
        <v>3.2757965064481382</v>
      </c>
      <c r="K69">
        <f ca="1"/>
        <v>0</v>
      </c>
      <c r="L69">
        <f ca="1"/>
        <v>0</v>
      </c>
    </row>
    <row r="70" spans="2:12" x14ac:dyDescent="0.35">
      <c r="B70">
        <v>0.06</v>
      </c>
      <c r="C70">
        <f ca="1"/>
        <v>4.3491691807632661E-2</v>
      </c>
      <c r="D70">
        <f ca="1"/>
        <v>1</v>
      </c>
      <c r="E70" s="11">
        <f ca="1"/>
        <v>100.75265212983122</v>
      </c>
      <c r="F70" s="10">
        <f ca="1"/>
        <v>-1.9694239082037182</v>
      </c>
      <c r="G70" s="7">
        <f ca="1"/>
        <v>1.9547117287452564E-2</v>
      </c>
      <c r="H70" s="10">
        <f ca="1"/>
        <v>48.255250383290281</v>
      </c>
      <c r="I70" s="7">
        <f ca="1"/>
        <v>-0.44844112353331805</v>
      </c>
      <c r="J70" s="7">
        <f ca="1"/>
        <v>3.07361786322722</v>
      </c>
      <c r="K70">
        <f ca="1"/>
        <v>0</v>
      </c>
      <c r="L70">
        <f ca="1"/>
        <v>0</v>
      </c>
    </row>
    <row r="71" spans="2:12" x14ac:dyDescent="0.35">
      <c r="B71">
        <v>6.0999999999999999E-2</v>
      </c>
      <c r="C71">
        <f ca="1"/>
        <v>2.8719656707222711E-2</v>
      </c>
      <c r="D71">
        <f ca="1"/>
        <v>1</v>
      </c>
      <c r="E71" s="11">
        <f ca="1"/>
        <v>100.45341797673994</v>
      </c>
      <c r="F71" s="10">
        <f ca="1"/>
        <v>1.357730446447668</v>
      </c>
      <c r="G71" s="7">
        <f ca="1"/>
        <v>-1.3516020398251172E-2</v>
      </c>
      <c r="H71" s="10">
        <f ca="1"/>
        <v>49.61298082973795</v>
      </c>
      <c r="I71" s="7">
        <f ca="1"/>
        <v>-0.46195714393156923</v>
      </c>
      <c r="J71" s="7">
        <f ca="1"/>
        <v>3.2078067630390095</v>
      </c>
      <c r="K71">
        <f ca="1"/>
        <v>0</v>
      </c>
      <c r="L71">
        <f ca="1"/>
        <v>0</v>
      </c>
    </row>
    <row r="72" spans="2:12" x14ac:dyDescent="0.35">
      <c r="B72">
        <v>6.2E-2</v>
      </c>
      <c r="C72">
        <f ca="1"/>
        <v>0.12350209309606304</v>
      </c>
      <c r="D72">
        <f ca="1"/>
        <v>1</v>
      </c>
      <c r="E72" s="11">
        <f ca="1"/>
        <v>102.37377789898244</v>
      </c>
      <c r="F72" s="10">
        <f ca="1"/>
        <v>-8.7178598370231288</v>
      </c>
      <c r="G72" s="7">
        <f ca="1"/>
        <v>8.5157156607285678E-2</v>
      </c>
      <c r="H72" s="10">
        <f ca="1"/>
        <v>40.895120992714823</v>
      </c>
      <c r="I72" s="7">
        <f ca="1"/>
        <v>-0.37679998732428355</v>
      </c>
      <c r="J72" s="7">
        <f ca="1"/>
        <v>2.3206827780392203</v>
      </c>
      <c r="K72">
        <f ca="1"/>
        <v>0</v>
      </c>
      <c r="L72">
        <f ca="1"/>
        <v>0</v>
      </c>
    </row>
    <row r="73" spans="2:12" x14ac:dyDescent="0.35">
      <c r="B73">
        <v>6.3E-2</v>
      </c>
      <c r="C73">
        <f ca="1"/>
        <v>0.14695264436590752</v>
      </c>
      <c r="D73">
        <f ca="1"/>
        <v>1</v>
      </c>
      <c r="E73" s="11">
        <f ca="1"/>
        <v>102.85299285124717</v>
      </c>
      <c r="F73" s="10">
        <f ca="1"/>
        <v>-2.1136366637957118</v>
      </c>
      <c r="G73" s="7">
        <f ca="1"/>
        <v>2.0550074482058034E-2</v>
      </c>
      <c r="H73" s="10">
        <f ca="1"/>
        <v>38.781484328919113</v>
      </c>
      <c r="I73" s="7">
        <f ca="1"/>
        <v>-0.35624991284222551</v>
      </c>
      <c r="J73" s="7">
        <f ca="1"/>
        <v>2.1401145901002678</v>
      </c>
      <c r="K73">
        <f ca="1"/>
        <v>0</v>
      </c>
      <c r="L73">
        <f ca="1"/>
        <v>0</v>
      </c>
    </row>
    <row r="74" spans="2:12" x14ac:dyDescent="0.35">
      <c r="B74">
        <v>6.4000000000000001E-2</v>
      </c>
      <c r="C74">
        <f ca="1"/>
        <v>0.18101888050598464</v>
      </c>
      <c r="D74">
        <f ca="1"/>
        <v>1</v>
      </c>
      <c r="E74" s="11">
        <f ca="1"/>
        <v>103.5540772836183</v>
      </c>
      <c r="F74" s="10">
        <f ca="1"/>
        <v>-3.0215967855905963</v>
      </c>
      <c r="G74" s="7">
        <f ca="1"/>
        <v>2.9178926265886362E-2</v>
      </c>
      <c r="H74" s="10">
        <f ca="1"/>
        <v>35.759887543328517</v>
      </c>
      <c r="I74" s="7">
        <f ca="1"/>
        <v>-0.32707098657633915</v>
      </c>
      <c r="J74" s="7">
        <f ca="1"/>
        <v>1.8903533221730129</v>
      </c>
      <c r="K74">
        <f ca="1"/>
        <v>0</v>
      </c>
      <c r="L74">
        <f ca="1"/>
        <v>0</v>
      </c>
    </row>
    <row r="75" spans="2:12" x14ac:dyDescent="0.35">
      <c r="B75">
        <v>6.5000000000000002E-2</v>
      </c>
      <c r="C75">
        <f ca="1"/>
        <v>0.23761295443803959</v>
      </c>
      <c r="D75">
        <f ca="1"/>
        <v>1</v>
      </c>
      <c r="E75" s="11">
        <f ca="1"/>
        <v>104.73075061209309</v>
      </c>
      <c r="F75" s="10">
        <f ca="1"/>
        <v>-4.8414664259555389</v>
      </c>
      <c r="G75" s="7">
        <f ca="1"/>
        <v>4.6227744933172499E-2</v>
      </c>
      <c r="H75" s="10">
        <f ca="1"/>
        <v>30.918421117372979</v>
      </c>
      <c r="I75" s="7">
        <f ca="1"/>
        <v>-0.28084324164316665</v>
      </c>
      <c r="J75" s="7">
        <f ca="1"/>
        <v>1.505497615750695</v>
      </c>
      <c r="K75">
        <f ca="1"/>
        <v>0</v>
      </c>
      <c r="L75">
        <f ca="1"/>
        <v>0</v>
      </c>
    </row>
    <row r="76" spans="2:12" x14ac:dyDescent="0.35">
      <c r="B76">
        <v>6.6000000000000003E-2</v>
      </c>
      <c r="C76">
        <f ca="1"/>
        <v>0.26178138106947124</v>
      </c>
      <c r="D76">
        <f ca="1"/>
        <v>1</v>
      </c>
      <c r="E76" s="11">
        <f ca="1"/>
        <v>105.23610682659843</v>
      </c>
      <c r="F76" s="10">
        <f ca="1"/>
        <v>-2.0034859107786547</v>
      </c>
      <c r="G76" s="7">
        <f ca="1"/>
        <v>1.90380086378516E-2</v>
      </c>
      <c r="H76" s="10">
        <f ca="1"/>
        <v>28.914935206594325</v>
      </c>
      <c r="I76" s="7">
        <f ca="1"/>
        <v>-0.26180523300531505</v>
      </c>
      <c r="J76" s="7">
        <f ca="1"/>
        <v>1.3635717382844987</v>
      </c>
      <c r="K76">
        <f ca="1"/>
        <v>0</v>
      </c>
      <c r="L76">
        <f ca="1"/>
        <v>0</v>
      </c>
    </row>
    <row r="77" spans="2:12" x14ac:dyDescent="0.35">
      <c r="B77">
        <v>6.7000000000000004E-2</v>
      </c>
      <c r="C77">
        <f ca="1"/>
        <v>0.23464134611636431</v>
      </c>
      <c r="D77">
        <f ca="1"/>
        <v>1</v>
      </c>
      <c r="E77" s="11">
        <f ca="1"/>
        <v>104.66433869354394</v>
      </c>
      <c r="F77" s="10">
        <f ca="1"/>
        <v>2.1593294953787967</v>
      </c>
      <c r="G77" s="7">
        <f ca="1"/>
        <v>-2.063099545014363E-2</v>
      </c>
      <c r="H77" s="10">
        <f ca="1"/>
        <v>31.074264701973121</v>
      </c>
      <c r="I77" s="7">
        <f ca="1"/>
        <v>-0.28243622845545868</v>
      </c>
      <c r="J77" s="7">
        <f ca="1"/>
        <v>1.5132636275838394</v>
      </c>
      <c r="K77">
        <f ca="1"/>
        <v>0</v>
      </c>
      <c r="L77">
        <f ca="1"/>
        <v>0</v>
      </c>
    </row>
    <row r="78" spans="2:12" x14ac:dyDescent="0.35">
      <c r="B78">
        <v>6.8000000000000005E-2</v>
      </c>
      <c r="C78">
        <f ca="1"/>
        <v>0.27669830769266035</v>
      </c>
      <c r="D78">
        <f ca="1"/>
        <v>1</v>
      </c>
      <c r="E78" s="11">
        <f ca="1"/>
        <v>105.54631354404698</v>
      </c>
      <c r="F78" s="10">
        <f ca="1"/>
        <v>-3.4511235389560286</v>
      </c>
      <c r="G78" s="7">
        <f ca="1"/>
        <v>3.2697717457614406E-2</v>
      </c>
      <c r="H78" s="10">
        <f ca="1"/>
        <v>27.623141163017092</v>
      </c>
      <c r="I78" s="7">
        <f ca="1"/>
        <v>-0.24973851099784428</v>
      </c>
      <c r="J78" s="7">
        <f ca="1"/>
        <v>1.2641619772151955</v>
      </c>
      <c r="K78">
        <f ca="1"/>
        <v>0</v>
      </c>
      <c r="L78">
        <f ca="1"/>
        <v>0</v>
      </c>
    </row>
    <row r="79" spans="2:12" x14ac:dyDescent="0.35">
      <c r="B79">
        <v>6.9000000000000006E-2</v>
      </c>
      <c r="C79">
        <f ca="1"/>
        <v>0.27176392855574799</v>
      </c>
      <c r="D79">
        <f ca="1"/>
        <v>1</v>
      </c>
      <c r="E79" s="11">
        <f ca="1"/>
        <v>105.44009499568823</v>
      </c>
      <c r="F79" s="10">
        <f ca="1"/>
        <v>0.34293183345759543</v>
      </c>
      <c r="G79" s="7">
        <f ca="1"/>
        <v>-3.2523854751043135E-3</v>
      </c>
      <c r="H79" s="10">
        <f ca="1"/>
        <v>27.966072996474686</v>
      </c>
      <c r="I79" s="7">
        <f ca="1"/>
        <v>-0.25299089647294859</v>
      </c>
      <c r="J79" s="7">
        <f ca="1"/>
        <v>1.2906888393226623</v>
      </c>
      <c r="K79">
        <f ca="1"/>
        <v>0</v>
      </c>
      <c r="L79">
        <f ca="1"/>
        <v>0</v>
      </c>
    </row>
    <row r="80" spans="2:12" x14ac:dyDescent="0.35">
      <c r="B80">
        <v>7.0000000000000007E-2</v>
      </c>
      <c r="C80">
        <f ca="1"/>
        <v>0.27773089267519346</v>
      </c>
      <c r="D80">
        <f ca="1"/>
        <v>1</v>
      </c>
      <c r="E80" s="11">
        <f ca="1"/>
        <v>105.56389026254125</v>
      </c>
      <c r="F80" s="10">
        <f ca="1"/>
        <v>-0.51845100316849857</v>
      </c>
      <c r="G80" s="7">
        <f ca="1"/>
        <v>4.9112532882133464E-3</v>
      </c>
      <c r="H80" s="10">
        <f ca="1"/>
        <v>27.447621993306189</v>
      </c>
      <c r="I80" s="7">
        <f ca="1"/>
        <v>-0.24807964318473524</v>
      </c>
      <c r="J80" s="7">
        <f ca="1"/>
        <v>1.2593697637824093</v>
      </c>
      <c r="K80">
        <f ca="1"/>
        <v>0</v>
      </c>
      <c r="L80">
        <f ca="1"/>
        <v>0</v>
      </c>
    </row>
    <row r="81" spans="2:12" x14ac:dyDescent="0.35">
      <c r="B81">
        <v>7.1000000000000008E-2</v>
      </c>
      <c r="C81">
        <f ca="1"/>
        <v>0.29048940090580877</v>
      </c>
      <c r="D81">
        <f ca="1"/>
        <v>1</v>
      </c>
      <c r="E81" s="11">
        <f ca="1"/>
        <v>105.83148512954335</v>
      </c>
      <c r="F81" s="10">
        <f ca="1"/>
        <v>-1.0463048103847079</v>
      </c>
      <c r="G81" s="7">
        <f ca="1"/>
        <v>9.886517316694321E-3</v>
      </c>
      <c r="H81" s="10">
        <f ca="1"/>
        <v>26.401317182921481</v>
      </c>
      <c r="I81" s="7">
        <f ca="1"/>
        <v>-0.23819312586804092</v>
      </c>
      <c r="J81" s="7">
        <f ca="1"/>
        <v>1.192984924658461</v>
      </c>
      <c r="K81">
        <f ca="1"/>
        <v>0</v>
      </c>
      <c r="L81">
        <f ca="1"/>
        <v>0</v>
      </c>
    </row>
    <row r="82" spans="2:12" x14ac:dyDescent="0.35">
      <c r="B82">
        <v>7.2000000000000008E-2</v>
      </c>
      <c r="C82">
        <f ca="1"/>
        <v>0.25144648833339245</v>
      </c>
      <c r="D82">
        <f ca="1"/>
        <v>1</v>
      </c>
      <c r="E82" s="11">
        <f ca="1"/>
        <v>105.00620920079496</v>
      </c>
      <c r="F82" s="10">
        <f ca="1"/>
        <v>3.0525917398571165</v>
      </c>
      <c r="G82" s="7">
        <f ca="1"/>
        <v>-2.907058318827499E-2</v>
      </c>
      <c r="H82" s="10">
        <f ca="1"/>
        <v>29.453908922778599</v>
      </c>
      <c r="I82" s="7">
        <f ca="1"/>
        <v>-0.26726370905631591</v>
      </c>
      <c r="J82" s="7">
        <f ca="1"/>
        <v>1.3895599778306931</v>
      </c>
      <c r="K82">
        <f ca="1"/>
        <v>0</v>
      </c>
      <c r="L82">
        <f ca="1"/>
        <v>0</v>
      </c>
    </row>
    <row r="83" spans="2:12" x14ac:dyDescent="0.35">
      <c r="B83">
        <v>7.2999999999999995E-2</v>
      </c>
      <c r="C83">
        <f ca="1"/>
        <v>0.27954769417236364</v>
      </c>
      <c r="D83">
        <f ca="1"/>
        <v>1</v>
      </c>
      <c r="E83" s="11">
        <f ca="1"/>
        <v>105.59591901378087</v>
      </c>
      <c r="F83" s="10">
        <f ca="1"/>
        <v>-2.3134892095295756</v>
      </c>
      <c r="G83" s="7">
        <f ca="1"/>
        <v>2.1908888441300955E-2</v>
      </c>
      <c r="H83" s="10">
        <f ca="1"/>
        <v>27.140419713249024</v>
      </c>
      <c r="I83" s="7">
        <f ca="1"/>
        <v>-0.24535482061501496</v>
      </c>
      <c r="J83" s="7">
        <f ca="1"/>
        <v>1.2319519459451698</v>
      </c>
      <c r="K83">
        <f ca="1"/>
        <v>0</v>
      </c>
      <c r="L83">
        <f ca="1"/>
        <v>0</v>
      </c>
    </row>
    <row r="84" spans="2:12" x14ac:dyDescent="0.35">
      <c r="B84">
        <v>7.3999999999999996E-2</v>
      </c>
      <c r="C84">
        <f ca="1"/>
        <v>0.28223016545348695</v>
      </c>
      <c r="D84">
        <f ca="1"/>
        <v>1</v>
      </c>
      <c r="E84" s="11">
        <f ca="1"/>
        <v>105.65047278657464</v>
      </c>
      <c r="F84" s="10">
        <f ca="1"/>
        <v>-0.26095934667861842</v>
      </c>
      <c r="G84" s="7">
        <f ca="1"/>
        <v>2.4700253562119356E-3</v>
      </c>
      <c r="H84" s="10">
        <f ca="1"/>
        <v>26.879460366570406</v>
      </c>
      <c r="I84" s="7">
        <f ca="1"/>
        <v>-0.24288479525880302</v>
      </c>
      <c r="J84" s="7">
        <f ca="1"/>
        <v>1.2185669148074858</v>
      </c>
      <c r="K84">
        <f ca="1"/>
        <v>0</v>
      </c>
      <c r="L84">
        <f ca="1"/>
        <v>0</v>
      </c>
    </row>
    <row r="85" spans="2:12" x14ac:dyDescent="0.35">
      <c r="B85">
        <v>7.4999999999999997E-2</v>
      </c>
      <c r="C85">
        <f ca="1"/>
        <v>0.32215800609478273</v>
      </c>
      <c r="D85">
        <f ca="1"/>
        <v>1</v>
      </c>
      <c r="E85" s="11">
        <f ca="1"/>
        <v>106.49539951849738</v>
      </c>
      <c r="F85" s="10">
        <f ca="1"/>
        <v>-3.1192338332480829</v>
      </c>
      <c r="G85" s="7">
        <f ca="1"/>
        <v>2.9289845827624672E-2</v>
      </c>
      <c r="H85" s="10">
        <f ca="1"/>
        <v>23.760226533322324</v>
      </c>
      <c r="I85" s="7">
        <f ca="1"/>
        <v>-0.21359494943117835</v>
      </c>
      <c r="J85" s="7">
        <f ca="1"/>
        <v>1.0133470585157411</v>
      </c>
      <c r="K85">
        <f ca="1"/>
        <v>0</v>
      </c>
      <c r="L85">
        <f ca="1"/>
        <v>0</v>
      </c>
    </row>
    <row r="86" spans="2:12" x14ac:dyDescent="0.35">
      <c r="B86">
        <v>7.5999999999999998E-2</v>
      </c>
      <c r="C86">
        <f ca="1"/>
        <v>0.33992582169490521</v>
      </c>
      <c r="D86">
        <f ca="1"/>
        <v>1</v>
      </c>
      <c r="E86" s="11">
        <f ca="1"/>
        <v>106.87237337289943</v>
      </c>
      <c r="F86" s="10">
        <f ca="1"/>
        <v>-1.3565185452960202</v>
      </c>
      <c r="G86" s="7">
        <f ca="1"/>
        <v>1.2692883132321309E-2</v>
      </c>
      <c r="H86" s="10">
        <f ca="1"/>
        <v>22.403707988026305</v>
      </c>
      <c r="I86" s="7">
        <f ca="1"/>
        <v>-0.20090206629885704</v>
      </c>
      <c r="J86" s="7">
        <f ca="1"/>
        <v>0.93282734714786031</v>
      </c>
      <c r="K86">
        <f ca="1"/>
        <v>0</v>
      </c>
      <c r="L86">
        <f ca="1"/>
        <v>0</v>
      </c>
    </row>
    <row r="87" spans="2:12" x14ac:dyDescent="0.35">
      <c r="B87">
        <v>7.6999999999999999E-2</v>
      </c>
      <c r="C87">
        <f ca="1"/>
        <v>0.32385999311340086</v>
      </c>
      <c r="D87">
        <f ca="1"/>
        <v>1</v>
      </c>
      <c r="E87" s="11">
        <f ca="1"/>
        <v>106.52739526550033</v>
      </c>
      <c r="F87" s="10">
        <f ca="1"/>
        <v>1.1139027660451808</v>
      </c>
      <c r="G87" s="7">
        <f ca="1"/>
        <v>-1.0456491152055103E-2</v>
      </c>
      <c r="H87" s="10">
        <f ca="1"/>
        <v>23.517610754071487</v>
      </c>
      <c r="I87" s="7">
        <f ca="1"/>
        <v>-0.21135855745091214</v>
      </c>
      <c r="J87" s="7">
        <f ca="1"/>
        <v>1.0021341617522097</v>
      </c>
      <c r="K87">
        <f ca="1"/>
        <v>0</v>
      </c>
      <c r="L87">
        <f ca="1"/>
        <v>0</v>
      </c>
    </row>
    <row r="88" spans="2:12" x14ac:dyDescent="0.35">
      <c r="B88">
        <v>7.8E-2</v>
      </c>
      <c r="C88">
        <f ca="1"/>
        <v>0.2869037241418318</v>
      </c>
      <c r="D88">
        <f ca="1"/>
        <v>1</v>
      </c>
      <c r="E88" s="11">
        <f ca="1"/>
        <v>105.74081208728632</v>
      </c>
      <c r="F88" s="10">
        <f ca="1"/>
        <v>2.7614628069648885</v>
      </c>
      <c r="G88" s="7">
        <f ca="1"/>
        <v>-2.6115392462518372E-2</v>
      </c>
      <c r="H88" s="10">
        <f ca="1"/>
        <v>26.279073561036377</v>
      </c>
      <c r="I88" s="7">
        <f ca="1"/>
        <v>-0.23747394991343052</v>
      </c>
      <c r="J88" s="7">
        <f ca="1"/>
        <v>1.1683852476146797</v>
      </c>
      <c r="K88">
        <f ca="1"/>
        <v>0</v>
      </c>
      <c r="L88">
        <f ca="1"/>
        <v>0</v>
      </c>
    </row>
    <row r="89" spans="2:12" x14ac:dyDescent="0.35">
      <c r="B89">
        <v>7.9000000000000001E-2</v>
      </c>
      <c r="C89">
        <f ca="1"/>
        <v>0.33797018296633702</v>
      </c>
      <c r="D89">
        <f ca="1"/>
        <v>1</v>
      </c>
      <c r="E89" s="11">
        <f ca="1"/>
        <v>106.82417115351743</v>
      </c>
      <c r="F89" s="10">
        <f ca="1"/>
        <v>-3.9409983250028326</v>
      </c>
      <c r="G89" s="7">
        <f ca="1"/>
        <v>3.6892383834546294E-2</v>
      </c>
      <c r="H89" s="10">
        <f ca="1"/>
        <v>22.338075236033543</v>
      </c>
      <c r="I89" s="7">
        <f ca="1"/>
        <v>-0.20058156607888422</v>
      </c>
      <c r="J89" s="7">
        <f ca="1"/>
        <v>0.91111569098224976</v>
      </c>
      <c r="K89">
        <f ca="1"/>
        <v>0</v>
      </c>
      <c r="L89">
        <f ca="1"/>
        <v>0</v>
      </c>
    </row>
    <row r="90" spans="2:12" x14ac:dyDescent="0.35">
      <c r="B90">
        <v>0.08</v>
      </c>
      <c r="C90">
        <f ca="1"/>
        <v>0.31203758968152889</v>
      </c>
      <c r="D90">
        <f ca="1"/>
        <v>1</v>
      </c>
      <c r="E90" s="11">
        <f ca="1"/>
        <v>106.26943448992851</v>
      </c>
      <c r="F90" s="10">
        <f ca="1"/>
        <v>1.8615355180655371</v>
      </c>
      <c r="G90" s="7">
        <f ca="1"/>
        <v>-1.7517130179533991E-2</v>
      </c>
      <c r="H90" s="10">
        <f ca="1"/>
        <v>24.19961075409908</v>
      </c>
      <c r="I90" s="7">
        <f ca="1"/>
        <v>-0.21809869625841821</v>
      </c>
      <c r="J90" s="7">
        <f ca="1"/>
        <v>1.0223856397262878</v>
      </c>
      <c r="K90">
        <f ca="1"/>
        <v>0</v>
      </c>
      <c r="L90">
        <f ca="1"/>
        <v>0</v>
      </c>
    </row>
    <row r="91" spans="2:12" x14ac:dyDescent="0.35">
      <c r="B91">
        <v>8.1000000000000003E-2</v>
      </c>
      <c r="C91">
        <f ca="1"/>
        <v>0.26395216988047754</v>
      </c>
      <c r="D91">
        <f ca="1"/>
        <v>1</v>
      </c>
      <c r="E91" s="11">
        <f ca="1"/>
        <v>105.25022601427119</v>
      </c>
      <c r="F91" s="10">
        <f ca="1"/>
        <v>3.727368385591487</v>
      </c>
      <c r="G91" s="7">
        <f ca="1"/>
        <v>-3.5414350417509621E-2</v>
      </c>
      <c r="H91" s="10">
        <f ca="1"/>
        <v>27.926979139690566</v>
      </c>
      <c r="I91" s="7">
        <f ca="1"/>
        <v>-0.25351304667592783</v>
      </c>
      <c r="J91" s="7">
        <f ca="1"/>
        <v>1.2446736794826805</v>
      </c>
      <c r="K91">
        <f ca="1"/>
        <v>0</v>
      </c>
      <c r="L91">
        <f ca="1"/>
        <v>0</v>
      </c>
    </row>
    <row r="92" spans="2:12" x14ac:dyDescent="0.35">
      <c r="B92">
        <v>8.2000000000000003E-2</v>
      </c>
      <c r="C92">
        <f ca="1"/>
        <v>0.20935693757939605</v>
      </c>
      <c r="D92">
        <f ca="1"/>
        <v>1</v>
      </c>
      <c r="E92" s="11">
        <f ca="1"/>
        <v>104.10516326766775</v>
      </c>
      <c r="F92" s="10">
        <f ca="1"/>
        <v>4.573642008216539</v>
      </c>
      <c r="G92" s="7">
        <f ca="1"/>
        <v>-4.393290269817951E-2</v>
      </c>
      <c r="H92" s="10">
        <f ca="1"/>
        <v>32.500621147907104</v>
      </c>
      <c r="I92" s="7">
        <f ca="1"/>
        <v>-0.29744594937410734</v>
      </c>
      <c r="J92" s="7">
        <f ca="1"/>
        <v>1.5349620250092251</v>
      </c>
      <c r="K92">
        <f ca="1"/>
        <v>0</v>
      </c>
      <c r="L92">
        <f ca="1"/>
        <v>0</v>
      </c>
    </row>
    <row r="93" spans="2:12" x14ac:dyDescent="0.35">
      <c r="B93">
        <v>8.3000000000000004E-2</v>
      </c>
      <c r="C93">
        <f ca="1"/>
        <v>0.21993136156200765</v>
      </c>
      <c r="D93">
        <f ca="1"/>
        <v>1</v>
      </c>
      <c r="E93" s="11">
        <f ca="1"/>
        <v>104.3234801859921</v>
      </c>
      <c r="F93" s="10">
        <f ca="1"/>
        <v>-0.96763086509258756</v>
      </c>
      <c r="G93" s="7">
        <f ca="1"/>
        <v>9.2752931877603806E-3</v>
      </c>
      <c r="H93" s="10">
        <f ca="1"/>
        <v>31.532990282814517</v>
      </c>
      <c r="I93" s="7">
        <f ca="1"/>
        <v>-0.28817065618634696</v>
      </c>
      <c r="J93" s="7">
        <f ca="1"/>
        <v>1.4700245419738067</v>
      </c>
      <c r="K93">
        <f ca="1"/>
        <v>0</v>
      </c>
      <c r="L93">
        <f ca="1"/>
        <v>0</v>
      </c>
    </row>
    <row r="94" spans="2:12" x14ac:dyDescent="0.35">
      <c r="B94">
        <v>8.4000000000000005E-2</v>
      </c>
      <c r="C94">
        <f ca="1"/>
        <v>0.25573993945614409</v>
      </c>
      <c r="D94">
        <f ca="1"/>
        <v>1</v>
      </c>
      <c r="E94" s="11">
        <f ca="1"/>
        <v>105.07119561710188</v>
      </c>
      <c r="F94" s="10">
        <f ca="1"/>
        <v>-3.1120389382597176</v>
      </c>
      <c r="G94" s="7">
        <f ca="1"/>
        <v>2.9618383230362588E-2</v>
      </c>
      <c r="H94" s="10">
        <f ca="1"/>
        <v>28.420951344554798</v>
      </c>
      <c r="I94" s="7">
        <f ca="1"/>
        <v>-0.25855227295598437</v>
      </c>
      <c r="J94" s="7">
        <f ca="1"/>
        <v>1.2545548955502426</v>
      </c>
      <c r="K94">
        <f ca="1"/>
        <v>0</v>
      </c>
      <c r="L94">
        <f ca="1"/>
        <v>0</v>
      </c>
    </row>
    <row r="95" spans="2:12" x14ac:dyDescent="0.35">
      <c r="B95">
        <v>8.5000000000000006E-2</v>
      </c>
      <c r="C95">
        <f ca="1"/>
        <v>0.28393802010974706</v>
      </c>
      <c r="D95">
        <f ca="1"/>
        <v>1</v>
      </c>
      <c r="E95" s="11">
        <f ca="1"/>
        <v>105.66331759370028</v>
      </c>
      <c r="F95" s="10">
        <f ca="1"/>
        <v>-2.3657924180195882</v>
      </c>
      <c r="G95" s="7">
        <f ca="1"/>
        <v>2.2389912335675499E-2</v>
      </c>
      <c r="H95" s="10">
        <f ca="1"/>
        <v>26.05515892653521</v>
      </c>
      <c r="I95" s="7">
        <f ca="1"/>
        <v>-0.23616236062030888</v>
      </c>
      <c r="J95" s="7">
        <f ca="1"/>
        <v>1.1014604126335357</v>
      </c>
      <c r="K95">
        <f ca="1"/>
        <v>0</v>
      </c>
      <c r="L95">
        <f ca="1"/>
        <v>0</v>
      </c>
    </row>
    <row r="96" spans="2:12" x14ac:dyDescent="0.35">
      <c r="B96">
        <v>8.6000000000000007E-2</v>
      </c>
      <c r="C96">
        <f ca="1"/>
        <v>0.25452699003317769</v>
      </c>
      <c r="D96">
        <f ca="1"/>
        <v>1</v>
      </c>
      <c r="E96" s="11">
        <f ca="1"/>
        <v>105.04150775500069</v>
      </c>
      <c r="F96" s="10">
        <f ca="1"/>
        <v>2.3533912638633332</v>
      </c>
      <c r="G96" s="7">
        <f ca="1"/>
        <v>-2.2404393407531753E-2</v>
      </c>
      <c r="H96" s="10">
        <f ca="1"/>
        <v>28.408550190398543</v>
      </c>
      <c r="I96" s="7">
        <f ca="1"/>
        <v>-0.25856675402784063</v>
      </c>
      <c r="J96" s="7">
        <f ca="1"/>
        <v>1.2483084919977649</v>
      </c>
      <c r="K96">
        <f ca="1"/>
        <v>0</v>
      </c>
      <c r="L96">
        <f ca="1"/>
        <v>0</v>
      </c>
    </row>
    <row r="97" spans="2:12" x14ac:dyDescent="0.35">
      <c r="B97">
        <v>8.7000000000000008E-2</v>
      </c>
      <c r="C97">
        <f ca="1"/>
        <v>0.2283053472187454</v>
      </c>
      <c r="D97">
        <f ca="1"/>
        <v>1</v>
      </c>
      <c r="E97" s="11">
        <f ca="1"/>
        <v>104.48998771049516</v>
      </c>
      <c r="F97" s="10">
        <f ca="1"/>
        <v>2.1878979103917322</v>
      </c>
      <c r="G97" s="7">
        <f ca="1"/>
        <v>-2.0938828287104638E-2</v>
      </c>
      <c r="H97" s="10">
        <f ca="1"/>
        <v>30.596448100790276</v>
      </c>
      <c r="I97" s="7">
        <f ca="1"/>
        <v>-0.27950558231494527</v>
      </c>
      <c r="J97" s="7">
        <f ca="1"/>
        <v>1.3909132396868529</v>
      </c>
      <c r="K97">
        <f ca="1"/>
        <v>0</v>
      </c>
      <c r="L97">
        <f ca="1"/>
        <v>0</v>
      </c>
    </row>
    <row r="98" spans="2:12" x14ac:dyDescent="0.35">
      <c r="B98">
        <v>8.7999999999999995E-2</v>
      </c>
      <c r="C98">
        <f ca="1"/>
        <v>0.23704002665333176</v>
      </c>
      <c r="D98">
        <f ca="1"/>
        <v>1</v>
      </c>
      <c r="E98" s="11">
        <f ca="1"/>
        <v>104.67059112046637</v>
      </c>
      <c r="F98" s="10">
        <f ca="1"/>
        <v>-0.80439496142037514</v>
      </c>
      <c r="G98" s="7">
        <f ca="1"/>
        <v>7.6850140312534343E-3</v>
      </c>
      <c r="H98" s="10">
        <f ca="1"/>
        <v>29.792053139369902</v>
      </c>
      <c r="I98" s="7">
        <f ca="1"/>
        <v>-0.27182056828369183</v>
      </c>
      <c r="J98" s="7">
        <f ca="1"/>
        <v>1.3404335784147854</v>
      </c>
      <c r="K98">
        <f ca="1"/>
        <v>0</v>
      </c>
      <c r="L98">
        <f ca="1"/>
        <v>0</v>
      </c>
    </row>
    <row r="99" spans="2:12" x14ac:dyDescent="0.35">
      <c r="B99">
        <v>8.8999999999999996E-2</v>
      </c>
      <c r="C99">
        <f ca="1"/>
        <v>0.21958880852976476</v>
      </c>
      <c r="D99">
        <f ca="1"/>
        <v>1</v>
      </c>
      <c r="E99" s="11">
        <f ca="1"/>
        <v>104.3038159569915</v>
      </c>
      <c r="F99" s="10">
        <f ca="1"/>
        <v>1.475420346629271</v>
      </c>
      <c r="G99" s="7">
        <f ca="1"/>
        <v>-1.4145411010059727E-2</v>
      </c>
      <c r="H99" s="10">
        <f ca="1"/>
        <v>31.267473485999172</v>
      </c>
      <c r="I99" s="7">
        <f ca="1"/>
        <v>-0.28596597929375156</v>
      </c>
      <c r="J99">
        <f ca="1"/>
        <v>1.4401306117828661</v>
      </c>
      <c r="K99">
        <f ca="1"/>
        <v>0</v>
      </c>
      <c r="L99">
        <f ca="1"/>
        <v>0</v>
      </c>
    </row>
    <row r="100" spans="2:12" x14ac:dyDescent="0.35">
      <c r="B100">
        <v>0.09</v>
      </c>
      <c r="C100">
        <f ca="1"/>
        <v>0.16963006803892608</v>
      </c>
      <c r="D100">
        <f ca="1"/>
        <v>1</v>
      </c>
      <c r="E100" s="11">
        <f ca="1"/>
        <v>103.26476247593021</v>
      </c>
      <c r="F100" s="10">
        <f ca="1"/>
        <v>4.4850311198444563</v>
      </c>
      <c r="G100" s="7">
        <f ca="1"/>
        <v>-4.3432348192248671E-2</v>
      </c>
      <c r="H100" s="10">
        <f ca="1"/>
        <v>35.752504605843626</v>
      </c>
      <c r="I100" s="7">
        <f ca="1"/>
        <v>-0.32939832748600023</v>
      </c>
      <c r="J100">
        <f ca="1"/>
        <v>1.7372645580331394</v>
      </c>
      <c r="K100">
        <f ca="1"/>
        <v>0</v>
      </c>
      <c r="L100">
        <f ca="1"/>
        <v>0</v>
      </c>
    </row>
    <row r="101" spans="2:12" x14ac:dyDescent="0.35">
      <c r="B101">
        <v>9.0999999999999998E-2</v>
      </c>
      <c r="C101">
        <f ca="1"/>
        <v>0.19881876808475032</v>
      </c>
      <c r="D101">
        <f ca="1"/>
        <v>1</v>
      </c>
      <c r="E101" s="11">
        <f ca="1"/>
        <v>103.86728096467503</v>
      </c>
      <c r="F101" s="10">
        <f ca="1"/>
        <v>-2.7371821313998841</v>
      </c>
      <c r="G101" s="7">
        <f ca="1"/>
        <v>2.6352688796492052E-2</v>
      </c>
      <c r="H101" s="10">
        <f ca="1"/>
        <v>33.015322474443742</v>
      </c>
      <c r="I101" s="7">
        <f ca="1"/>
        <v>-0.30304563868950818</v>
      </c>
      <c r="J101">
        <f ca="1"/>
        <v>1.5387959755612037</v>
      </c>
      <c r="K101">
        <f ca="1"/>
        <v>0</v>
      </c>
      <c r="L101">
        <f ca="1"/>
        <v>0</v>
      </c>
    </row>
    <row r="102" spans="2:12" x14ac:dyDescent="0.35">
      <c r="B102">
        <v>9.1999999999999998E-2</v>
      </c>
      <c r="C102">
        <f ca="1"/>
        <v>0.17179230869336437</v>
      </c>
      <c r="D102">
        <f ca="1"/>
        <v>1</v>
      </c>
      <c r="E102" s="11">
        <f ca="1"/>
        <v>103.30529649217965</v>
      </c>
      <c r="F102" s="10">
        <f ca="1"/>
        <v>2.4529112866511564</v>
      </c>
      <c r="G102" s="7">
        <f ca="1"/>
        <v>-2.3744293564239904E-2</v>
      </c>
      <c r="H102" s="10">
        <f ca="1"/>
        <v>35.468233761094901</v>
      </c>
      <c r="I102" s="7">
        <f ca="1"/>
        <v>-0.32678993225374808</v>
      </c>
      <c r="J102">
        <f ca="1"/>
        <v>1.7091029189621523</v>
      </c>
      <c r="K102">
        <f ca="1"/>
        <v>0</v>
      </c>
      <c r="L102">
        <f ca="1"/>
        <v>0</v>
      </c>
    </row>
    <row r="103" spans="2:12" x14ac:dyDescent="0.35">
      <c r="B103">
        <v>9.2999999999999999E-2</v>
      </c>
      <c r="C103">
        <f ca="1"/>
        <v>0.19746573635045764</v>
      </c>
      <c r="D103">
        <f ca="1"/>
        <v>1</v>
      </c>
      <c r="E103" s="11">
        <f ca="1"/>
        <v>103.8350241378234</v>
      </c>
      <c r="F103" s="10">
        <f ca="1"/>
        <v>-2.423763109898994</v>
      </c>
      <c r="G103" s="7">
        <f ca="1"/>
        <v>2.3342442783870876E-2</v>
      </c>
      <c r="H103" s="10">
        <f ca="1"/>
        <v>33.044470651195908</v>
      </c>
      <c r="I103" s="7">
        <f ca="1"/>
        <v>-0.30344748946987721</v>
      </c>
      <c r="J103">
        <f ca="1"/>
        <v>1.5359932575292987</v>
      </c>
      <c r="K103">
        <f ca="1"/>
        <v>0</v>
      </c>
      <c r="L103">
        <f ca="1"/>
        <v>0</v>
      </c>
    </row>
    <row r="104" spans="2:12" x14ac:dyDescent="0.35">
      <c r="B104">
        <v>9.4E-2</v>
      </c>
      <c r="C104">
        <f ca="1"/>
        <v>0.17033045380811751</v>
      </c>
      <c r="D104">
        <f ca="1"/>
        <v>1</v>
      </c>
      <c r="E104" s="11">
        <f ca="1"/>
        <v>103.27096651531021</v>
      </c>
      <c r="F104" s="10">
        <f ca="1"/>
        <v>2.4794003037149754</v>
      </c>
      <c r="G104" s="7">
        <f ca="1"/>
        <v>-2.4008686927001865E-2</v>
      </c>
      <c r="H104" s="10">
        <f ca="1"/>
        <v>35.523870954910883</v>
      </c>
      <c r="I104" s="7">
        <f ca="1"/>
        <v>-0.32745617639687907</v>
      </c>
      <c r="J104">
        <f ca="1"/>
        <v>1.7071551269972716</v>
      </c>
      <c r="K104">
        <f ca="1"/>
        <v>0</v>
      </c>
      <c r="L104">
        <f ca="1"/>
        <v>0</v>
      </c>
    </row>
    <row r="105" spans="2:12" x14ac:dyDescent="0.35">
      <c r="B105">
        <v>9.5000000000000001E-2</v>
      </c>
      <c r="C105">
        <f ca="1"/>
        <v>0.135779615383196</v>
      </c>
      <c r="D105">
        <f ca="1"/>
        <v>1</v>
      </c>
      <c r="E105" s="11">
        <f ca="1"/>
        <v>102.55775559048008</v>
      </c>
      <c r="F105" s="10">
        <f ca="1"/>
        <v>3.2738798544652172</v>
      </c>
      <c r="G105" s="7">
        <f ca="1"/>
        <v>-3.1922304028746851E-2</v>
      </c>
      <c r="H105" s="10">
        <f ca="1"/>
        <v>38.797750809376097</v>
      </c>
      <c r="I105" s="7">
        <f ca="1"/>
        <v>-0.35937848042562592</v>
      </c>
      <c r="J105">
        <f ca="1"/>
        <v>1.94070044940662</v>
      </c>
      <c r="K105">
        <f ca="1"/>
        <v>0</v>
      </c>
      <c r="L105">
        <f ca="1"/>
        <v>0</v>
      </c>
    </row>
    <row r="106" spans="2:12" x14ac:dyDescent="0.35">
      <c r="B106">
        <v>9.6000000000000002E-2</v>
      </c>
      <c r="C106">
        <f ca="1"/>
        <v>0.13277197544342484</v>
      </c>
      <c r="D106">
        <f ca="1"/>
        <v>1</v>
      </c>
      <c r="E106" s="11">
        <f ca="1"/>
        <v>102.49403287977424</v>
      </c>
      <c r="F106" s="10">
        <f ca="1"/>
        <v>0.26883923171715723</v>
      </c>
      <c r="G106" s="7">
        <f ca="1"/>
        <v>-2.6229744714261205E-3</v>
      </c>
      <c r="H106" s="10">
        <f ca="1"/>
        <v>39.066590041093257</v>
      </c>
      <c r="I106" s="7">
        <f ca="1"/>
        <v>-0.36200145489705204</v>
      </c>
      <c r="J106">
        <f ca="1"/>
        <v>1.9636010203486904</v>
      </c>
      <c r="K106">
        <f ca="1"/>
        <v>0</v>
      </c>
      <c r="L106">
        <f ca="1"/>
        <v>0</v>
      </c>
    </row>
    <row r="107" spans="2:12" x14ac:dyDescent="0.35">
      <c r="B107">
        <v>9.7000000000000003E-2</v>
      </c>
      <c r="C107">
        <f ca="1"/>
        <v>8.5947551663275626E-2</v>
      </c>
      <c r="D107">
        <f ca="1"/>
        <v>1</v>
      </c>
      <c r="E107" s="11">
        <f ca="1"/>
        <v>101.536637741492</v>
      </c>
      <c r="F107" s="10">
        <f ca="1"/>
        <v>4.6171980253542406</v>
      </c>
      <c r="G107" s="7">
        <f ca="1"/>
        <v>-4.5473221568646305E-2</v>
      </c>
      <c r="H107" s="10">
        <f ca="1"/>
        <v>43.683788066447498</v>
      </c>
      <c r="I107" s="7">
        <f ca="1"/>
        <v>-0.40747467646569835</v>
      </c>
      <c r="J107">
        <f ca="1"/>
        <v>2.3101794533182272</v>
      </c>
      <c r="K107">
        <f ca="1"/>
        <v>0</v>
      </c>
      <c r="L107">
        <f ca="1"/>
        <v>0</v>
      </c>
    </row>
    <row r="108" spans="2:12" x14ac:dyDescent="0.35">
      <c r="B108">
        <v>9.8000000000000004E-2</v>
      </c>
      <c r="C108">
        <f ca="1"/>
        <v>0.10564688256571203</v>
      </c>
      <c r="D108">
        <f ca="1"/>
        <v>1</v>
      </c>
      <c r="E108" s="11">
        <f ca="1"/>
        <v>101.93542886714819</v>
      </c>
      <c r="F108" s="10">
        <f ca="1"/>
        <v>-1.9966289466359626</v>
      </c>
      <c r="G108" s="7">
        <f ca="1"/>
        <v>1.9587193273480574E-2</v>
      </c>
      <c r="H108" s="10">
        <f ca="1"/>
        <v>41.687159119811533</v>
      </c>
      <c r="I108" s="7">
        <f ca="1"/>
        <v>-0.38788748319221777</v>
      </c>
      <c r="J108">
        <f ca="1"/>
        <v>2.1476821684140788</v>
      </c>
      <c r="K108">
        <f ca="1"/>
        <v>0</v>
      </c>
      <c r="L108">
        <f ca="1"/>
        <v>0</v>
      </c>
    </row>
    <row r="109" spans="2:12" x14ac:dyDescent="0.35">
      <c r="B109">
        <v>9.9000000000000005E-2</v>
      </c>
      <c r="C109">
        <f ca="1"/>
        <v>8.5111494091853868E-2</v>
      </c>
      <c r="D109">
        <f ca="1"/>
        <v>1</v>
      </c>
      <c r="E109" s="11">
        <f ca="1"/>
        <v>101.51560036069928</v>
      </c>
      <c r="F109" s="10">
        <f ca="1"/>
        <v>2.0528851761341653</v>
      </c>
      <c r="G109" s="7">
        <f ca="1"/>
        <v>-2.0222361576348602E-2</v>
      </c>
      <c r="H109" s="10">
        <f ca="1"/>
        <v>43.740044295945701</v>
      </c>
      <c r="I109" s="7">
        <f ca="1"/>
        <v>-0.40810984476856638</v>
      </c>
      <c r="J109">
        <f ca="1"/>
        <v>2.3105283911529</v>
      </c>
      <c r="K109">
        <f ca="1"/>
        <v>0</v>
      </c>
      <c r="L109">
        <f ca="1"/>
        <v>0</v>
      </c>
    </row>
    <row r="110" spans="2:12" x14ac:dyDescent="0.35">
      <c r="B110">
        <v>0.1</v>
      </c>
      <c r="C110">
        <f ca="1"/>
        <v>0.12395277046304072</v>
      </c>
      <c r="D110">
        <f ca="1"/>
        <v>1</v>
      </c>
      <c r="E110" s="11">
        <f ca="1"/>
        <v>102.30522430008891</v>
      </c>
      <c r="F110" s="10">
        <f ca="1"/>
        <v>-3.9413677068011368</v>
      </c>
      <c r="G110" s="7">
        <f ca="1"/>
        <v>3.8525576125418959E-2</v>
      </c>
      <c r="H110" s="10">
        <f ca="1"/>
        <v>39.798676589144563</v>
      </c>
      <c r="I110" s="7">
        <f ca="1"/>
        <v>-0.36958426864314742</v>
      </c>
      <c r="J110">
        <f ca="1"/>
        <v>1.9882750878230482</v>
      </c>
      <c r="K110">
        <f ca="1"/>
        <v>0</v>
      </c>
      <c r="L110">
        <f ca="1"/>
        <v>0</v>
      </c>
    </row>
    <row r="111" spans="2:12" x14ac:dyDescent="0.35">
      <c r="B111">
        <v>0.10100000000000001</v>
      </c>
      <c r="C111">
        <f ca="1"/>
        <v>0.15484583049779133</v>
      </c>
      <c r="D111">
        <f ca="1"/>
        <v>1</v>
      </c>
      <c r="E111">
        <f ca="1"/>
        <v>102.9372266137821</v>
      </c>
      <c r="F111" s="10">
        <f ca="1"/>
        <v>-3.0876146995789884</v>
      </c>
      <c r="G111" s="7">
        <f ca="1"/>
        <v>2.9995122281306852E-2</v>
      </c>
      <c r="H111" s="10">
        <f ca="1"/>
        <v>36.711061889565578</v>
      </c>
      <c r="I111" s="7">
        <f ca="1"/>
        <v>-0.33958914636184057</v>
      </c>
      <c r="J111">
        <f ca="1"/>
        <v>1.7546969749359747</v>
      </c>
      <c r="K111">
        <f ca="1"/>
        <v>0</v>
      </c>
      <c r="L111">
        <f ca="1"/>
        <v>0</v>
      </c>
    </row>
    <row r="112" spans="2:12" x14ac:dyDescent="0.35">
      <c r="B112">
        <v>0.10200000000000001</v>
      </c>
      <c r="C112">
        <f ca="1"/>
        <v>0.20218421774900605</v>
      </c>
      <c r="D112">
        <f ca="1"/>
        <v>1</v>
      </c>
      <c r="E112">
        <f ca="1"/>
        <v>103.91435284712551</v>
      </c>
      <c r="F112" s="10">
        <f ca="1"/>
        <v>-4.5858910197155751</v>
      </c>
      <c r="G112" s="7">
        <f ca="1"/>
        <v>4.4131449545397716E-2</v>
      </c>
      <c r="H112" s="10">
        <f ca="1"/>
        <v>32.125170869850002</v>
      </c>
      <c r="I112" s="7">
        <f ca="1"/>
        <v>-0.29545769681644285</v>
      </c>
      <c r="J112">
        <f ca="1"/>
        <v>1.4228755114671259</v>
      </c>
      <c r="K112">
        <f ca="1"/>
        <v>0</v>
      </c>
      <c r="L112">
        <f ca="1"/>
        <v>0</v>
      </c>
    </row>
    <row r="113" spans="2:12" x14ac:dyDescent="0.35">
      <c r="B113">
        <v>0.10300000000000001</v>
      </c>
      <c r="C113">
        <f ca="1"/>
        <v>0.16185578225675779</v>
      </c>
      <c r="D113">
        <f ca="1"/>
        <v>1</v>
      </c>
      <c r="E113">
        <f ca="1"/>
        <v>103.07752164182024</v>
      </c>
      <c r="F113" s="10">
        <f ca="1"/>
        <v>3.7954506035280686</v>
      </c>
      <c r="G113" s="7">
        <f ca="1"/>
        <v>-3.6821321885451619E-2</v>
      </c>
      <c r="H113" s="10">
        <f ca="1"/>
        <v>35.92062147337807</v>
      </c>
      <c r="I113" s="7">
        <f ca="1"/>
        <v>-0.33227901870189447</v>
      </c>
      <c r="J113">
        <f ca="1"/>
        <v>1.6701237320107509</v>
      </c>
      <c r="K113">
        <f ca="1"/>
        <v>0</v>
      </c>
      <c r="L113">
        <f ca="1"/>
        <v>0</v>
      </c>
    </row>
    <row r="114" spans="2:12" x14ac:dyDescent="0.35">
      <c r="B114">
        <v>0.10400000000000001</v>
      </c>
      <c r="C114">
        <f ca="1"/>
        <v>0.15220093030558174</v>
      </c>
      <c r="D114">
        <f ca="1"/>
        <v>1</v>
      </c>
      <c r="E114">
        <f ca="1"/>
        <v>102.87661649292178</v>
      </c>
      <c r="F114" s="10">
        <f ca="1"/>
        <v>0.91286769006411828</v>
      </c>
      <c r="G114" s="7">
        <f ca="1"/>
        <v>-8.8734225636875053E-3</v>
      </c>
      <c r="H114" s="10">
        <f ca="1"/>
        <v>36.833489163442188</v>
      </c>
      <c r="I114" s="7">
        <f ca="1"/>
        <v>-0.34115244126558197</v>
      </c>
      <c r="J114">
        <f ca="1"/>
        <v>1.7368802977388853</v>
      </c>
      <c r="K114">
        <f ca="1"/>
        <v>0</v>
      </c>
      <c r="L114">
        <f ca="1"/>
        <v>0</v>
      </c>
    </row>
    <row r="115" spans="2:12" x14ac:dyDescent="0.35">
      <c r="B115">
        <v>0.105</v>
      </c>
      <c r="C115">
        <f ca="1"/>
        <v>0.15290614217637855</v>
      </c>
      <c r="D115">
        <f ca="1"/>
        <v>1</v>
      </c>
      <c r="E115">
        <f ca="1"/>
        <v>102.88906967649383</v>
      </c>
      <c r="F115" s="10">
        <f ca="1"/>
        <v>-0.10321300567305483</v>
      </c>
      <c r="G115" s="7">
        <f ca="1"/>
        <v>1.0031484004819902E-3</v>
      </c>
      <c r="H115" s="10">
        <f ca="1"/>
        <v>36.730276157769133</v>
      </c>
      <c r="I115" s="7">
        <f ca="1"/>
        <v>-0.34014929286509998</v>
      </c>
      <c r="J115">
        <f ca="1"/>
        <v>1.7326318637617533</v>
      </c>
      <c r="K115">
        <f ca="1"/>
        <v>0</v>
      </c>
      <c r="L115">
        <f ca="1"/>
        <v>0</v>
      </c>
    </row>
    <row r="116" spans="2:12" x14ac:dyDescent="0.35">
      <c r="B116">
        <v>0.106</v>
      </c>
      <c r="C116">
        <f ca="1"/>
        <v>8.1401475773632936E-2</v>
      </c>
      <c r="D116">
        <f ca="1"/>
        <v>1</v>
      </c>
      <c r="E116">
        <f ca="1"/>
        <v>101.4261027036967</v>
      </c>
      <c r="F116" s="10">
        <f ca="1"/>
        <v>7.2037768474916755</v>
      </c>
      <c r="G116" s="7">
        <f ca="1"/>
        <v>-7.1024880730521434E-2</v>
      </c>
      <c r="H116" s="10">
        <f ca="1"/>
        <v>43.934053005260807</v>
      </c>
      <c r="I116" s="7">
        <f ca="1"/>
        <v>-0.41117417359562142</v>
      </c>
      <c r="J116">
        <f ca="1"/>
        <v>2.2302590450436952</v>
      </c>
      <c r="K116">
        <f ca="1"/>
        <v>0</v>
      </c>
      <c r="L116">
        <f ca="1"/>
        <v>0</v>
      </c>
    </row>
    <row r="117" spans="2:12" x14ac:dyDescent="0.35">
      <c r="B117">
        <v>0.107</v>
      </c>
      <c r="C117">
        <f ca="1"/>
        <v>9.8804651247040409E-2</v>
      </c>
      <c r="D117">
        <f ca="1"/>
        <v>1</v>
      </c>
      <c r="E117">
        <f ca="1"/>
        <v>101.77770947469216</v>
      </c>
      <c r="F117" s="10">
        <f ca="1"/>
        <v>-1.8220717848267658</v>
      </c>
      <c r="G117" s="7">
        <f ca="1"/>
        <v>1.7902464048671074E-2</v>
      </c>
      <c r="H117" s="10">
        <f ca="1"/>
        <v>42.111981220434039</v>
      </c>
      <c r="I117" s="7">
        <f ca="1"/>
        <v>-0.39327170954695034</v>
      </c>
      <c r="J117">
        <f ca="1"/>
        <v>2.0856874215490109</v>
      </c>
      <c r="K117">
        <f ca="1"/>
        <v>0</v>
      </c>
      <c r="L117">
        <f ca="1"/>
        <v>0</v>
      </c>
    </row>
    <row r="118" spans="2:12" x14ac:dyDescent="0.35">
      <c r="B118">
        <v>0.108</v>
      </c>
      <c r="C118">
        <f ca="1"/>
        <v>0.14732690257223696</v>
      </c>
      <c r="D118">
        <f ca="1"/>
        <v>1</v>
      </c>
      <c r="E118">
        <f ca="1"/>
        <v>102.76815887812532</v>
      </c>
      <c r="F118" s="10">
        <f ca="1"/>
        <v>-5.0036696188860397</v>
      </c>
      <c r="G118" s="7">
        <f ca="1"/>
        <v>4.8688909809311509E-2</v>
      </c>
      <c r="H118" s="10">
        <f ca="1"/>
        <v>37.108311601547996</v>
      </c>
      <c r="I118" s="7">
        <f ca="1"/>
        <v>-0.34458279973763883</v>
      </c>
      <c r="J118">
        <f ca="1"/>
        <v>1.6961716914410871</v>
      </c>
      <c r="K118">
        <f ca="1"/>
        <v>0</v>
      </c>
      <c r="L118">
        <f ca="1"/>
        <v>0</v>
      </c>
    </row>
    <row r="119" spans="2:12" x14ac:dyDescent="0.35">
      <c r="B119">
        <v>0.109</v>
      </c>
      <c r="C119">
        <f ca="1"/>
        <v>0.12224220812379133</v>
      </c>
      <c r="D119">
        <f ca="1"/>
        <v>1</v>
      </c>
      <c r="E119">
        <f ca="1"/>
        <v>102.2518234088043</v>
      </c>
      <c r="F119" s="10">
        <f ca="1"/>
        <v>2.5135072083146759</v>
      </c>
      <c r="G119" s="7">
        <f ca="1"/>
        <v>-2.4581539228553773E-2</v>
      </c>
      <c r="H119" s="10">
        <f ca="1"/>
        <v>39.621818809862674</v>
      </c>
      <c r="I119" s="7">
        <f ca="1"/>
        <v>-0.36916433896619261</v>
      </c>
      <c r="J119">
        <f ca="1"/>
        <v>1.8740920130635743</v>
      </c>
      <c r="K119">
        <f ca="1"/>
        <v>0</v>
      </c>
      <c r="L119">
        <f ca="1"/>
        <v>0</v>
      </c>
    </row>
    <row r="120" spans="2:12" x14ac:dyDescent="0.35">
      <c r="B120">
        <v>0.11</v>
      </c>
      <c r="C120">
        <f ca="1"/>
        <v>8.6990858965678958E-2</v>
      </c>
      <c r="D120">
        <f ca="1"/>
        <v>1</v>
      </c>
      <c r="E120">
        <f ca="1"/>
        <v>101.53142513260767</v>
      </c>
      <c r="F120" s="10">
        <f ca="1"/>
        <v>3.6351144452721367</v>
      </c>
      <c r="G120" s="7">
        <f ca="1"/>
        <v>-3.5802850600436309E-2</v>
      </c>
      <c r="H120" s="10">
        <f ca="1"/>
        <v>43.256933255134811</v>
      </c>
      <c r="I120" s="7">
        <f ca="1"/>
        <v>-0.40496718956662892</v>
      </c>
      <c r="J120">
        <f ca="1"/>
        <v>2.1400373664880945</v>
      </c>
      <c r="K120">
        <f ca="1"/>
        <v>0</v>
      </c>
      <c r="L120">
        <f ca="1"/>
        <v>0</v>
      </c>
    </row>
    <row r="121" spans="2:12" x14ac:dyDescent="0.35">
      <c r="B121">
        <v>0.111</v>
      </c>
      <c r="C121">
        <f ca="1"/>
        <v>0.16363591956461043</v>
      </c>
      <c r="D121">
        <f ca="1"/>
        <v>1</v>
      </c>
      <c r="E121">
        <f ca="1"/>
        <v>103.09772964732997</v>
      </c>
      <c r="F121" s="10">
        <f ca="1"/>
        <v>-7.9713893077115969</v>
      </c>
      <c r="G121" s="7">
        <f ca="1"/>
        <v>7.7318766717556331E-2</v>
      </c>
      <c r="H121" s="10">
        <f ca="1"/>
        <v>35.285543947423214</v>
      </c>
      <c r="I121" s="7">
        <f ca="1"/>
        <v>-0.32764842284907258</v>
      </c>
      <c r="J121">
        <f ca="1"/>
        <v>1.5057354291554788</v>
      </c>
      <c r="K121">
        <f ca="1"/>
        <v>0</v>
      </c>
      <c r="L121">
        <f ca="1"/>
        <v>0</v>
      </c>
    </row>
    <row r="122" spans="2:12" x14ac:dyDescent="0.35">
      <c r="B122">
        <v>0.112</v>
      </c>
      <c r="C122">
        <f ca="1"/>
        <v>0.1545018691573721</v>
      </c>
      <c r="D122">
        <f ca="1"/>
        <v>1</v>
      </c>
      <c r="E122">
        <f ca="1"/>
        <v>102.90750343075734</v>
      </c>
      <c r="F122" s="10">
        <f ca="1"/>
        <v>0.87823564226679651</v>
      </c>
      <c r="G122" s="7">
        <f ca="1"/>
        <v>-8.5342235793109955E-3</v>
      </c>
      <c r="H122" s="10">
        <f ca="1"/>
        <v>36.163779589690009</v>
      </c>
      <c r="I122" s="7">
        <f ca="1"/>
        <v>-0.33618264642838358</v>
      </c>
      <c r="J122">
        <f ca="1"/>
        <v>1.5680627490000418</v>
      </c>
      <c r="K122">
        <f ca="1"/>
        <v>0</v>
      </c>
      <c r="L122">
        <f ca="1"/>
        <v>0</v>
      </c>
    </row>
    <row r="123" spans="2:12" x14ac:dyDescent="0.35">
      <c r="B123">
        <v>0.113</v>
      </c>
      <c r="C123">
        <f ca="1"/>
        <v>0.13317412664091594</v>
      </c>
      <c r="D123">
        <f ca="1"/>
        <v>1</v>
      </c>
      <c r="E123">
        <f ca="1"/>
        <v>102.46743198075062</v>
      </c>
      <c r="F123" s="10">
        <f ca="1"/>
        <v>2.1409937625284674</v>
      </c>
      <c r="G123" s="7">
        <f ca="1"/>
        <v>-2.0894382938480116E-2</v>
      </c>
      <c r="H123" s="10">
        <f ca="1"/>
        <v>38.304773352218476</v>
      </c>
      <c r="I123" s="7">
        <f ca="1"/>
        <v>-0.3570770293668637</v>
      </c>
      <c r="J123">
        <f ca="1"/>
        <v>1.7160071336808755</v>
      </c>
      <c r="K123">
        <f ca="1"/>
        <v>0</v>
      </c>
      <c r="L123">
        <f ca="1"/>
        <v>0</v>
      </c>
    </row>
    <row r="124" spans="2:12" x14ac:dyDescent="0.35">
      <c r="B124">
        <v>0.114</v>
      </c>
      <c r="C124">
        <f ca="1"/>
        <v>5.6225560425204546E-2</v>
      </c>
      <c r="D124">
        <f ca="1"/>
        <v>1</v>
      </c>
      <c r="E124">
        <f ca="1"/>
        <v>100.90054190645432</v>
      </c>
      <c r="F124" s="10">
        <f ca="1"/>
        <v>8.0702808069532264</v>
      </c>
      <c r="G124" s="7">
        <f ca="1"/>
        <v>-7.9982531852358596E-2</v>
      </c>
      <c r="H124" s="10">
        <f ca="1"/>
        <v>46.375054159171704</v>
      </c>
      <c r="I124" s="7">
        <f ca="1"/>
        <v>-0.43705956121922229</v>
      </c>
      <c r="J124">
        <f ca="1"/>
        <v>2.2755075867550261</v>
      </c>
      <c r="K124">
        <f ca="1"/>
        <v>0</v>
      </c>
      <c r="L124">
        <f ca="1"/>
        <v>0</v>
      </c>
    </row>
    <row r="125" spans="2:12" x14ac:dyDescent="0.35">
      <c r="B125">
        <v>0.115</v>
      </c>
      <c r="C125">
        <f ca="1"/>
        <v>4.9570157979778727E-2</v>
      </c>
      <c r="D125">
        <f ca="1"/>
        <v>1</v>
      </c>
      <c r="E125">
        <f ca="1"/>
        <v>100.76430920434277</v>
      </c>
      <c r="F125" s="10">
        <f ca="1"/>
        <v>0.71842162566514089</v>
      </c>
      <c r="G125" s="7">
        <f ca="1"/>
        <v>-7.1297231265510241E-3</v>
      </c>
      <c r="H125" s="10">
        <f ca="1"/>
        <v>47.093475784836848</v>
      </c>
      <c r="I125" s="7">
        <f ca="1"/>
        <v>-0.44418928434577332</v>
      </c>
      <c r="J125">
        <f ca="1"/>
        <v>2.3350493917636186</v>
      </c>
      <c r="K125">
        <f ca="1"/>
        <v>0</v>
      </c>
      <c r="L125">
        <f ca="1"/>
        <v>0</v>
      </c>
    </row>
    <row r="126" spans="2:12" x14ac:dyDescent="0.35">
      <c r="B126">
        <v>0.11600000000000001</v>
      </c>
      <c r="C126">
        <f ca="1"/>
        <v>0.11644814388071156</v>
      </c>
      <c r="D126">
        <f ca="1"/>
        <v>1</v>
      </c>
      <c r="E126">
        <f ca="1"/>
        <v>102.11910363449786</v>
      </c>
      <c r="F126" s="10">
        <f ca="1"/>
        <v>-7.235420639571438</v>
      </c>
      <c r="G126" s="7">
        <f ca="1"/>
        <v>7.0852762921502666E-2</v>
      </c>
      <c r="H126" s="10">
        <f ca="1"/>
        <v>39.858055145265411</v>
      </c>
      <c r="I126" s="7">
        <f ca="1"/>
        <v>-0.37333652142427065</v>
      </c>
      <c r="J126">
        <f ca="1"/>
        <v>1.7332642233973843</v>
      </c>
      <c r="K126">
        <f ca="1"/>
        <v>0</v>
      </c>
      <c r="L126">
        <f ca="1"/>
        <v>0</v>
      </c>
    </row>
    <row r="127" spans="2:12" x14ac:dyDescent="0.35">
      <c r="B127">
        <v>0.11700000000000001</v>
      </c>
      <c r="C127">
        <f ca="1"/>
        <v>8.7592202810312353E-2</v>
      </c>
      <c r="D127">
        <f ca="1"/>
        <v>1</v>
      </c>
      <c r="E127">
        <f ca="1"/>
        <v>101.52942181236122</v>
      </c>
      <c r="F127" s="10">
        <f ca="1"/>
        <v>3.0518360498760653</v>
      </c>
      <c r="G127" s="7">
        <f ca="1"/>
        <v>-3.0058637145754963E-2</v>
      </c>
      <c r="H127" s="10">
        <f ca="1"/>
        <v>42.909891195141476</v>
      </c>
      <c r="I127" s="7">
        <f ca="1"/>
        <v>-0.40339515857002561</v>
      </c>
      <c r="J127">
        <f ca="1"/>
        <v>1.9534139836210045</v>
      </c>
      <c r="K127">
        <f ca="1"/>
        <v>0</v>
      </c>
      <c r="L127">
        <f ca="1"/>
        <v>0</v>
      </c>
    </row>
    <row r="128" spans="2:12" x14ac:dyDescent="0.35">
      <c r="B128">
        <v>0.11800000000000001</v>
      </c>
      <c r="C128">
        <f ca="1"/>
        <v>0.10559203918559082</v>
      </c>
      <c r="D128">
        <f ca="1"/>
        <v>1</v>
      </c>
      <c r="E128">
        <f ca="1"/>
        <v>101.89354520593261</v>
      </c>
      <c r="F128" s="10">
        <f ca="1"/>
        <v>-1.9565434360890113</v>
      </c>
      <c r="G128" s="7">
        <f ca="1"/>
        <v>1.9201838861673981E-2</v>
      </c>
      <c r="H128" s="10">
        <f ca="1"/>
        <v>40.953347759052463</v>
      </c>
      <c r="I128" s="7">
        <f ca="1"/>
        <v>-0.38419331970835163</v>
      </c>
      <c r="J128">
        <f ca="1"/>
        <v>1.8065283695322165</v>
      </c>
      <c r="K128">
        <f ca="1"/>
        <v>0</v>
      </c>
      <c r="L128">
        <f ca="1"/>
        <v>0</v>
      </c>
    </row>
    <row r="129" spans="2:12" x14ac:dyDescent="0.35">
      <c r="B129">
        <v>0.11900000000000001</v>
      </c>
      <c r="C129">
        <f ca="1"/>
        <v>7.9213444238087391E-2</v>
      </c>
      <c r="D129">
        <f ca="1"/>
        <v>1</v>
      </c>
      <c r="E129">
        <f ca="1"/>
        <v>101.35537188874488</v>
      </c>
      <c r="F129" s="10">
        <f ca="1"/>
        <v>2.8274034068041418</v>
      </c>
      <c r="G129" s="7">
        <f ca="1"/>
        <v>-2.7895940334644598E-2</v>
      </c>
      <c r="H129" s="10">
        <f ca="1"/>
        <v>43.780751165856607</v>
      </c>
      <c r="I129" s="7">
        <f ca="1"/>
        <v>-0.41208926004299623</v>
      </c>
      <c r="J129">
        <f ca="1"/>
        <v>2.013290962841026</v>
      </c>
      <c r="K129">
        <f ca="1"/>
        <v>0</v>
      </c>
      <c r="L129">
        <f ca="1"/>
        <v>0</v>
      </c>
    </row>
    <row r="130" spans="2:12" x14ac:dyDescent="0.35">
      <c r="B130">
        <v>0.12</v>
      </c>
      <c r="C130">
        <f ca="1"/>
        <v>0.13486837891948278</v>
      </c>
      <c r="D130">
        <f ca="1"/>
        <v>1</v>
      </c>
      <c r="E130">
        <f ca="1"/>
        <v>102.48780970228823</v>
      </c>
      <c r="F130" s="10">
        <f ca="1"/>
        <v>-6.04059971982924</v>
      </c>
      <c r="G130" s="7">
        <f ca="1"/>
        <v>5.8939689875081525E-2</v>
      </c>
      <c r="H130" s="10">
        <f ca="1"/>
        <v>37.740151446027369</v>
      </c>
      <c r="I130" s="7">
        <f ca="1"/>
        <v>-0.35314957016791471</v>
      </c>
      <c r="J130">
        <f ca="1"/>
        <v>1.5466255022132387</v>
      </c>
      <c r="K130">
        <f ca="1"/>
        <v>0</v>
      </c>
      <c r="L130">
        <f ca="1"/>
        <v>0</v>
      </c>
    </row>
    <row r="131" spans="2:12" x14ac:dyDescent="0.35">
      <c r="B131">
        <v>0.121</v>
      </c>
      <c r="C131">
        <f ca="1"/>
        <v>0.10698957367557659</v>
      </c>
      <c r="D131">
        <f ca="1"/>
        <v>1</v>
      </c>
      <c r="E131">
        <f ca="1"/>
        <v>101.91591399692884</v>
      </c>
      <c r="F131" s="10">
        <f ca="1"/>
        <v>2.9450313725184842</v>
      </c>
      <c r="G131" s="7">
        <f ca="1"/>
        <v>-2.8896678222472993E-2</v>
      </c>
      <c r="H131" s="10">
        <f ca="1"/>
        <v>40.685182818545854</v>
      </c>
      <c r="I131" s="7">
        <f ca="1"/>
        <v>-0.3820462483903877</v>
      </c>
      <c r="J131">
        <f ca="1"/>
        <v>1.7485902247417897</v>
      </c>
      <c r="K131">
        <f ca="1"/>
        <v>0</v>
      </c>
      <c r="L131">
        <f ca="1"/>
        <v>0</v>
      </c>
    </row>
    <row r="132" spans="2:12" x14ac:dyDescent="0.35">
      <c r="B132">
        <v>0.122</v>
      </c>
      <c r="C132">
        <f ca="1"/>
        <v>0.11900080475818704</v>
      </c>
      <c r="D132">
        <f ca="1"/>
        <v>1</v>
      </c>
      <c r="E132">
        <f ca="1"/>
        <v>102.15899221858062</v>
      </c>
      <c r="F132" s="10">
        <f ca="1"/>
        <v>-1.3247513321517483</v>
      </c>
      <c r="G132" s="7">
        <f ca="1"/>
        <v>1.2967545033307437E-2</v>
      </c>
      <c r="H132" s="10">
        <f ca="1"/>
        <v>39.360431486394106</v>
      </c>
      <c r="I132" s="7">
        <f ca="1"/>
        <v>-0.36907870335708026</v>
      </c>
      <c r="J132">
        <f ca="1"/>
        <v>1.6557231020943206</v>
      </c>
      <c r="K132">
        <f ca="1"/>
        <v>0</v>
      </c>
      <c r="L132">
        <f ca="1"/>
        <v>0</v>
      </c>
    </row>
    <row r="133" spans="2:12" x14ac:dyDescent="0.35">
      <c r="B133">
        <v>0.123</v>
      </c>
      <c r="C133">
        <f ca="1"/>
        <v>0.13416192004460961</v>
      </c>
      <c r="D133">
        <f ca="1"/>
        <v>1</v>
      </c>
      <c r="E133">
        <f ca="1"/>
        <v>102.46718182534063</v>
      </c>
      <c r="F133" s="10">
        <f ca="1"/>
        <v>-1.6611007580507207</v>
      </c>
      <c r="G133" s="7">
        <f ca="1"/>
        <v>1.6211051465064519E-2</v>
      </c>
      <c r="H133" s="10">
        <f ca="1"/>
        <v>37.699330728343384</v>
      </c>
      <c r="I133" s="7">
        <f ca="1"/>
        <v>-0.35286765189201574</v>
      </c>
      <c r="J133">
        <f ca="1"/>
        <v>1.5419768816432011</v>
      </c>
      <c r="K133">
        <f ca="1"/>
        <v>0</v>
      </c>
      <c r="L133">
        <f ca="1"/>
        <v>0</v>
      </c>
    </row>
    <row r="134" spans="2:12" x14ac:dyDescent="0.35">
      <c r="B134">
        <v>0.124</v>
      </c>
      <c r="C134">
        <f ca="1"/>
        <v>8.9182798376487765E-2</v>
      </c>
      <c r="D134">
        <f ca="1"/>
        <v>1</v>
      </c>
      <c r="E134">
        <f ca="1"/>
        <v>101.5475077536198</v>
      </c>
      <c r="F134" s="10">
        <f ca="1"/>
        <v>4.8465858326590237</v>
      </c>
      <c r="G134" s="7">
        <f ca="1"/>
        <v>-4.7727275044682327E-2</v>
      </c>
      <c r="H134" s="10">
        <f ca="1"/>
        <v>42.545916561002407</v>
      </c>
      <c r="I134" s="7">
        <f ca="1"/>
        <v>-0.40059492693669807</v>
      </c>
      <c r="J134">
        <f ca="1"/>
        <v>1.8665001118373041</v>
      </c>
      <c r="K134">
        <f ca="1"/>
        <v>0</v>
      </c>
      <c r="L134">
        <f ca="1"/>
        <v>0</v>
      </c>
    </row>
    <row r="135" spans="2:12" x14ac:dyDescent="0.35">
      <c r="B135">
        <v>0.125</v>
      </c>
      <c r="C135">
        <f ca="1"/>
        <v>0.13977329637537428</v>
      </c>
      <c r="D135">
        <f ca="1"/>
        <v>1</v>
      </c>
      <c r="E135">
        <f ca="1"/>
        <v>102.57813955439488</v>
      </c>
      <c r="F135" s="10">
        <f ca="1"/>
        <v>-5.5698301442959846</v>
      </c>
      <c r="G135" s="7">
        <f ca="1"/>
        <v>5.4298412590554235E-2</v>
      </c>
      <c r="H135" s="10">
        <f ca="1"/>
        <v>36.976086416706423</v>
      </c>
      <c r="I135" s="7">
        <f ca="1"/>
        <v>-0.34629651434614384</v>
      </c>
      <c r="J135">
        <f ca="1"/>
        <v>1.4536342409071707</v>
      </c>
      <c r="K135">
        <f ca="1"/>
        <v>0</v>
      </c>
      <c r="L135">
        <f ca="1"/>
        <v>0</v>
      </c>
    </row>
    <row r="136" spans="2:12" x14ac:dyDescent="0.35">
      <c r="B136">
        <v>0.126</v>
      </c>
      <c r="C136">
        <f ca="1"/>
        <v>0.17325053026287454</v>
      </c>
      <c r="D136">
        <f ca="1"/>
        <v>1</v>
      </c>
      <c r="E136">
        <f ca="1"/>
        <v>103.26518508213411</v>
      </c>
      <c r="F136" s="10">
        <f ca="1"/>
        <v>-3.586968866318911</v>
      </c>
      <c r="G136" s="7">
        <f ca="1"/>
        <v>3.473550997333652E-2</v>
      </c>
      <c r="H136" s="10">
        <f ca="1"/>
        <v>33.38911755038751</v>
      </c>
      <c r="I136" s="7">
        <f ca="1"/>
        <v>-0.31156100437280732</v>
      </c>
      <c r="J136">
        <f ca="1"/>
        <v>1.2157127694539653</v>
      </c>
      <c r="K136">
        <f ca="1"/>
        <v>0</v>
      </c>
      <c r="L136">
        <f ca="1"/>
        <v>0</v>
      </c>
    </row>
    <row r="137" spans="2:12" x14ac:dyDescent="0.35">
      <c r="B137">
        <v>0.127</v>
      </c>
      <c r="C137">
        <f ca="1"/>
        <v>0.17028167843869912</v>
      </c>
      <c r="D137">
        <f ca="1"/>
        <v>1</v>
      </c>
      <c r="E137">
        <f ca="1"/>
        <v>103.20182341855626</v>
      </c>
      <c r="F137" s="10">
        <f ca="1"/>
        <v>0.25738742012905613</v>
      </c>
      <c r="G137" s="7">
        <f ca="1"/>
        <v>-2.4940200822340941E-3</v>
      </c>
      <c r="H137" s="10">
        <f ca="1"/>
        <v>33.646504970516567</v>
      </c>
      <c r="I137" s="7">
        <f ca="1"/>
        <v>-0.31405502445504141</v>
      </c>
      <c r="J137">
        <f ca="1"/>
        <v>1.2354537929970135</v>
      </c>
      <c r="K137">
        <f ca="1"/>
        <v>0</v>
      </c>
      <c r="L137">
        <f ca="1"/>
        <v>0</v>
      </c>
    </row>
    <row r="138" spans="2:12" x14ac:dyDescent="0.35">
      <c r="B138">
        <v>0.128</v>
      </c>
      <c r="C138">
        <f ca="1"/>
        <v>0.18763998021927089</v>
      </c>
      <c r="D138">
        <f ca="1"/>
        <v>1</v>
      </c>
      <c r="E138">
        <f ca="1"/>
        <v>103.55865654022418</v>
      </c>
      <c r="F138" s="10">
        <f ca="1"/>
        <v>-1.8537868493308911</v>
      </c>
      <c r="G138" s="7">
        <f ca="1"/>
        <v>1.7900839111512079E-2</v>
      </c>
      <c r="H138" s="10">
        <f ca="1"/>
        <v>31.792718121185676</v>
      </c>
      <c r="I138" s="7">
        <f ca="1"/>
        <v>-0.29615418534352933</v>
      </c>
      <c r="J138">
        <f ca="1"/>
        <v>1.1233885582452281</v>
      </c>
      <c r="K138">
        <f ca="1"/>
        <v>0</v>
      </c>
      <c r="L138">
        <f ca="1"/>
        <v>0</v>
      </c>
    </row>
    <row r="139" spans="2:12" x14ac:dyDescent="0.35">
      <c r="B139">
        <v>0.129</v>
      </c>
      <c r="C139">
        <f ca="1"/>
        <v>0.18335207387860211</v>
      </c>
      <c r="D139">
        <f ca="1"/>
        <v>1</v>
      </c>
      <c r="E139">
        <f ca="1"/>
        <v>103.4678152692204</v>
      </c>
      <c r="F139" s="10">
        <f ca="1"/>
        <v>0.38353671053852406</v>
      </c>
      <c r="G139" s="7">
        <f ca="1"/>
        <v>-3.7068213873132638E-3</v>
      </c>
      <c r="H139" s="10">
        <f ca="1"/>
        <v>32.176254831724201</v>
      </c>
      <c r="I139" s="7">
        <f ca="1"/>
        <v>-0.29986100673084259</v>
      </c>
      <c r="J139">
        <f ca="1"/>
        <v>1.1502915808549261</v>
      </c>
      <c r="K139">
        <f ca="1"/>
        <v>0</v>
      </c>
      <c r="L139">
        <f ca="1"/>
        <v>0</v>
      </c>
    </row>
    <row r="140" spans="2:12" x14ac:dyDescent="0.35">
      <c r="B140">
        <v>0.13</v>
      </c>
      <c r="C140">
        <f ca="1"/>
        <v>0.20676912782023618</v>
      </c>
      <c r="D140">
        <f ca="1"/>
        <v>1</v>
      </c>
      <c r="E140">
        <f ca="1"/>
        <v>103.95145502412487</v>
      </c>
      <c r="F140" s="10">
        <f ca="1"/>
        <v>-2.4539186389407459</v>
      </c>
      <c r="G140" s="7">
        <f ca="1"/>
        <v>2.3606390486513584E-2</v>
      </c>
      <c r="H140" s="10">
        <f ca="1"/>
        <v>29.722336192783455</v>
      </c>
      <c r="I140" s="7">
        <f ca="1"/>
        <v>-0.27625461624432901</v>
      </c>
      <c r="J140">
        <f ca="1"/>
        <v>1.0052668770542112</v>
      </c>
      <c r="K140">
        <f ca="1"/>
        <v>0</v>
      </c>
      <c r="L140">
        <f ca="1"/>
        <v>0</v>
      </c>
    </row>
    <row r="141" spans="2:12" x14ac:dyDescent="0.35">
      <c r="B141">
        <v>0.13100000000000001</v>
      </c>
      <c r="C141">
        <f ca="1"/>
        <v>0.19441696153202412</v>
      </c>
      <c r="D141">
        <f ca="1"/>
        <v>1</v>
      </c>
      <c r="E141">
        <f ca="1"/>
        <v>103.69289296276989</v>
      </c>
      <c r="F141" s="10">
        <f ca="1"/>
        <v>1.1871046884455301</v>
      </c>
      <c r="G141" s="7">
        <f ca="1"/>
        <v>-1.1448274366033462E-2</v>
      </c>
      <c r="H141" s="10">
        <f ca="1"/>
        <v>30.909440881228985</v>
      </c>
      <c r="I141" s="7">
        <f ca="1"/>
        <v>-0.28770289061036247</v>
      </c>
      <c r="J141">
        <f ca="1"/>
        <v>1.076695840089176</v>
      </c>
      <c r="K141">
        <f ca="1"/>
        <v>0</v>
      </c>
      <c r="L141">
        <f ca="1"/>
        <v>0</v>
      </c>
    </row>
    <row r="142" spans="2:12" x14ac:dyDescent="0.35">
      <c r="B142">
        <v>0.13200000000000001</v>
      </c>
      <c r="C142">
        <f ca="1"/>
        <v>0.16584280101792404</v>
      </c>
      <c r="D142">
        <f ca="1"/>
        <v>1</v>
      </c>
      <c r="E142">
        <f ca="1"/>
        <v>103.09993351792079</v>
      </c>
      <c r="F142" s="10">
        <f ca="1"/>
        <v>2.9248472278236903</v>
      </c>
      <c r="G142" s="7">
        <f ca="1"/>
        <v>-2.8369050570874466E-2</v>
      </c>
      <c r="H142" s="10">
        <f ca="1"/>
        <v>33.834288109052679</v>
      </c>
      <c r="I142" s="7">
        <f ca="1"/>
        <v>-0.31607194118123694</v>
      </c>
      <c r="J142">
        <f ca="1"/>
        <v>1.2472919863869834</v>
      </c>
      <c r="K142">
        <f ca="1"/>
        <v>0</v>
      </c>
      <c r="L142">
        <f ca="1"/>
        <v>0</v>
      </c>
    </row>
    <row r="143" spans="2:12" x14ac:dyDescent="0.35">
      <c r="B143">
        <v>0.13300000000000001</v>
      </c>
      <c r="C143">
        <f ca="1"/>
        <v>0.17468226781353949</v>
      </c>
      <c r="D143">
        <f ca="1"/>
        <v>1</v>
      </c>
      <c r="E143">
        <f ca="1"/>
        <v>103.28029879075413</v>
      </c>
      <c r="F143" s="10">
        <f ca="1"/>
        <v>-0.99638117383803138</v>
      </c>
      <c r="G143" s="7">
        <f ca="1"/>
        <v>9.6473498382949052E-3</v>
      </c>
      <c r="H143">
        <f ca="1"/>
        <v>32.837906935214647</v>
      </c>
      <c r="I143" s="7">
        <f ca="1"/>
        <v>-0.30642459134294203</v>
      </c>
      <c r="J143">
        <f ca="1"/>
        <v>1.1902835844808628</v>
      </c>
      <c r="K143">
        <f ca="1"/>
        <v>0</v>
      </c>
      <c r="L143">
        <f ca="1"/>
        <v>0</v>
      </c>
    </row>
    <row r="144" spans="2:12" x14ac:dyDescent="0.35">
      <c r="B144">
        <v>0.13400000000000001</v>
      </c>
      <c r="C144">
        <f ca="1"/>
        <v>0.15194217188932377</v>
      </c>
      <c r="D144">
        <f ca="1"/>
        <v>1</v>
      </c>
      <c r="E144">
        <f ca="1"/>
        <v>102.80958833018694</v>
      </c>
      <c r="F144" s="10">
        <f ca="1"/>
        <v>2.3895524362661824</v>
      </c>
      <c r="G144" s="7">
        <f ca="1"/>
        <v>-2.3242505636651423E-2</v>
      </c>
      <c r="H144">
        <f ca="1"/>
        <v>35.227459371480833</v>
      </c>
      <c r="I144" s="7">
        <f ca="1"/>
        <v>-0.32966709697959345</v>
      </c>
      <c r="J144">
        <f ca="1"/>
        <v>1.3345208450010162</v>
      </c>
      <c r="K144">
        <f ca="1"/>
        <v>0</v>
      </c>
      <c r="L144">
        <f ca="1"/>
        <v>0</v>
      </c>
    </row>
    <row r="145" spans="2:12" x14ac:dyDescent="0.35">
      <c r="B145">
        <v>0.13500000000000001</v>
      </c>
      <c r="C145">
        <f ca="1"/>
        <v>0.16302303831723478</v>
      </c>
      <c r="D145">
        <f ca="1"/>
        <v>1</v>
      </c>
      <c r="E145">
        <f ca="1"/>
        <v>103.03562411760747</v>
      </c>
      <c r="F145" s="10">
        <f ca="1"/>
        <v>-1.2584144480528956</v>
      </c>
      <c r="G145" s="7">
        <f ca="1"/>
        <v>1.2213391813073404E-2</v>
      </c>
      <c r="H145">
        <f ca="1"/>
        <v>33.969044923427937</v>
      </c>
      <c r="I145" s="7">
        <f ca="1"/>
        <v>-0.31745370516652005</v>
      </c>
      <c r="J145">
        <f ca="1"/>
        <v>1.2600042831485965</v>
      </c>
      <c r="K145">
        <f ca="1"/>
        <v>0</v>
      </c>
      <c r="L145">
        <f ca="1"/>
        <v>0</v>
      </c>
    </row>
    <row r="146" spans="2:12" x14ac:dyDescent="0.35">
      <c r="B146">
        <v>0.13600000000000001</v>
      </c>
      <c r="C146">
        <f ca="1"/>
        <v>9.7955794750745465E-2</v>
      </c>
      <c r="D146">
        <f ca="1"/>
        <v>1</v>
      </c>
      <c r="E146">
        <f ca="1"/>
        <v>101.70142806960132</v>
      </c>
      <c r="F146" s="10">
        <f ca="1"/>
        <v>7.2109524794208371</v>
      </c>
      <c r="G146" s="7">
        <f ca="1"/>
        <v>-7.0903158552364509E-2</v>
      </c>
      <c r="H146">
        <f ca="1"/>
        <v>41.179997402848777</v>
      </c>
      <c r="I146" s="7">
        <f ca="1"/>
        <v>-0.38835686371888456</v>
      </c>
      <c r="J146">
        <f ca="1"/>
        <v>1.6835497620066775</v>
      </c>
      <c r="K146">
        <f ca="1"/>
        <v>0</v>
      </c>
      <c r="L146">
        <f ca="1"/>
        <v>0</v>
      </c>
    </row>
    <row r="147" spans="2:12" x14ac:dyDescent="0.35">
      <c r="B147">
        <v>0.13700000000000001</v>
      </c>
      <c r="C147">
        <f ca="1"/>
        <v>8.9047641886199139E-2</v>
      </c>
      <c r="D147">
        <f ca="1"/>
        <v>1</v>
      </c>
      <c r="E147">
        <f ca="1"/>
        <v>101.5183646233501</v>
      </c>
      <c r="F147" s="10">
        <f ca="1"/>
        <v>1.0089652342530491</v>
      </c>
      <c r="G147" s="7">
        <f ca="1"/>
        <v>-9.9387459401703016E-3</v>
      </c>
      <c r="H147">
        <f ca="1"/>
        <v>42.188962637101824</v>
      </c>
      <c r="I147" s="7">
        <f ca="1"/>
        <v>-0.39829560965905486</v>
      </c>
      <c r="J147">
        <f ca="1"/>
        <v>1.7546437078543704</v>
      </c>
      <c r="K147">
        <f ca="1"/>
        <v>0</v>
      </c>
      <c r="L147">
        <f ca="1"/>
        <v>0</v>
      </c>
    </row>
    <row r="148" spans="2:12" x14ac:dyDescent="0.35">
      <c r="B148">
        <v>0.13800000000000001</v>
      </c>
      <c r="C148">
        <f ca="1"/>
        <v>6.463307951814648E-2</v>
      </c>
      <c r="D148">
        <f ca="1"/>
        <v>1</v>
      </c>
      <c r="E148">
        <f ca="1"/>
        <v>101.02184715261767</v>
      </c>
      <c r="F148" s="10">
        <f ca="1"/>
        <v>2.8465949581291596</v>
      </c>
      <c r="G148" s="7">
        <f ca="1"/>
        <v>-2.8178013354167808E-2</v>
      </c>
      <c r="H148">
        <f ca="1"/>
        <v>45.035557595230983</v>
      </c>
      <c r="I148" s="7">
        <f ca="1"/>
        <v>-0.42647362301322267</v>
      </c>
      <c r="J148">
        <f ca="1"/>
        <v>1.9524044365661126</v>
      </c>
      <c r="K148">
        <f ca="1"/>
        <v>0</v>
      </c>
      <c r="L148">
        <f ca="1"/>
        <v>0</v>
      </c>
    </row>
    <row r="149" spans="2:12" x14ac:dyDescent="0.35">
      <c r="B149">
        <v>0.13900000000000001</v>
      </c>
      <c r="C149">
        <f ca="1"/>
        <v>5.8045104001018637E-2</v>
      </c>
      <c r="D149">
        <f ca="1"/>
        <v>1</v>
      </c>
      <c r="E149">
        <f ca="1"/>
        <v>100.88681115640441</v>
      </c>
      <c r="F149" s="10">
        <f ca="1"/>
        <v>0.77444468748710438</v>
      </c>
      <c r="G149" s="7">
        <f ca="1"/>
        <v>-7.6763719519936657E-3</v>
      </c>
      <c r="H149">
        <f ca="1"/>
        <v>45.810002282718088</v>
      </c>
      <c r="I149" s="7">
        <f ca="1"/>
        <v>-0.43414999496521633</v>
      </c>
      <c r="J149">
        <f ca="1"/>
        <v>2.0099937271083874</v>
      </c>
      <c r="K149">
        <f ca="1"/>
        <v>0</v>
      </c>
      <c r="L149">
        <f ca="1"/>
        <v>0</v>
      </c>
    </row>
    <row r="150" spans="2:12" x14ac:dyDescent="0.35">
      <c r="B150">
        <v>0.14000000000000001</v>
      </c>
      <c r="C150">
        <f ca="1"/>
        <v>6.9638211414932205E-2</v>
      </c>
      <c r="D150">
        <f ca="1"/>
        <v>1</v>
      </c>
      <c r="E150">
        <f ca="1"/>
        <v>101.11897847803006</v>
      </c>
      <c r="F150" s="10">
        <f ca="1"/>
        <v>-1.3924206170538769</v>
      </c>
      <c r="G150" s="7">
        <f ca="1"/>
        <v>1.377012147483675E-2</v>
      </c>
      <c r="H150">
        <f ca="1"/>
        <v>44.417581665664208</v>
      </c>
      <c r="I150" s="7">
        <f ca="1"/>
        <v>-0.42037987349037959</v>
      </c>
      <c r="J150">
        <f ca="1"/>
        <v>1.9091982855935186</v>
      </c>
      <c r="K150">
        <f ca="1"/>
        <v>0</v>
      </c>
      <c r="L150">
        <f ca="1"/>
        <v>0</v>
      </c>
    </row>
    <row r="151" spans="2:12" x14ac:dyDescent="0.35">
      <c r="B151">
        <v>0.14100000000000001</v>
      </c>
      <c r="C151">
        <f ca="1"/>
        <v>8.6359217140093231E-2</v>
      </c>
      <c r="D151">
        <f ca="1"/>
        <v>1</v>
      </c>
      <c r="E151">
        <f ca="1"/>
        <v>101.45567761985509</v>
      </c>
      <c r="F151" s="10">
        <f ca="1"/>
        <v>-2.0102163433037381</v>
      </c>
      <c r="G151" s="7">
        <f ca="1"/>
        <v>1.9813739264901764E-2</v>
      </c>
      <c r="H151">
        <f ca="1"/>
        <v>42.407365322360469</v>
      </c>
      <c r="I151" s="7">
        <f ca="1"/>
        <v>-0.40056613422547782</v>
      </c>
      <c r="J151">
        <f ca="1"/>
        <v>1.7676567429487875</v>
      </c>
      <c r="K151">
        <f ca="1"/>
        <v>0</v>
      </c>
      <c r="L151">
        <f ca="1"/>
        <v>0</v>
      </c>
    </row>
    <row r="152" spans="2:12" x14ac:dyDescent="0.35">
      <c r="B152">
        <v>0.14200000000000002</v>
      </c>
      <c r="C152">
        <f ca="1"/>
        <v>2.0281872135297377E-2</v>
      </c>
      <c r="D152">
        <f ca="1"/>
        <v>1</v>
      </c>
      <c r="E152">
        <f ca="1"/>
        <v>100.12171145104753</v>
      </c>
      <c r="F152" s="10">
        <f ca="1"/>
        <v>7.9045340358074352</v>
      </c>
      <c r="G152" s="7">
        <f ca="1"/>
        <v>-7.8949250080210587E-2</v>
      </c>
      <c r="H152">
        <f ca="1"/>
        <v>50.311899358167906</v>
      </c>
      <c r="I152" s="7">
        <f ca="1"/>
        <v>-0.47951538430568841</v>
      </c>
      <c r="J152">
        <f ca="1"/>
        <v>2.3019984143756034</v>
      </c>
      <c r="K152">
        <f ca="1"/>
        <v>0</v>
      </c>
      <c r="L152">
        <f ca="1"/>
        <v>0</v>
      </c>
    </row>
    <row r="153" spans="2:12" x14ac:dyDescent="0.35">
      <c r="B153">
        <v>0.14300000000000002</v>
      </c>
      <c r="C153">
        <f ca="1"/>
        <v>1.8079939649725808E-2</v>
      </c>
      <c r="D153">
        <f ca="1"/>
        <v>1</v>
      </c>
      <c r="E153">
        <f ca="1"/>
        <v>100.0756273760844</v>
      </c>
      <c r="F153" s="10">
        <f ca="1"/>
        <v>0.28327568114120955</v>
      </c>
      <c r="G153" s="7">
        <f ca="1"/>
        <v>-2.8306160907356492E-3</v>
      </c>
      <c r="H153">
        <f ca="1"/>
        <v>50.595175039309119</v>
      </c>
      <c r="I153" s="7">
        <f ca="1"/>
        <v>-0.48234600039642406</v>
      </c>
      <c r="J153">
        <f ca="1"/>
        <v>2.3240964372919279</v>
      </c>
      <c r="K153">
        <f ca="1"/>
        <v>0</v>
      </c>
      <c r="L153">
        <f ca="1"/>
        <v>0</v>
      </c>
    </row>
    <row r="154" spans="2:12" x14ac:dyDescent="0.35">
      <c r="B154">
        <v>0.14400000000000002</v>
      </c>
      <c r="C154">
        <f ca="1"/>
        <v>2.2836852212045018E-2</v>
      </c>
      <c r="D154">
        <f ca="1"/>
        <v>1</v>
      </c>
      <c r="E154">
        <f ca="1"/>
        <v>100.16887948529707</v>
      </c>
      <c r="F154" s="10">
        <f ca="1"/>
        <v>-0.56689174029824252</v>
      </c>
      <c r="G154" s="7">
        <f ca="1"/>
        <v>5.6593599051035781E-3</v>
      </c>
      <c r="H154">
        <f ca="1"/>
        <v>50.028283299010873</v>
      </c>
      <c r="I154" s="7">
        <f ca="1"/>
        <v>-0.47668664049132048</v>
      </c>
      <c r="J154">
        <f ca="1"/>
        <v>2.2791166553846622</v>
      </c>
      <c r="K154">
        <f ca="1"/>
        <v>0</v>
      </c>
      <c r="L154">
        <f ca="1"/>
        <v>0</v>
      </c>
    </row>
    <row r="155" spans="2:12" x14ac:dyDescent="0.35">
      <c r="B155">
        <v>0.14499999999999999</v>
      </c>
      <c r="C155">
        <f ca="1"/>
        <v>1.6603250544226858E-2</v>
      </c>
      <c r="D155">
        <f ca="1"/>
        <v>1</v>
      </c>
      <c r="E155">
        <f ca="1"/>
        <v>100.04207385945092</v>
      </c>
      <c r="F155" s="10">
        <f ca="1"/>
        <v>0.78039020707863282</v>
      </c>
      <c r="G155" s="7">
        <f ca="1"/>
        <v>-7.8006200488706656E-3</v>
      </c>
      <c r="H155">
        <f ca="1"/>
        <v>50.808673506089505</v>
      </c>
      <c r="I155" s="7">
        <f ca="1"/>
        <v>-0.48448726054019114</v>
      </c>
      <c r="J155">
        <f ca="1"/>
        <v>2.3395632031646585</v>
      </c>
      <c r="K155">
        <f ca="1"/>
        <v>0</v>
      </c>
      <c r="L155">
        <f ca="1"/>
        <v>0</v>
      </c>
    </row>
    <row r="156" spans="2:12" x14ac:dyDescent="0.35">
      <c r="B156">
        <v>0.14599999999999999</v>
      </c>
      <c r="C156">
        <f ca="1"/>
        <v>2.1584998454253018E-2</v>
      </c>
      <c r="D156">
        <f ca="1"/>
        <v>1</v>
      </c>
      <c r="E156">
        <f ca="1"/>
        <v>100.13979759494769</v>
      </c>
      <c r="F156" s="10">
        <f ca="1"/>
        <v>-0.59916292940893257</v>
      </c>
      <c r="G156" s="7">
        <f ca="1"/>
        <v>5.9832648337523886E-3</v>
      </c>
      <c r="H156">
        <f ca="1"/>
        <v>50.209510576680572</v>
      </c>
      <c r="I156" s="7">
        <f ca="1"/>
        <v>-0.47850399570643876</v>
      </c>
      <c r="J156">
        <f ca="1"/>
        <v>2.2922172982640774</v>
      </c>
      <c r="K156">
        <f ca="1"/>
        <v>0</v>
      </c>
      <c r="L156">
        <f ca="1"/>
        <v>0</v>
      </c>
    </row>
    <row r="157" spans="2:12" x14ac:dyDescent="0.35">
      <c r="B157">
        <v>0.14699999999999999</v>
      </c>
      <c r="C157">
        <f ca="1"/>
        <v>-2.3613898992304837E-2</v>
      </c>
      <c r="D157">
        <f ca="1"/>
        <v>1</v>
      </c>
      <c r="E157">
        <f ca="1"/>
        <v>99.236650445133307</v>
      </c>
      <c r="F157" s="10">
        <f ca="1"/>
        <v>5.5845167414619361</v>
      </c>
      <c r="G157" s="7">
        <f ca="1"/>
        <v>-5.6274740394926415E-2</v>
      </c>
      <c r="H157">
        <f ca="1"/>
        <v>55.794027318142511</v>
      </c>
      <c r="I157" s="7">
        <f ca="1"/>
        <v>-0.53477873610136517</v>
      </c>
      <c r="J157">
        <f ca="1"/>
        <v>2.7243768181611472</v>
      </c>
      <c r="K157">
        <f ca="1"/>
        <v>0</v>
      </c>
      <c r="L157">
        <f ca="1"/>
        <v>0.76334955486669287</v>
      </c>
    </row>
    <row r="158" spans="2:12" x14ac:dyDescent="0.35">
      <c r="B158">
        <v>0.14799999999999999</v>
      </c>
      <c r="C158">
        <f ca="1"/>
        <v>4.8453044771817409E-2</v>
      </c>
      <c r="D158">
        <f ca="1"/>
        <v>1</v>
      </c>
      <c r="E158">
        <f ca="1"/>
        <v>100.67533104057628</v>
      </c>
      <c r="F158" s="10">
        <f ca="1"/>
        <v>-8.9989188721177058</v>
      </c>
      <c r="G158" s="7">
        <f ca="1"/>
        <v>8.9385540420927667E-2</v>
      </c>
      <c r="H158">
        <f ca="1"/>
        <v>46.795108446024805</v>
      </c>
      <c r="I158" s="7">
        <f ca="1"/>
        <v>-0.4453931956804375</v>
      </c>
      <c r="J158">
        <f ca="1"/>
        <v>1.9550010276765875</v>
      </c>
      <c r="K158">
        <f ca="1"/>
        <v>0</v>
      </c>
      <c r="L158">
        <f ca="1"/>
        <v>0</v>
      </c>
    </row>
    <row r="159" spans="2:12" x14ac:dyDescent="0.35">
      <c r="B159">
        <v>0.14899999999999999</v>
      </c>
      <c r="C159">
        <f ca="1"/>
        <v>3.4534136250677944E-2</v>
      </c>
      <c r="D159">
        <f ca="1"/>
        <v>1</v>
      </c>
      <c r="E159">
        <f ca="1"/>
        <v>100.39345473381047</v>
      </c>
      <c r="F159" s="10">
        <f ca="1"/>
        <v>1.7403976673435975</v>
      </c>
      <c r="G159" s="7">
        <f ca="1"/>
        <v>-1.7335768272525309E-2</v>
      </c>
      <c r="H159">
        <f ca="1"/>
        <v>48.535506113368406</v>
      </c>
      <c r="I159" s="7">
        <f ca="1"/>
        <v>-0.46272896395296281</v>
      </c>
      <c r="J159">
        <f ca="1"/>
        <v>2.0805468167336159</v>
      </c>
      <c r="K159">
        <f ca="1"/>
        <v>0</v>
      </c>
      <c r="L159">
        <f ca="1"/>
        <v>0</v>
      </c>
    </row>
    <row r="160" spans="2:12" x14ac:dyDescent="0.35">
      <c r="B160">
        <v>0.15</v>
      </c>
      <c r="C160">
        <f ca="1"/>
        <v>2.9690995402191469E-2</v>
      </c>
      <c r="D160">
        <f ca="1"/>
        <v>1</v>
      </c>
      <c r="E160">
        <f ca="1"/>
        <v>100.29425198180493</v>
      </c>
      <c r="F160" s="10">
        <f ca="1"/>
        <v>0.61714367370307077</v>
      </c>
      <c r="G160" s="7">
        <f ca="1"/>
        <v>-6.1533304402632272E-3</v>
      </c>
      <c r="H160">
        <f ca="1"/>
        <v>49.152649787071475</v>
      </c>
      <c r="I160" s="7">
        <f ca="1"/>
        <v>-0.46888229439322604</v>
      </c>
      <c r="J160">
        <f ca="1"/>
        <v>2.1264508033904193</v>
      </c>
      <c r="K160">
        <f ca="1"/>
        <v>0</v>
      </c>
      <c r="L160">
        <f ca="1"/>
        <v>0</v>
      </c>
    </row>
    <row r="161" spans="2:12" x14ac:dyDescent="0.35">
      <c r="B161">
        <v>0.151</v>
      </c>
      <c r="C161">
        <f ca="1"/>
        <v>-1.2478622710918423E-3</v>
      </c>
      <c r="D161">
        <f ca="1"/>
        <v>1</v>
      </c>
      <c r="E161">
        <f ca="1"/>
        <v>99.673576677721186</v>
      </c>
      <c r="F161" s="10">
        <f ca="1"/>
        <v>3.9164258620147119</v>
      </c>
      <c r="G161" s="7">
        <f ca="1"/>
        <v>-3.9292518564652879E-2</v>
      </c>
      <c r="H161">
        <f ca="1"/>
        <v>53.069075649086187</v>
      </c>
      <c r="I161" s="7">
        <f ca="1"/>
        <v>-0.50817481295787892</v>
      </c>
      <c r="J161">
        <f ca="1"/>
        <v>2.4174744640424208</v>
      </c>
      <c r="K161">
        <f ca="1"/>
        <v>0</v>
      </c>
      <c r="L161">
        <f ca="1"/>
        <v>0.32642332227881354</v>
      </c>
    </row>
    <row r="162" spans="2:12" x14ac:dyDescent="0.35">
      <c r="B162">
        <v>0.152</v>
      </c>
      <c r="C162">
        <f ca="1"/>
        <v>-3.0747163107758612E-2</v>
      </c>
      <c r="D162">
        <f ca="1"/>
        <v>1</v>
      </c>
      <c r="E162">
        <f ca="1"/>
        <v>99.085266117634859</v>
      </c>
      <c r="F162" s="10">
        <f ca="1"/>
        <v>3.7442386686040647</v>
      </c>
      <c r="G162" s="7">
        <f ca="1"/>
        <v>-3.778804675317593E-2</v>
      </c>
      <c r="H162">
        <f ca="1"/>
        <v>56.813314317690249</v>
      </c>
      <c r="I162" s="7">
        <f ca="1"/>
        <v>-0.54596285971105485</v>
      </c>
      <c r="J162">
        <f ca="1"/>
        <v>2.7164390728754313</v>
      </c>
      <c r="K162">
        <f ca="1"/>
        <v>0</v>
      </c>
      <c r="L162">
        <f ca="1"/>
        <v>0.91473388236514097</v>
      </c>
    </row>
    <row r="163" spans="2:12" x14ac:dyDescent="0.35">
      <c r="B163">
        <v>0.153</v>
      </c>
      <c r="C163">
        <f ca="1"/>
        <v>-5.0975201025646413E-2</v>
      </c>
      <c r="D163">
        <f ca="1"/>
        <v>1</v>
      </c>
      <c r="E163">
        <f ca="1"/>
        <v>98.683242097997677</v>
      </c>
      <c r="F163" s="10">
        <f ca="1"/>
        <v>2.5765435142942956</v>
      </c>
      <c r="G163" s="7">
        <f ca="1"/>
        <v>-2.6109230498686409E-2</v>
      </c>
      <c r="H163">
        <f ca="1"/>
        <v>59.389857831984543</v>
      </c>
      <c r="I163" s="7">
        <f ca="1"/>
        <v>-0.57207209020974126</v>
      </c>
      <c r="J163">
        <f ca="1"/>
        <v>2.9359292563090804</v>
      </c>
      <c r="K163">
        <f ca="1"/>
        <v>0</v>
      </c>
      <c r="L163">
        <f ca="1"/>
        <v>1.3167579020023226</v>
      </c>
    </row>
    <row r="164" spans="2:12" x14ac:dyDescent="0.35">
      <c r="B164">
        <v>0.154</v>
      </c>
      <c r="C164">
        <f ca="1"/>
        <v>2.4368833208385163E-3</v>
      </c>
      <c r="D164">
        <f ca="1"/>
        <v>1</v>
      </c>
      <c r="E164">
        <f ca="1"/>
        <v>99.741073460945913</v>
      </c>
      <c r="F164" s="10">
        <f ca="1"/>
        <v>-6.7566489466443125</v>
      </c>
      <c r="G164" s="7">
        <f ca="1"/>
        <v>6.7741891200819193E-2</v>
      </c>
      <c r="H164">
        <f ca="1"/>
        <v>52.633208885340231</v>
      </c>
      <c r="I164" s="7">
        <f ca="1"/>
        <v>-0.50433019900892206</v>
      </c>
      <c r="J164">
        <f ca="1"/>
        <v>2.3307734574178625</v>
      </c>
      <c r="K164">
        <f ca="1"/>
        <v>0</v>
      </c>
      <c r="L164">
        <f ca="1"/>
        <v>0.25892653905408736</v>
      </c>
    </row>
    <row r="165" spans="2:12" x14ac:dyDescent="0.35">
      <c r="B165">
        <v>0.155</v>
      </c>
      <c r="C165">
        <f ca="1"/>
        <v>-3.7025282525936239E-2</v>
      </c>
      <c r="D165">
        <f ca="1"/>
        <v>1</v>
      </c>
      <c r="E165">
        <f ca="1"/>
        <v>98.954992889090022</v>
      </c>
      <c r="F165" s="10">
        <f ca="1"/>
        <v>5.0643975605802698</v>
      </c>
      <c r="G165" s="7">
        <f ca="1"/>
        <v>-5.1178797680845767E-2</v>
      </c>
      <c r="H165">
        <f ca="1"/>
        <v>57.697606445920499</v>
      </c>
      <c r="I165">
        <f ca="1"/>
        <v>-0.55550899668976783</v>
      </c>
      <c r="J165">
        <f ca="1"/>
        <v>2.7272176286589911</v>
      </c>
      <c r="K165">
        <f ca="1"/>
        <v>0</v>
      </c>
      <c r="L165">
        <f ca="1"/>
        <v>1.0450071109099781</v>
      </c>
    </row>
    <row r="166" spans="2:12" x14ac:dyDescent="0.35">
      <c r="B166">
        <v>0.156</v>
      </c>
      <c r="C166">
        <f ca="1"/>
        <v>-2.9514833732191829E-2</v>
      </c>
      <c r="D166">
        <f ca="1"/>
        <v>1</v>
      </c>
      <c r="E166">
        <f ca="1"/>
        <v>99.1017618061165</v>
      </c>
      <c r="F166" s="10">
        <f ca="1"/>
        <v>-0.90594082469655157</v>
      </c>
      <c r="G166" s="7">
        <f ca="1"/>
        <v>9.1415208790025515E-3</v>
      </c>
      <c r="H166">
        <f ca="1"/>
        <v>56.791665621223949</v>
      </c>
      <c r="I166">
        <f ca="1"/>
        <v>-0.54636747581076528</v>
      </c>
      <c r="J166">
        <f ca="1"/>
        <v>2.6456861748163689</v>
      </c>
      <c r="K166">
        <f ca="1"/>
        <v>0</v>
      </c>
      <c r="L166">
        <f ca="1"/>
        <v>0.89823819388350046</v>
      </c>
    </row>
    <row r="167" spans="2:12" x14ac:dyDescent="0.35">
      <c r="B167">
        <v>0.157</v>
      </c>
      <c r="C167">
        <f ca="1"/>
        <v>3.8076316098022797E-2</v>
      </c>
      <c r="D167">
        <f ca="1"/>
        <v>1</v>
      </c>
      <c r="E167">
        <f ca="1"/>
        <v>100.44852921651896</v>
      </c>
      <c r="F167" s="10">
        <f ca="1"/>
        <v>-8.8125010457916755</v>
      </c>
      <c r="G167" s="7">
        <f ca="1"/>
        <v>8.7731509007923258E-2</v>
      </c>
      <c r="H167">
        <f ca="1"/>
        <v>47.979164575432272</v>
      </c>
      <c r="I167">
        <f ca="1"/>
        <v>-0.45863596680284202</v>
      </c>
      <c r="J167">
        <f ca="1"/>
        <v>1.9098562642905748</v>
      </c>
      <c r="K167">
        <f ca="1"/>
        <v>0</v>
      </c>
      <c r="L167">
        <f ca="1"/>
        <v>0</v>
      </c>
    </row>
    <row r="168" spans="2:12" x14ac:dyDescent="0.35">
      <c r="B168">
        <v>0.158</v>
      </c>
      <c r="C168">
        <f ca="1"/>
        <v>3.9963954986359511E-2</v>
      </c>
      <c r="D168">
        <f ca="1"/>
        <v>1</v>
      </c>
      <c r="E168">
        <f ca="1"/>
        <v>100.48444877667733</v>
      </c>
      <c r="F168" s="10">
        <f ca="1"/>
        <v>-0.24421420602149929</v>
      </c>
      <c r="G168" s="7">
        <f ca="1"/>
        <v>2.4303681713401803E-3</v>
      </c>
      <c r="H168">
        <f ca="1"/>
        <v>47.734950369410775</v>
      </c>
      <c r="I168">
        <f ca="1"/>
        <v>-0.45620559863150184</v>
      </c>
      <c r="J168">
        <f ca="1"/>
        <v>1.8933822620902134</v>
      </c>
      <c r="K168">
        <f ca="1"/>
        <v>0</v>
      </c>
      <c r="L168">
        <f ca="1"/>
        <v>0</v>
      </c>
    </row>
    <row r="169" spans="2:12" x14ac:dyDescent="0.35">
      <c r="B169">
        <v>0.159</v>
      </c>
      <c r="C169">
        <f ca="1"/>
        <v>4.47747424030027E-2</v>
      </c>
      <c r="D169">
        <f ca="1"/>
        <v>1</v>
      </c>
      <c r="E169">
        <f ca="1"/>
        <v>100.5791655641091</v>
      </c>
      <c r="F169" s="10">
        <f ca="1"/>
        <v>-0.63305917904343656</v>
      </c>
      <c r="G169" s="7">
        <f ca="1"/>
        <v>6.2941383087924407E-3</v>
      </c>
      <c r="H169">
        <f ca="1"/>
        <v>47.10189119036734</v>
      </c>
      <c r="I169">
        <f ca="1"/>
        <v>-0.4499114603227094</v>
      </c>
      <c r="J169">
        <f ca="1"/>
        <v>1.8501719333794497</v>
      </c>
      <c r="K169">
        <f ca="1"/>
        <v>0</v>
      </c>
      <c r="L169">
        <f ca="1"/>
        <v>0</v>
      </c>
    </row>
    <row r="170" spans="2:12" x14ac:dyDescent="0.35">
      <c r="B170">
        <v>0.16</v>
      </c>
      <c r="C170">
        <f ca="1"/>
        <v>4.955004899776555E-2</v>
      </c>
      <c r="D170">
        <f ca="1"/>
        <v>1</v>
      </c>
      <c r="E170">
        <f ca="1"/>
        <v>100.67325723520599</v>
      </c>
      <c r="F170" s="10">
        <f ca="1"/>
        <v>-0.63481513811662793</v>
      </c>
      <c r="G170" s="7">
        <f ca="1"/>
        <v>6.3056978144006015E-3</v>
      </c>
      <c r="H170">
        <f ca="1"/>
        <v>46.467076052250711</v>
      </c>
      <c r="I170">
        <f ca="1"/>
        <v>-0.4436057625083088</v>
      </c>
      <c r="J170">
        <f ca="1"/>
        <v>1.8078390122320371</v>
      </c>
      <c r="K170">
        <f ca="1"/>
        <v>0</v>
      </c>
      <c r="L170">
        <f ca="1"/>
        <v>0</v>
      </c>
    </row>
    <row r="171" spans="2:12" x14ac:dyDescent="0.35">
      <c r="B171">
        <v>0.161</v>
      </c>
      <c r="C171">
        <f ca="1"/>
        <v>3.6633313453593844E-2</v>
      </c>
      <c r="D171">
        <f ca="1"/>
        <v>1</v>
      </c>
      <c r="E171">
        <f ca="1"/>
        <v>100.41151065847312</v>
      </c>
      <c r="F171" s="10">
        <f ca="1"/>
        <v>1.7168438249096718</v>
      </c>
      <c r="G171" s="7">
        <f ca="1"/>
        <v>-1.7098077836405878E-2</v>
      </c>
      <c r="H171">
        <f ca="1"/>
        <v>48.183919877160385</v>
      </c>
      <c r="I171">
        <f ca="1"/>
        <v>-0.46070384034471468</v>
      </c>
      <c r="J171">
        <f ca="1"/>
        <v>1.9239513019875716</v>
      </c>
      <c r="K171">
        <f ca="1"/>
        <v>0</v>
      </c>
      <c r="L171">
        <f ca="1"/>
        <v>0</v>
      </c>
    </row>
    <row r="172" spans="2:12" x14ac:dyDescent="0.35">
      <c r="B172">
        <v>0.16200000000000001</v>
      </c>
      <c r="C172">
        <f ca="1"/>
        <v>1.8149249334205114E-2</v>
      </c>
      <c r="D172">
        <f ca="1"/>
        <v>1</v>
      </c>
      <c r="E172">
        <f ca="1"/>
        <v>100.03899258681763</v>
      </c>
      <c r="F172" s="10">
        <f ca="1"/>
        <v>2.4853051990455812</v>
      </c>
      <c r="G172" s="7">
        <f ca="1"/>
        <v>-2.4843364919821032E-2</v>
      </c>
      <c r="H172">
        <f ca="1"/>
        <v>50.669225076205969</v>
      </c>
      <c r="I172">
        <f ca="1"/>
        <v>-0.48554720526453571</v>
      </c>
      <c r="J172">
        <f ca="1"/>
        <v>2.0955718081970645</v>
      </c>
      <c r="K172">
        <f ca="1"/>
        <v>0</v>
      </c>
      <c r="L172">
        <f ca="1"/>
        <v>0</v>
      </c>
    </row>
    <row r="173" spans="2:12" x14ac:dyDescent="0.35">
      <c r="B173">
        <v>0.16300000000000001</v>
      </c>
      <c r="C173">
        <f ca="1"/>
        <v>9.2922716672044475E-3</v>
      </c>
      <c r="D173">
        <f ca="1"/>
        <v>1</v>
      </c>
      <c r="E173">
        <f ca="1"/>
        <v>99.859943603987958</v>
      </c>
      <c r="F173" s="10">
        <f ca="1"/>
        <v>1.2146904099536979</v>
      </c>
      <c r="G173" s="7">
        <f ca="1"/>
        <v>-1.2163940476180968E-2</v>
      </c>
      <c r="H173">
        <f ca="1"/>
        <v>51.883915486159665</v>
      </c>
      <c r="I173">
        <f ca="1"/>
        <v>-0.49771114574071668</v>
      </c>
      <c r="J173">
        <f ca="1"/>
        <v>2.1825085414154657</v>
      </c>
      <c r="K173">
        <f ca="1"/>
        <v>0</v>
      </c>
      <c r="L173">
        <f ca="1"/>
        <v>0.14005639601204223</v>
      </c>
    </row>
    <row r="174" spans="2:12" x14ac:dyDescent="0.35">
      <c r="B174">
        <v>0.16400000000000001</v>
      </c>
      <c r="C174">
        <f ca="1"/>
        <v>2.7931725730233115E-2</v>
      </c>
      <c r="D174">
        <f ca="1"/>
        <v>1</v>
      </c>
      <c r="E174">
        <f ca="1"/>
        <v>100.23090068058551</v>
      </c>
      <c r="F174" s="10">
        <f ca="1"/>
        <v>-2.5134387030528891</v>
      </c>
      <c r="G174" s="7">
        <f ca="1"/>
        <v>2.5076485255407233E-2</v>
      </c>
      <c r="H174">
        <f ca="1"/>
        <v>49.370476783106774</v>
      </c>
      <c r="I174">
        <f ca="1"/>
        <v>-0.47263466048530944</v>
      </c>
      <c r="J174">
        <f ca="1"/>
        <v>1.9978790698014706</v>
      </c>
      <c r="K174">
        <f ca="1"/>
        <v>0</v>
      </c>
      <c r="L174">
        <f ca="1"/>
        <v>0</v>
      </c>
    </row>
    <row r="175" spans="2:12" x14ac:dyDescent="0.35">
      <c r="B175">
        <v>0.16500000000000001</v>
      </c>
      <c r="C175">
        <f ca="1"/>
        <v>4.1647667340293307E-3</v>
      </c>
      <c r="D175">
        <f ca="1"/>
        <v>1</v>
      </c>
      <c r="E175">
        <f ca="1"/>
        <v>99.753599400540409</v>
      </c>
      <c r="F175" s="10">
        <f ca="1"/>
        <v>3.2532811714683332</v>
      </c>
      <c r="G175" s="7">
        <f ca="1"/>
        <v>-3.2613170762946009E-2</v>
      </c>
      <c r="H175">
        <f ca="1"/>
        <v>52.623757954575105</v>
      </c>
      <c r="I175">
        <f ca="1"/>
        <v>-0.50524783124825545</v>
      </c>
      <c r="J175">
        <f ca="1"/>
        <v>2.2234681982447881</v>
      </c>
      <c r="K175">
        <f ca="1"/>
        <v>0</v>
      </c>
      <c r="L175">
        <f ca="1"/>
        <v>0.24640059945959081</v>
      </c>
    </row>
    <row r="176" spans="2:12" x14ac:dyDescent="0.35">
      <c r="B176">
        <v>0.16600000000000001</v>
      </c>
      <c r="C176">
        <f ca="1"/>
        <v>-1.0801813893019593E-2</v>
      </c>
      <c r="D176">
        <f ca="1"/>
        <v>1</v>
      </c>
      <c r="E176">
        <f ca="1"/>
        <v>99.453462701382051</v>
      </c>
      <c r="F176" s="10">
        <f ca="1"/>
        <v>2.0774924014374427</v>
      </c>
      <c r="G176" s="7">
        <f ca="1"/>
        <v>-2.088909068631728E-2</v>
      </c>
      <c r="H176">
        <f ca="1"/>
        <v>54.701250356012551</v>
      </c>
      <c r="I176">
        <f ca="1"/>
        <v>-0.52613692193457273</v>
      </c>
      <c r="J176">
        <f ca="1"/>
        <v>2.3751116145725604</v>
      </c>
      <c r="K176">
        <f ca="1"/>
        <v>0</v>
      </c>
      <c r="L176">
        <f ca="1"/>
        <v>0.54653729861794886</v>
      </c>
    </row>
    <row r="177" spans="2:12" x14ac:dyDescent="0.35">
      <c r="B177">
        <v>0.16700000000000001</v>
      </c>
      <c r="C177">
        <f ca="1"/>
        <v>2.3589122724741774E-2</v>
      </c>
      <c r="D177">
        <f ca="1"/>
        <v>1</v>
      </c>
      <c r="E177">
        <f ca="1"/>
        <v>100.13787741812807</v>
      </c>
      <c r="F177" s="10">
        <f ca="1"/>
        <v>-4.7225325887539116</v>
      </c>
      <c r="G177" s="7">
        <f ca="1"/>
        <v>4.7160302480098171E-2</v>
      </c>
      <c r="H177">
        <f ca="1"/>
        <v>49.978717767258637</v>
      </c>
      <c r="I177">
        <f ca="1"/>
        <v>-0.47897661945447456</v>
      </c>
      <c r="J177">
        <f ca="1"/>
        <v>2.0150157621770859</v>
      </c>
      <c r="K177">
        <f ca="1"/>
        <v>0</v>
      </c>
      <c r="L177">
        <f ca="1"/>
        <v>0</v>
      </c>
    </row>
    <row r="178" spans="2:12" x14ac:dyDescent="0.35">
      <c r="B178">
        <v>0.16800000000000001</v>
      </c>
      <c r="C178">
        <f ca="1"/>
        <v>8.6020151686292651E-2</v>
      </c>
      <c r="D178">
        <f ca="1"/>
        <v>1</v>
      </c>
      <c r="E178">
        <f ca="1"/>
        <v>101.39403026779749</v>
      </c>
      <c r="F178" s="10">
        <f ca="1"/>
        <v>-8.6728477643660433</v>
      </c>
      <c r="G178" s="7">
        <f ca="1"/>
        <v>8.5536078815090955E-2</v>
      </c>
      <c r="H178">
        <f ca="1"/>
        <v>41.30587000289259</v>
      </c>
      <c r="I178">
        <f ca="1"/>
        <v>-0.39344054063938361</v>
      </c>
      <c r="J178">
        <f ca="1"/>
        <v>1.4133479167243195</v>
      </c>
      <c r="K178">
        <f ca="1"/>
        <v>0</v>
      </c>
      <c r="L178">
        <f ca="1"/>
        <v>0</v>
      </c>
    </row>
    <row r="179" spans="2:12" x14ac:dyDescent="0.35">
      <c r="B179">
        <v>0.16900000000000001</v>
      </c>
      <c r="C179">
        <f ca="1"/>
        <v>5.1019329423610024E-2</v>
      </c>
      <c r="D179">
        <f ca="1"/>
        <v>1</v>
      </c>
      <c r="E179">
        <f ca="1"/>
        <v>100.68472015070495</v>
      </c>
      <c r="F179" s="10">
        <f ca="1"/>
        <v>4.792115679612059</v>
      </c>
      <c r="G179" s="7">
        <f ca="1"/>
        <v>-4.7595262443389796E-2</v>
      </c>
      <c r="H179">
        <f ca="1"/>
        <v>46.09798568250465</v>
      </c>
      <c r="I179">
        <f ca="1"/>
        <v>-0.4410358030827734</v>
      </c>
      <c r="J179">
        <f ca="1"/>
        <v>1.6924192726741936</v>
      </c>
      <c r="K179">
        <f ca="1"/>
        <v>0</v>
      </c>
      <c r="L179">
        <f ca="1"/>
        <v>0</v>
      </c>
    </row>
    <row r="180" spans="2:12" x14ac:dyDescent="0.35">
      <c r="B180">
        <v>0.17</v>
      </c>
      <c r="C180">
        <f ca="1"/>
        <v>8.1068237787414066E-2</v>
      </c>
      <c r="D180">
        <f ca="1"/>
        <v>1</v>
      </c>
      <c r="E180">
        <f ca="1"/>
        <v>101.28960941100237</v>
      </c>
      <c r="F180" s="10">
        <f ca="1"/>
        <v>-4.2133336429448542</v>
      </c>
      <c r="G180" s="7">
        <f ca="1"/>
        <v>4.1596898906465618E-2</v>
      </c>
      <c r="H180">
        <f ca="1"/>
        <v>41.884652039559796</v>
      </c>
      <c r="I180">
        <f ca="1"/>
        <v>-0.39943890417630779</v>
      </c>
      <c r="J180">
        <f ca="1"/>
        <v>1.4256414519827771</v>
      </c>
      <c r="K180">
        <f ca="1"/>
        <v>0</v>
      </c>
      <c r="L180">
        <f ca="1"/>
        <v>0</v>
      </c>
    </row>
    <row r="181" spans="2:12" x14ac:dyDescent="0.35">
      <c r="B181">
        <v>0.17100000000000001</v>
      </c>
      <c r="C181">
        <f ca="1"/>
        <v>5.7183321371469947E-2</v>
      </c>
      <c r="D181">
        <f ca="1"/>
        <v>1</v>
      </c>
      <c r="E181">
        <f ca="1"/>
        <v>100.80488837674085</v>
      </c>
      <c r="F181" s="10">
        <f ca="1"/>
        <v>3.3048121401512693</v>
      </c>
      <c r="G181" s="7">
        <f ca="1"/>
        <v>-3.2784244825509901E-2</v>
      </c>
      <c r="H181">
        <f ca="1"/>
        <v>45.189464179711067</v>
      </c>
      <c r="I181">
        <f ca="1"/>
        <v>-0.43222314900181769</v>
      </c>
      <c r="J181">
        <f ca="1"/>
        <v>1.6192578907394051</v>
      </c>
      <c r="K181">
        <f ca="1"/>
        <v>0</v>
      </c>
      <c r="L181">
        <f ca="1"/>
        <v>0</v>
      </c>
    </row>
    <row r="182" spans="2:12" x14ac:dyDescent="0.35">
      <c r="B182">
        <v>0.17200000000000001</v>
      </c>
      <c r="C182">
        <f ca="1"/>
        <v>6.2719675860750265E-2</v>
      </c>
      <c r="D182">
        <f ca="1"/>
        <v>1</v>
      </c>
      <c r="E182">
        <f ca="1"/>
        <v>100.91455020348778</v>
      </c>
      <c r="F182" s="10">
        <f ca="1"/>
        <v>-0.79995775091197585</v>
      </c>
      <c r="G182" s="7">
        <f ca="1"/>
        <v>7.9270803793795031E-3</v>
      </c>
      <c r="H182">
        <f ca="1"/>
        <v>44.389506428799088</v>
      </c>
      <c r="I182">
        <f ca="1"/>
        <v>-0.42429606862243818</v>
      </c>
      <c r="J182">
        <f ca="1"/>
        <v>1.5718595106575535</v>
      </c>
      <c r="K182">
        <f ca="1"/>
        <v>0</v>
      </c>
      <c r="L182">
        <f ca="1"/>
        <v>0</v>
      </c>
    </row>
    <row r="183" spans="2:12" x14ac:dyDescent="0.35">
      <c r="B183">
        <v>0.17300000000000001</v>
      </c>
      <c r="C183">
        <f ca="1"/>
        <v>0.10903477630049985</v>
      </c>
      <c r="D183">
        <f ca="1"/>
        <v>1</v>
      </c>
      <c r="E183">
        <f ca="1"/>
        <v>101.85162946793665</v>
      </c>
      <c r="F183" s="10">
        <f ca="1"/>
        <v>-6.544058788204226</v>
      </c>
      <c r="G183" s="7">
        <f ca="1"/>
        <v>6.425089929724026E-2</v>
      </c>
      <c r="H183">
        <f ca="1"/>
        <v>37.845447640594863</v>
      </c>
      <c r="I183">
        <f ca="1"/>
        <v>-0.36004516932519792</v>
      </c>
      <c r="J183">
        <f ca="1"/>
        <v>1.1742604627642947</v>
      </c>
      <c r="K183">
        <f ca="1"/>
        <v>0</v>
      </c>
      <c r="L183">
        <f ca="1"/>
        <v>0</v>
      </c>
    </row>
    <row r="184" spans="2:12" x14ac:dyDescent="0.35">
      <c r="B184">
        <v>0.17400000000000002</v>
      </c>
      <c r="C184">
        <f ca="1"/>
        <v>0.17388273854686881</v>
      </c>
      <c r="D184">
        <f ca="1"/>
        <v>1</v>
      </c>
      <c r="E184">
        <f ca="1"/>
        <v>103.17914339091342</v>
      </c>
      <c r="F184" s="10">
        <f ca="1"/>
        <v>-8.6863579541780194</v>
      </c>
      <c r="G184" s="7">
        <f ca="1"/>
        <v>8.4187149347306867E-2</v>
      </c>
      <c r="H184">
        <f ca="1"/>
        <v>29.159089686416841</v>
      </c>
      <c r="I184">
        <f ca="1"/>
        <v>-0.27585801997789106</v>
      </c>
      <c r="J184">
        <f ca="1"/>
        <v>0.69629548758456039</v>
      </c>
      <c r="K184">
        <f ca="1"/>
        <v>0</v>
      </c>
      <c r="L184">
        <f ca="1"/>
        <v>0</v>
      </c>
    </row>
    <row r="185" spans="2:12" x14ac:dyDescent="0.35">
      <c r="B185">
        <v>0.17500000000000002</v>
      </c>
      <c r="C185">
        <f ca="1"/>
        <v>0.20075011750400373</v>
      </c>
      <c r="D185">
        <f ca="1"/>
        <v>1</v>
      </c>
      <c r="E185">
        <f ca="1"/>
        <v>103.732991621023</v>
      </c>
      <c r="F185" s="10">
        <f ca="1"/>
        <v>-3.4031369703603391</v>
      </c>
      <c r="G185" s="7">
        <f ca="1"/>
        <v>3.2806698401154022E-2</v>
      </c>
      <c r="H185">
        <f ca="1"/>
        <v>25.755952716056502</v>
      </c>
      <c r="I185">
        <f ca="1"/>
        <v>-0.24305132157673703</v>
      </c>
      <c r="J185">
        <f ca="1"/>
        <v>0.54351201145827233</v>
      </c>
      <c r="K185">
        <f ca="1"/>
        <v>0</v>
      </c>
      <c r="L185">
        <f ca="1"/>
        <v>0</v>
      </c>
    </row>
    <row r="186" spans="2:12" x14ac:dyDescent="0.35">
      <c r="B186">
        <v>0.17599999999999999</v>
      </c>
      <c r="C186">
        <f ca="1"/>
        <v>0.19334392154123223</v>
      </c>
      <c r="D186">
        <f ca="1"/>
        <v>1</v>
      </c>
      <c r="E186">
        <f ca="1"/>
        <v>103.57738042248097</v>
      </c>
      <c r="F186" s="10">
        <f ca="1"/>
        <v>0.76053400817186523</v>
      </c>
      <c r="G186" s="7">
        <f ca="1"/>
        <v>-7.3426650207770172E-3</v>
      </c>
      <c r="H186">
        <f ca="1"/>
        <v>26.516486724228368</v>
      </c>
      <c r="I186">
        <f ca="1"/>
        <v>-0.25039398659751405</v>
      </c>
      <c r="J186">
        <f ca="1"/>
        <v>0.581333518916054</v>
      </c>
      <c r="K186">
        <f ca="1"/>
        <v>0</v>
      </c>
      <c r="L186">
        <f ca="1"/>
        <v>0</v>
      </c>
    </row>
    <row r="187" spans="2:12" x14ac:dyDescent="0.35">
      <c r="B187">
        <v>0.17699999999999999</v>
      </c>
      <c r="C187">
        <f ca="1"/>
        <v>0.17865391586507348</v>
      </c>
      <c r="D187">
        <f ca="1"/>
        <v>1</v>
      </c>
      <c r="E187">
        <f ca="1"/>
        <v>103.2714511063068</v>
      </c>
      <c r="F187">
        <f ca="1"/>
        <v>1.6869524609734066</v>
      </c>
      <c r="G187" s="7">
        <f ca="1"/>
        <v>-1.633512885605598E-2</v>
      </c>
      <c r="H187">
        <f ca="1"/>
        <v>28.203439185201773</v>
      </c>
      <c r="I187">
        <f ca="1"/>
        <v>-0.26672911545357003</v>
      </c>
      <c r="J187">
        <f ca="1"/>
        <v>0.65793638000995358</v>
      </c>
      <c r="K187">
        <f ca="1"/>
        <v>0</v>
      </c>
      <c r="L187">
        <f ca="1"/>
        <v>0</v>
      </c>
    </row>
    <row r="188" spans="2:12" x14ac:dyDescent="0.35">
      <c r="B188">
        <v>0.17799999999999999</v>
      </c>
      <c r="C188">
        <f ca="1"/>
        <v>0.17932212189891536</v>
      </c>
      <c r="D188">
        <f ca="1"/>
        <v>1</v>
      </c>
      <c r="E188">
        <f ca="1"/>
        <v>103.28318766550098</v>
      </c>
      <c r="F188">
        <f ca="1"/>
        <v>-0.20511159751287222</v>
      </c>
      <c r="G188" s="7">
        <f ca="1"/>
        <v>1.9859146696474816E-3</v>
      </c>
      <c r="H188">
        <f ca="1"/>
        <v>27.998327587688902</v>
      </c>
      <c r="I188">
        <f ca="1"/>
        <v>-0.26474320078392255</v>
      </c>
      <c r="J188">
        <f ca="1"/>
        <v>0.65480589795762256</v>
      </c>
      <c r="K188">
        <f ca="1"/>
        <v>0</v>
      </c>
      <c r="L188">
        <f ca="1"/>
        <v>0</v>
      </c>
    </row>
    <row r="189" spans="2:12" x14ac:dyDescent="0.35">
      <c r="B189">
        <v>0.17899999999999999</v>
      </c>
      <c r="C189">
        <f ca="1"/>
        <v>0.19746572388776928</v>
      </c>
      <c r="D189">
        <f ca="1"/>
        <v>1</v>
      </c>
      <c r="E189">
        <f ca="1"/>
        <v>103.6565811426841</v>
      </c>
      <c r="F189">
        <f ca="1"/>
        <v>-2.3788538191053239</v>
      </c>
      <c r="G189" s="7">
        <f ca="1"/>
        <v>2.2949375648718462E-2</v>
      </c>
      <c r="H189">
        <f ca="1"/>
        <v>25.619473768583578</v>
      </c>
      <c r="I189">
        <f ca="1"/>
        <v>-0.24179382513520409</v>
      </c>
      <c r="J189">
        <f ca="1"/>
        <v>0.55595251365632592</v>
      </c>
      <c r="K189">
        <f ca="1"/>
        <v>0</v>
      </c>
      <c r="L189">
        <f ca="1"/>
        <v>0</v>
      </c>
    </row>
    <row r="190" spans="2:12" x14ac:dyDescent="0.35">
      <c r="B190">
        <v>0.18</v>
      </c>
      <c r="C190">
        <f ca="1"/>
        <v>0.19721519861371664</v>
      </c>
      <c r="D190">
        <f ca="1"/>
        <v>1</v>
      </c>
      <c r="E190">
        <f ca="1"/>
        <v>103.64931454709713</v>
      </c>
      <c r="F190">
        <f ca="1"/>
        <v>-0.10610146908433217</v>
      </c>
      <c r="G190" s="7">
        <f ca="1"/>
        <v>1.0236581838283243E-3</v>
      </c>
      <c r="H190">
        <f ca="1"/>
        <v>25.513372299499245</v>
      </c>
      <c r="I190">
        <f ca="1"/>
        <v>-0.24077016695137576</v>
      </c>
      <c r="J190">
        <f ca="1"/>
        <v>0.55770953159900927</v>
      </c>
      <c r="K190">
        <f ca="1"/>
        <v>0</v>
      </c>
      <c r="L190">
        <f ca="1"/>
        <v>0</v>
      </c>
    </row>
    <row r="191" spans="2:12" x14ac:dyDescent="0.35">
      <c r="B191">
        <v>0.18099999999999999</v>
      </c>
      <c r="C191">
        <f ca="1"/>
        <v>0.23447627109017094</v>
      </c>
      <c r="D191">
        <f ca="1"/>
        <v>1</v>
      </c>
      <c r="E191">
        <f ca="1"/>
        <v>104.42252827100818</v>
      </c>
      <c r="F191">
        <f ca="1"/>
        <v>-4.5013558995719398</v>
      </c>
      <c r="G191" s="7">
        <f ca="1"/>
        <v>4.3107133815890319E-2</v>
      </c>
      <c r="H191">
        <f ca="1"/>
        <v>21.012016399927305</v>
      </c>
      <c r="I191">
        <f ca="1"/>
        <v>-0.19766303313548544</v>
      </c>
      <c r="J191">
        <f ca="1"/>
        <v>0.37154273420384953</v>
      </c>
      <c r="K191">
        <f ca="1"/>
        <v>0</v>
      </c>
      <c r="L191">
        <f ca="1"/>
        <v>0</v>
      </c>
    </row>
    <row r="192" spans="2:12" x14ac:dyDescent="0.35">
      <c r="B192">
        <v>0.182</v>
      </c>
      <c r="C192">
        <f ca="1"/>
        <v>0.28103646534113985</v>
      </c>
      <c r="D192">
        <f ca="1"/>
        <v>1</v>
      </c>
      <c r="E192">
        <f ca="1"/>
        <v>105.39734848018301</v>
      </c>
      <c r="F192">
        <f ca="1"/>
        <v>-4.9638959515587535</v>
      </c>
      <c r="G192" s="7">
        <f ca="1"/>
        <v>4.7096971822702671E-2</v>
      </c>
      <c r="H192">
        <f ca="1"/>
        <v>16.04812044836855</v>
      </c>
      <c r="I192">
        <f ca="1"/>
        <v>-0.15056606131278277</v>
      </c>
      <c r="J192">
        <f ca="1"/>
        <v>0.17885681489658189</v>
      </c>
      <c r="K192">
        <f ca="1"/>
        <v>0</v>
      </c>
      <c r="L192">
        <f ca="1"/>
        <v>0</v>
      </c>
    </row>
    <row r="193" spans="2:12" x14ac:dyDescent="0.35">
      <c r="B193">
        <v>0.183</v>
      </c>
      <c r="C193">
        <f ca="1"/>
        <v>0.29412473142573858</v>
      </c>
      <c r="D193">
        <f ca="1"/>
        <v>1</v>
      </c>
      <c r="E193">
        <f ca="1"/>
        <v>105.67149014985795</v>
      </c>
      <c r="F193">
        <f ca="1"/>
        <v>-1.3776407130890604</v>
      </c>
      <c r="G193" s="7">
        <f ca="1"/>
        <v>1.3037014157133209E-2</v>
      </c>
      <c r="H193">
        <f ca="1"/>
        <v>14.670479735279489</v>
      </c>
      <c r="I193">
        <f ca="1"/>
        <v>-0.13752904715564956</v>
      </c>
      <c r="J193">
        <f ca="1"/>
        <v>0.13758038345191714</v>
      </c>
      <c r="K193">
        <f ca="1"/>
        <v>0</v>
      </c>
      <c r="L193">
        <f ca="1"/>
        <v>0</v>
      </c>
    </row>
    <row r="194" spans="2:12" x14ac:dyDescent="0.35">
      <c r="B194">
        <v>0.184</v>
      </c>
      <c r="C194">
        <f ca="1"/>
        <v>0.32437307367487911</v>
      </c>
      <c r="D194">
        <f ca="1"/>
        <v>1</v>
      </c>
      <c r="E194">
        <f ca="1"/>
        <v>106.31057901075842</v>
      </c>
      <c r="F194">
        <f ca="1"/>
        <v>-2.7287556690697139</v>
      </c>
      <c r="G194" s="7">
        <f ca="1"/>
        <v>2.5667771678616946E-2</v>
      </c>
      <c r="H194">
        <f ca="1"/>
        <v>11.941724066209776</v>
      </c>
      <c r="I194">
        <f ca="1"/>
        <v>-0.11186127547703262</v>
      </c>
      <c r="J194">
        <f ca="1"/>
        <v>4.9687101364487063E-2</v>
      </c>
      <c r="K194">
        <f ca="1"/>
        <v>0</v>
      </c>
      <c r="L194">
        <f ca="1"/>
        <v>0</v>
      </c>
    </row>
    <row r="195" spans="2:12" x14ac:dyDescent="0.35">
      <c r="B195">
        <v>0.185</v>
      </c>
      <c r="C195">
        <f ca="1"/>
        <v>0.34322534082013995</v>
      </c>
      <c r="D195">
        <f ca="1"/>
        <v>1</v>
      </c>
      <c r="E195">
        <f ca="1"/>
        <v>106.71004049897593</v>
      </c>
      <c r="F195">
        <f ca="1"/>
        <v>-1.5920003662320497</v>
      </c>
      <c r="G195" s="7">
        <f ca="1"/>
        <v>1.491893695089852E-2</v>
      </c>
      <c r="H195">
        <f ca="1"/>
        <v>10.349723699977726</v>
      </c>
      <c r="I195">
        <f ca="1"/>
        <v>-9.6942338526134098E-2</v>
      </c>
      <c r="J195">
        <f ca="1"/>
        <v>5.0028297885216233E-3</v>
      </c>
      <c r="K195">
        <f ca="1"/>
        <v>0</v>
      </c>
      <c r="L195">
        <f ca="1"/>
        <v>0</v>
      </c>
    </row>
    <row r="196" spans="2:12" x14ac:dyDescent="0.35">
      <c r="B196">
        <v>0.186</v>
      </c>
      <c r="C196">
        <f ca="1"/>
        <v>0.32359397308227866</v>
      </c>
      <c r="D196">
        <f ca="1"/>
        <v>1</v>
      </c>
      <c r="E196">
        <f ca="1"/>
        <v>106.28976329871071</v>
      </c>
      <c r="F196">
        <f ca="1"/>
        <v>1.3008963745861586</v>
      </c>
      <c r="G196" s="7">
        <f ca="1"/>
        <v>-1.2239150170371471E-2</v>
      </c>
      <c r="H196">
        <f ca="1"/>
        <v>11.650620074563886</v>
      </c>
      <c r="I196">
        <f ca="1"/>
        <v>-0.10918148869650557</v>
      </c>
      <c r="J196">
        <f ca="1"/>
        <v>4.5745484411449766E-2</v>
      </c>
      <c r="K196">
        <f ca="1"/>
        <v>0</v>
      </c>
      <c r="L196">
        <f ca="1"/>
        <v>0</v>
      </c>
    </row>
    <row r="197" spans="2:12" x14ac:dyDescent="0.35">
      <c r="B197">
        <v>0.187</v>
      </c>
      <c r="C197">
        <f ca="1"/>
        <v>0.2743449496034232</v>
      </c>
      <c r="D197">
        <f ca="1"/>
        <v>1</v>
      </c>
      <c r="E197">
        <f ca="1"/>
        <v>105.2458641084604</v>
      </c>
      <c r="F197">
        <f ca="1"/>
        <v>4.1204383708789853</v>
      </c>
      <c r="G197" s="7">
        <f ca="1"/>
        <v>-3.9150596612829325E-2</v>
      </c>
      <c r="H197">
        <f ca="1"/>
        <v>15.771058445442872</v>
      </c>
      <c r="I197">
        <f ca="1"/>
        <v>-0.14833208530933489</v>
      </c>
      <c r="J197">
        <f ca="1"/>
        <v>0.15971995205205758</v>
      </c>
      <c r="K197">
        <f ca="1"/>
        <v>0</v>
      </c>
      <c r="L197">
        <f ca="1"/>
        <v>0</v>
      </c>
    </row>
    <row r="198" spans="2:12" x14ac:dyDescent="0.35">
      <c r="B198">
        <v>0.188</v>
      </c>
      <c r="C198">
        <f ca="1"/>
        <v>0.16418357641734163</v>
      </c>
      <c r="D198">
        <f ca="1"/>
        <v>1</v>
      </c>
      <c r="E198">
        <f ca="1"/>
        <v>102.95035701039853</v>
      </c>
      <c r="F198">
        <f ca="1"/>
        <v>12.663402740198208</v>
      </c>
      <c r="G198" s="7">
        <f ca="1"/>
        <v>-0.12300494245900612</v>
      </c>
      <c r="H198">
        <f ca="1"/>
        <v>28.43446118564108</v>
      </c>
      <c r="I198">
        <f ca="1"/>
        <v>-0.27133702776834101</v>
      </c>
      <c r="J198">
        <f ca="1"/>
        <v>0.50021730674995268</v>
      </c>
      <c r="K198">
        <f ca="1"/>
        <v>0</v>
      </c>
      <c r="L198">
        <f ca="1"/>
        <v>0</v>
      </c>
    </row>
    <row r="199" spans="2:12" x14ac:dyDescent="0.35">
      <c r="B199">
        <v>0.189</v>
      </c>
      <c r="C199">
        <f ca="1"/>
        <v>0.19522247678695664</v>
      </c>
      <c r="D199">
        <f ca="1"/>
        <v>1</v>
      </c>
      <c r="E199">
        <f ca="1"/>
        <v>103.58936616326528</v>
      </c>
      <c r="F199">
        <f ca="1"/>
        <v>-4.2745320468826797</v>
      </c>
      <c r="G199" s="7">
        <f ca="1"/>
        <v>4.1264197332240349E-2</v>
      </c>
      <c r="H199">
        <f ca="1"/>
        <v>24.1599291387584</v>
      </c>
      <c r="I199">
        <f ca="1"/>
        <v>-0.23007283043610066</v>
      </c>
      <c r="J199">
        <f ca="1"/>
        <v>0.32683046249432479</v>
      </c>
      <c r="K199">
        <f ca="1"/>
        <v>0</v>
      </c>
      <c r="L199">
        <f ca="1"/>
        <v>0</v>
      </c>
    </row>
    <row r="200" spans="2:12" x14ac:dyDescent="0.35">
      <c r="B200">
        <v>0.19</v>
      </c>
      <c r="C200">
        <f ca="1"/>
        <v>0.22589667110426909</v>
      </c>
      <c r="D200">
        <f ca="1"/>
        <v>1</v>
      </c>
      <c r="E200">
        <f ca="1"/>
        <v>104.22473906700289</v>
      </c>
      <c r="F200">
        <f ca="1"/>
        <v>-3.9281751647661385</v>
      </c>
      <c r="G200" s="7">
        <f ca="1"/>
        <v>3.7689469889109872E-2</v>
      </c>
      <c r="H200">
        <f ca="1"/>
        <v>20.231753973992262</v>
      </c>
      <c r="I200">
        <f ca="1"/>
        <v>-0.19238336054699079</v>
      </c>
      <c r="J200">
        <f ca="1"/>
        <v>0.18064842014900861</v>
      </c>
      <c r="K200">
        <f ca="1"/>
        <v>0</v>
      </c>
      <c r="L200">
        <f ca="1"/>
        <v>0</v>
      </c>
    </row>
    <row r="201" spans="2:12" x14ac:dyDescent="0.35">
      <c r="B201">
        <v>0.191</v>
      </c>
      <c r="C201">
        <f ca="1"/>
        <v>0.18242879522776595</v>
      </c>
      <c r="D201">
        <f ca="1"/>
        <v>1</v>
      </c>
      <c r="E201">
        <f ca="1"/>
        <v>103.32051420487596</v>
      </c>
      <c r="F201">
        <f ca="1"/>
        <v>5.2291225807351802</v>
      </c>
      <c r="G201" s="7">
        <f ca="1"/>
        <v>-5.0610690635610522E-2</v>
      </c>
      <c r="H201">
        <f ca="1"/>
        <v>25.460876554727442</v>
      </c>
      <c r="I201">
        <f ca="1"/>
        <v>-0.24299405118260131</v>
      </c>
      <c r="J201">
        <f ca="1"/>
        <v>0.35460623781512624</v>
      </c>
      <c r="K201">
        <f ca="1"/>
        <v>0</v>
      </c>
      <c r="L201">
        <f ca="1"/>
        <v>0</v>
      </c>
    </row>
    <row r="202" spans="2:12" x14ac:dyDescent="0.35">
      <c r="B202">
        <v>0.192</v>
      </c>
      <c r="C202">
        <f ca="1"/>
        <v>0.17570714919516706</v>
      </c>
      <c r="D202">
        <f ca="1"/>
        <v>1</v>
      </c>
      <c r="E202">
        <f ca="1"/>
        <v>103.17964712609928</v>
      </c>
      <c r="F202">
        <f ca="1"/>
        <v>0.74077677259689001</v>
      </c>
      <c r="G202" s="7">
        <f ca="1"/>
        <v>-7.1794854240154748E-3</v>
      </c>
      <c r="H202">
        <f ca="1"/>
        <v>26.201653327324333</v>
      </c>
      <c r="I202">
        <f ca="1"/>
        <v>-0.25017353660661679</v>
      </c>
      <c r="J202">
        <f ca="1"/>
        <v>0.38883609996533153</v>
      </c>
      <c r="K202">
        <f ca="1"/>
        <v>0</v>
      </c>
      <c r="L202">
        <f ca="1"/>
        <v>0</v>
      </c>
    </row>
    <row r="203" spans="2:12" x14ac:dyDescent="0.35">
      <c r="B203">
        <v>0.193</v>
      </c>
      <c r="C203">
        <f ca="1"/>
        <v>0.18088879321249193</v>
      </c>
      <c r="D203">
        <f ca="1"/>
        <v>1</v>
      </c>
      <c r="E203">
        <f ca="1"/>
        <v>103.28456487984144</v>
      </c>
      <c r="F203">
        <f ca="1"/>
        <v>-0.87038424086718735</v>
      </c>
      <c r="G203" s="7">
        <f ca="1"/>
        <v>8.4270504685745595E-3</v>
      </c>
      <c r="H203">
        <f ca="1"/>
        <v>25.331269086457144</v>
      </c>
      <c r="I203">
        <f ca="1"/>
        <v>-0.24174648613804223</v>
      </c>
      <c r="J203">
        <f ca="1"/>
        <v>0.36258845445883381</v>
      </c>
      <c r="K203">
        <f ca="1"/>
        <v>0</v>
      </c>
      <c r="L203">
        <f ca="1"/>
        <v>0</v>
      </c>
    </row>
    <row r="204" spans="2:12" x14ac:dyDescent="0.35">
      <c r="B204">
        <v>0.19400000000000001</v>
      </c>
      <c r="C204">
        <f ca="1"/>
        <v>0.16897541563664678</v>
      </c>
      <c r="D204">
        <f ca="1"/>
        <v>1</v>
      </c>
      <c r="E204">
        <f ca="1"/>
        <v>103.03670346921987</v>
      </c>
      <c r="F204">
        <f ca="1"/>
        <v>1.4683322227750009</v>
      </c>
      <c r="G204" s="7">
        <f ca="1"/>
        <v>-1.4250574536418814E-2</v>
      </c>
      <c r="H204">
        <f ca="1"/>
        <v>26.799601309232145</v>
      </c>
      <c r="I204">
        <f ca="1"/>
        <v>-0.25599706067446104</v>
      </c>
      <c r="J204">
        <f ca="1"/>
        <v>0.42250807952581582</v>
      </c>
      <c r="K204">
        <f ca="1"/>
        <v>0</v>
      </c>
      <c r="L204">
        <f ca="1"/>
        <v>0</v>
      </c>
    </row>
    <row r="205" spans="2:12" x14ac:dyDescent="0.35">
      <c r="B205">
        <v>0.19500000000000001</v>
      </c>
      <c r="C205">
        <f ca="1"/>
        <v>0.18334616643656765</v>
      </c>
      <c r="D205">
        <f ca="1"/>
        <v>1</v>
      </c>
      <c r="E205">
        <f ca="1"/>
        <v>103.33120576988286</v>
      </c>
      <c r="F205">
        <f ca="1"/>
        <v>-2.1574382723668255</v>
      </c>
      <c r="G205" s="7">
        <f ca="1"/>
        <v>2.0878864775578154E-2</v>
      </c>
      <c r="H205">
        <f ca="1"/>
        <v>24.64216303686532</v>
      </c>
      <c r="I205">
        <f ca="1"/>
        <v>-0.23511819589888289</v>
      </c>
      <c r="J205">
        <f ca="1"/>
        <v>0.3471163561942241</v>
      </c>
      <c r="K205">
        <f ca="1"/>
        <v>0</v>
      </c>
      <c r="L205">
        <f ca="1"/>
        <v>0</v>
      </c>
    </row>
    <row r="206" spans="2:12" x14ac:dyDescent="0.35">
      <c r="B206">
        <v>0.19600000000000001</v>
      </c>
      <c r="C206">
        <f ca="1"/>
        <v>0.21892142220677352</v>
      </c>
      <c r="D206">
        <f ca="1"/>
        <v>1</v>
      </c>
      <c r="E206">
        <f ca="1"/>
        <v>104.06695295614885</v>
      </c>
      <c r="F206">
        <f ca="1"/>
        <v>-4.7823001918700108</v>
      </c>
      <c r="G206" s="7">
        <f ca="1"/>
        <v>4.5954071451339118E-2</v>
      </c>
      <c r="H206">
        <f ca="1"/>
        <v>19.859862844995309</v>
      </c>
      <c r="I206">
        <f ca="1"/>
        <v>-0.18916412444754377</v>
      </c>
      <c r="J206">
        <f ca="1"/>
        <v>0.17412880512168272</v>
      </c>
      <c r="K206">
        <f ca="1"/>
        <v>0</v>
      </c>
      <c r="L206">
        <f ca="1"/>
        <v>0</v>
      </c>
    </row>
    <row r="207" spans="2:12" x14ac:dyDescent="0.35">
      <c r="B207">
        <v>0.19700000000000001</v>
      </c>
      <c r="C207">
        <f ca="1"/>
        <v>0.2659507452816196</v>
      </c>
      <c r="D207">
        <f ca="1"/>
        <v>1</v>
      </c>
      <c r="E207">
        <f ca="1"/>
        <v>105.04830952309712</v>
      </c>
      <c r="F207">
        <f ca="1"/>
        <v>-5.451379365047976</v>
      </c>
      <c r="G207" s="7">
        <f ca="1"/>
        <v>5.1894022757685343E-2</v>
      </c>
      <c r="H207">
        <f ca="1"/>
        <v>14.408483479947332</v>
      </c>
      <c r="I207">
        <f ca="1"/>
        <v>-0.13727010168985843</v>
      </c>
      <c r="J207">
        <f ca="1"/>
        <v>-1.1508650635931872E-2</v>
      </c>
      <c r="K207">
        <f ca="1"/>
        <v>0</v>
      </c>
      <c r="L207">
        <f ca="1"/>
        <v>0</v>
      </c>
    </row>
    <row r="208" spans="2:12" x14ac:dyDescent="0.35">
      <c r="B208">
        <v>0.19800000000000001</v>
      </c>
      <c r="C208">
        <f ca="1"/>
        <v>0.29089843104086799</v>
      </c>
      <c r="D208">
        <f ca="1"/>
        <v>1</v>
      </c>
      <c r="E208">
        <f ca="1"/>
        <v>105.57165030368931</v>
      </c>
      <c r="F208">
        <f ca="1"/>
        <v>-2.5808756841427258</v>
      </c>
      <c r="G208" s="7">
        <f ca="1"/>
        <v>2.4446673673458097E-2</v>
      </c>
      <c r="H208">
        <f ca="1"/>
        <v>11.827607795804607</v>
      </c>
      <c r="I208">
        <f ca="1"/>
        <v>-0.11282342801640033</v>
      </c>
      <c r="J208">
        <f ca="1"/>
        <v>-8.3347692806272633E-2</v>
      </c>
      <c r="K208">
        <f ca="1"/>
        <v>0</v>
      </c>
      <c r="L208">
        <f ca="1"/>
        <v>0</v>
      </c>
    </row>
    <row r="209" spans="2:12" x14ac:dyDescent="0.35">
      <c r="B209">
        <v>0.19900000000000001</v>
      </c>
      <c r="C209">
        <f ca="1"/>
        <v>0.3019411592197388</v>
      </c>
      <c r="D209">
        <f ca="1"/>
        <v>1</v>
      </c>
      <c r="E209">
        <f ca="1"/>
        <v>105.80295169272304</v>
      </c>
      <c r="F209">
        <f ca="1"/>
        <v>-1.1685819545471474</v>
      </c>
      <c r="G209">
        <f ca="1"/>
        <v>1.1044889918959799E-2</v>
      </c>
      <c r="H209">
        <f ca="1"/>
        <v>10.65902584125746</v>
      </c>
      <c r="I209">
        <f ca="1"/>
        <v>-0.10177853809744053</v>
      </c>
      <c r="J209">
        <f ca="1"/>
        <v>-0.10944390842201202</v>
      </c>
      <c r="K209">
        <f ca="1"/>
        <v>0</v>
      </c>
      <c r="L209">
        <f ca="1"/>
        <v>0</v>
      </c>
    </row>
    <row r="210" spans="2:12" x14ac:dyDescent="0.35">
      <c r="B210">
        <v>0.2</v>
      </c>
      <c r="C210">
        <f ca="1"/>
        <v>0.28472898876727659</v>
      </c>
      <c r="D210">
        <f ca="1"/>
        <v>1</v>
      </c>
      <c r="E210">
        <f ca="1"/>
        <v>105.43724942126349</v>
      </c>
      <c r="F210">
        <f ca="1"/>
        <v>1.2735957464676471</v>
      </c>
      <c r="G210">
        <f ca="1"/>
        <v>-1.207918220039228E-2</v>
      </c>
      <c r="H210">
        <f ca="1"/>
        <v>11.932621587725107</v>
      </c>
      <c r="I210">
        <f ca="1"/>
        <v>-0.11385772029783281</v>
      </c>
      <c r="J210">
        <f ca="1"/>
        <v>-7.2223265853946117E-2</v>
      </c>
      <c r="K210">
        <f ca="1"/>
        <v>0</v>
      </c>
      <c r="L210">
        <f ca="1"/>
        <v>0</v>
      </c>
    </row>
    <row r="211" spans="2:12" x14ac:dyDescent="0.35">
      <c r="B211">
        <v>0.20100000000000001</v>
      </c>
      <c r="C211">
        <f ca="1"/>
        <v>0.27683075086184444</v>
      </c>
      <c r="D211">
        <f ca="1"/>
        <v>1</v>
      </c>
      <c r="E211">
        <f ca="1"/>
        <v>105.26872180860106</v>
      </c>
      <c r="F211">
        <f ca="1"/>
        <v>0.50103310010757218</v>
      </c>
      <c r="G211">
        <f ca="1"/>
        <v>-4.7595628739422469E-3</v>
      </c>
      <c r="H211">
        <f ca="1"/>
        <v>12.433654687832679</v>
      </c>
      <c r="I211">
        <f ca="1"/>
        <v>-0.11861728317177506</v>
      </c>
      <c r="J211">
        <f ca="1"/>
        <v>-5.3035096068965615E-2</v>
      </c>
      <c r="K211">
        <f ca="1"/>
        <v>0</v>
      </c>
      <c r="L211">
        <f ca="1"/>
        <v>0</v>
      </c>
    </row>
    <row r="212" spans="2:12" x14ac:dyDescent="0.35">
      <c r="B212">
        <v>0.20200000000000001</v>
      </c>
      <c r="C212">
        <f ca="1"/>
        <v>0.2687328379716058</v>
      </c>
      <c r="D212">
        <f ca="1"/>
        <v>1</v>
      </c>
      <c r="E212">
        <f ca="1"/>
        <v>105.09626646233426</v>
      </c>
      <c r="F212">
        <f ca="1"/>
        <v>0.54248209775849443</v>
      </c>
      <c r="G212">
        <f ca="1"/>
        <v>-5.1617637430813601E-3</v>
      </c>
      <c r="H212">
        <f ca="1"/>
        <v>12.976136785591173</v>
      </c>
      <c r="I212">
        <f ca="1"/>
        <v>-0.12377904691485642</v>
      </c>
      <c r="J212">
        <f ca="1"/>
        <v>-3.2578911426350388E-2</v>
      </c>
      <c r="K212">
        <f ca="1"/>
        <v>0</v>
      </c>
      <c r="L212">
        <f ca="1"/>
        <v>0</v>
      </c>
    </row>
    <row r="213" spans="2:12" x14ac:dyDescent="0.35">
      <c r="B213">
        <v>0.20300000000000001</v>
      </c>
      <c r="C213">
        <f ca="1"/>
        <v>0.34717430470451394</v>
      </c>
      <c r="D213">
        <f ca="1"/>
        <v>1</v>
      </c>
      <c r="E213">
        <f ca="1"/>
        <v>106.7559135608516</v>
      </c>
      <c r="F213">
        <f ca="1"/>
        <v>-6.4802040562758307</v>
      </c>
      <c r="G213">
        <f ca="1"/>
        <v>6.0701125025566571E-2</v>
      </c>
      <c r="H213">
        <f ca="1"/>
        <v>6.4959327293153422</v>
      </c>
      <c r="I213">
        <f ca="1"/>
        <v>-6.3077921889289845E-2</v>
      </c>
      <c r="J213">
        <f ca="1"/>
        <v>-0.23800844749583305</v>
      </c>
      <c r="K213">
        <f ca="1"/>
        <v>0</v>
      </c>
      <c r="L213">
        <f ca="1"/>
        <v>0</v>
      </c>
    </row>
    <row r="214" spans="2:12" x14ac:dyDescent="0.35">
      <c r="B214">
        <v>0.20400000000000001</v>
      </c>
      <c r="C214">
        <f ca="1"/>
        <v>0.40479839617574453</v>
      </c>
      <c r="D214">
        <f ca="1"/>
        <v>1</v>
      </c>
      <c r="E214">
        <f ca="1"/>
        <v>107.99121327215151</v>
      </c>
      <c r="F214">
        <f ca="1"/>
        <v>-3.0471952381251368</v>
      </c>
      <c r="G214">
        <f ca="1"/>
        <v>2.821706642415267E-2</v>
      </c>
      <c r="H214">
        <f ca="1"/>
        <v>3.4487374911902053</v>
      </c>
      <c r="I214">
        <f ca="1"/>
        <v>-3.4860855465137175E-2</v>
      </c>
      <c r="J214">
        <f ca="1"/>
        <v>-0.31592858619507203</v>
      </c>
      <c r="K214">
        <f ca="1"/>
        <v>0</v>
      </c>
      <c r="L214">
        <f ca="1"/>
        <v>0</v>
      </c>
    </row>
    <row r="215" spans="2:12" x14ac:dyDescent="0.35">
      <c r="B215">
        <v>0.20500000000000002</v>
      </c>
      <c r="C215">
        <f ca="1"/>
        <v>0.41417422367278584</v>
      </c>
      <c r="D215">
        <f ca="1"/>
        <v>1</v>
      </c>
      <c r="E215">
        <f ca="1"/>
        <v>108.19174079361105</v>
      </c>
      <c r="F215">
        <f ca="1"/>
        <v>-0.49796138944774765</v>
      </c>
      <c r="G215">
        <f ca="1"/>
        <v>4.6025822839625974E-3</v>
      </c>
      <c r="H215">
        <f ca="1"/>
        <v>2.9507761017424579</v>
      </c>
      <c r="I215">
        <f ca="1"/>
        <v>-3.0258273181174578E-2</v>
      </c>
      <c r="J215">
        <f ca="1"/>
        <v>-0.32291914713745484</v>
      </c>
      <c r="K215">
        <f ca="1"/>
        <v>0</v>
      </c>
      <c r="L215">
        <f ca="1"/>
        <v>0</v>
      </c>
    </row>
    <row r="216" spans="2:12" x14ac:dyDescent="0.35">
      <c r="B216">
        <v>0.20600000000000002</v>
      </c>
      <c r="C216">
        <f ca="1"/>
        <v>0.40584814644630729</v>
      </c>
      <c r="D216">
        <f ca="1"/>
        <v>1</v>
      </c>
      <c r="E216">
        <f ca="1"/>
        <v>108.00956794433539</v>
      </c>
      <c r="F216">
        <f ca="1"/>
        <v>0.1465092761311402</v>
      </c>
      <c r="G216">
        <f ca="1"/>
        <v>-1.3564472011095008E-3</v>
      </c>
      <c r="H216">
        <f ca="1"/>
        <v>3.097285377873598</v>
      </c>
      <c r="I216">
        <f ca="1"/>
        <v>-3.1614720382284078E-2</v>
      </c>
      <c r="J216">
        <f ca="1"/>
        <v>-0.31740691129787901</v>
      </c>
      <c r="K216">
        <f ca="1"/>
        <v>0</v>
      </c>
      <c r="L216">
        <f ca="1"/>
        <v>0</v>
      </c>
    </row>
    <row r="217" spans="2:12" x14ac:dyDescent="0.35">
      <c r="B217">
        <v>0.20700000000000002</v>
      </c>
      <c r="C217">
        <f ca="1"/>
        <v>0.41507250949949914</v>
      </c>
      <c r="D217">
        <f ca="1"/>
        <v>1</v>
      </c>
      <c r="E217">
        <f ca="1"/>
        <v>108.20685160058545</v>
      </c>
      <c r="F217">
        <f ca="1"/>
        <v>-0.47044611097763139</v>
      </c>
      <c r="G217">
        <f ca="1"/>
        <v>4.3476554766989084E-3</v>
      </c>
      <c r="H217">
        <f ca="1"/>
        <v>2.6268392668959666</v>
      </c>
      <c r="I217">
        <f ca="1"/>
        <v>-2.726706490558517E-2</v>
      </c>
      <c r="J217">
        <f ca="1"/>
        <v>-0.32364397892621932</v>
      </c>
      <c r="K217">
        <f ca="1"/>
        <v>0</v>
      </c>
      <c r="L217">
        <f ca="1"/>
        <v>0</v>
      </c>
    </row>
    <row r="218" spans="2:12" x14ac:dyDescent="0.35">
      <c r="B218">
        <v>0.20800000000000002</v>
      </c>
      <c r="C218">
        <f ca="1"/>
        <v>0.42084768980955994</v>
      </c>
      <c r="D218">
        <f ca="1"/>
        <v>1</v>
      </c>
      <c r="E218">
        <f ca="1"/>
        <v>108.32974000750248</v>
      </c>
      <c r="F218">
        <f ca="1"/>
        <v>-0.32415638576505745</v>
      </c>
      <c r="G218">
        <f ca="1"/>
        <v>2.9923120441589512E-3</v>
      </c>
      <c r="H218">
        <f ca="1"/>
        <v>2.302682881130909</v>
      </c>
      <c r="I218">
        <f ca="1"/>
        <v>-2.4274752861426219E-2</v>
      </c>
      <c r="J218">
        <f ca="1"/>
        <v>-0.32699478509377</v>
      </c>
      <c r="K218">
        <f ca="1"/>
        <v>0</v>
      </c>
      <c r="L218">
        <f ca="1"/>
        <v>0</v>
      </c>
    </row>
    <row r="219" spans="2:12" x14ac:dyDescent="0.35">
      <c r="B219">
        <v>0.20899999999999999</v>
      </c>
      <c r="C219">
        <f ca="1"/>
        <v>0.42502131098549079</v>
      </c>
      <c r="D219">
        <f ca="1"/>
        <v>1</v>
      </c>
      <c r="E219">
        <f ca="1"/>
        <v>108.41803483516198</v>
      </c>
      <c r="F219">
        <f ca="1"/>
        <v>-0.25781511689405112</v>
      </c>
      <c r="G219">
        <f ca="1"/>
        <v>2.3779726065504825E-3</v>
      </c>
      <c r="H219">
        <f ca="1"/>
        <v>2.0448677642368578</v>
      </c>
      <c r="I219">
        <f ca="1"/>
        <v>-2.1896780254875736E-2</v>
      </c>
      <c r="J219">
        <f ca="1"/>
        <v>-0.32913812021414657</v>
      </c>
      <c r="K219">
        <f ca="1"/>
        <v>0</v>
      </c>
      <c r="L219">
        <f ca="1"/>
        <v>0</v>
      </c>
    </row>
    <row r="220" spans="2:12" x14ac:dyDescent="0.35">
      <c r="B220">
        <v>0.21</v>
      </c>
      <c r="C220">
        <f ca="1"/>
        <v>0.35233797766824204</v>
      </c>
      <c r="D220">
        <f ca="1"/>
        <v>1</v>
      </c>
      <c r="E220">
        <f ca="1"/>
        <v>106.85126081142953</v>
      </c>
      <c r="F220">
        <f ca="1"/>
        <v>2.6611081279137285</v>
      </c>
      <c r="G220">
        <f ca="1"/>
        <v>-2.4904789215450029E-2</v>
      </c>
      <c r="H220">
        <f ca="1"/>
        <v>4.7059758921505868</v>
      </c>
      <c r="I220">
        <f ca="1"/>
        <v>-4.6801569470325766E-2</v>
      </c>
      <c r="J220">
        <f ca="1"/>
        <v>-0.29483081370742958</v>
      </c>
      <c r="K220">
        <f ca="1"/>
        <v>0</v>
      </c>
      <c r="L220">
        <f ca="1"/>
        <v>0</v>
      </c>
    </row>
    <row r="221" spans="2:12" x14ac:dyDescent="0.35">
      <c r="B221">
        <v>0.21099999999999999</v>
      </c>
      <c r="C221">
        <f ca="1"/>
        <v>0.38685224142354968</v>
      </c>
      <c r="D221">
        <f ca="1"/>
        <v>1</v>
      </c>
      <c r="E221">
        <f ca="1"/>
        <v>107.58923909038147</v>
      </c>
      <c r="F221">
        <f ca="1"/>
        <v>-1.7413218045624921</v>
      </c>
      <c r="G221">
        <f ca="1"/>
        <v>1.618490677399137E-2</v>
      </c>
      <c r="H221">
        <f ca="1"/>
        <v>2.9646540875880945</v>
      </c>
      <c r="I221">
        <f ca="1"/>
        <v>-3.0616662696334396E-2</v>
      </c>
      <c r="J221">
        <f ca="1"/>
        <v>-0.32936935539739043</v>
      </c>
      <c r="K221">
        <f ca="1"/>
        <v>0</v>
      </c>
      <c r="L221">
        <f ca="1"/>
        <v>0</v>
      </c>
    </row>
    <row r="222" spans="2:12" x14ac:dyDescent="0.35">
      <c r="B222">
        <v>0.21199999999999999</v>
      </c>
      <c r="C222">
        <f ca="1"/>
        <v>0.40261706869332647</v>
      </c>
      <c r="D222">
        <f ca="1"/>
        <v>1</v>
      </c>
      <c r="E222">
        <f ca="1"/>
        <v>107.92684103113426</v>
      </c>
      <c r="F222">
        <f ca="1"/>
        <v>-0.70650793499274522</v>
      </c>
      <c r="G222">
        <f ca="1"/>
        <v>6.5461745034206542E-3</v>
      </c>
      <c r="H222">
        <f ca="1"/>
        <v>2.2581461525953492</v>
      </c>
      <c r="I222">
        <f ca="1"/>
        <v>-2.4070488192913742E-2</v>
      </c>
      <c r="J222">
        <f ca="1"/>
        <v>-0.33970560014304629</v>
      </c>
      <c r="K222">
        <f ca="1"/>
        <v>0</v>
      </c>
      <c r="L222">
        <f ca="1"/>
        <v>0</v>
      </c>
    </row>
    <row r="223" spans="2:12" x14ac:dyDescent="0.35">
      <c r="B223">
        <v>0.21299999999999999</v>
      </c>
      <c r="C223">
        <f ca="1"/>
        <v>0.42185586608906905</v>
      </c>
      <c r="D223">
        <f ca="1"/>
        <v>1</v>
      </c>
      <c r="E223">
        <f ca="1"/>
        <v>108.34075068787709</v>
      </c>
      <c r="F223">
        <f ca="1"/>
        <v>-0.68010587564779124</v>
      </c>
      <c r="G223">
        <f ca="1"/>
        <v>6.2774705854414248E-3</v>
      </c>
      <c r="H223">
        <f ca="1"/>
        <v>1.5780402769475579</v>
      </c>
      <c r="I223">
        <f ca="1"/>
        <v>-1.7793017607472317E-2</v>
      </c>
      <c r="J223">
        <f ca="1"/>
        <v>-0.34966860764860774</v>
      </c>
      <c r="K223">
        <f ca="1"/>
        <v>0</v>
      </c>
      <c r="L223">
        <f ca="1"/>
        <v>0</v>
      </c>
    </row>
    <row r="224" spans="2:12" x14ac:dyDescent="0.35">
      <c r="B224">
        <v>0.214</v>
      </c>
      <c r="C224">
        <f ca="1"/>
        <v>0.42367187824702274</v>
      </c>
      <c r="D224">
        <f ca="1"/>
        <v>1</v>
      </c>
      <c r="E224">
        <f ca="1"/>
        <v>108.3779398782988</v>
      </c>
      <c r="F224">
        <f ca="1"/>
        <v>-0.17129708734262708</v>
      </c>
      <c r="G224">
        <f ca="1"/>
        <v>1.5805530861260353E-3</v>
      </c>
      <c r="H224">
        <f ca="1"/>
        <v>1.4067431896049307</v>
      </c>
      <c r="I224">
        <f ca="1"/>
        <v>-1.6212464521346281E-2</v>
      </c>
      <c r="J224">
        <f ca="1"/>
        <v>-0.35033031556858907</v>
      </c>
      <c r="K224">
        <f ca="1"/>
        <v>0</v>
      </c>
      <c r="L224">
        <f ca="1"/>
        <v>0</v>
      </c>
    </row>
    <row r="225" spans="2:12" x14ac:dyDescent="0.35">
      <c r="B225">
        <v>0.215</v>
      </c>
      <c r="C225">
        <f ca="1"/>
        <v>0.42302690293560435</v>
      </c>
      <c r="D225">
        <f ca="1"/>
        <v>1</v>
      </c>
      <c r="E225">
        <f ca="1"/>
        <v>108.36179330330629</v>
      </c>
      <c r="F225">
        <f ca="1"/>
        <v>-0.1102131437496458</v>
      </c>
      <c r="G225">
        <f ca="1"/>
        <v>1.0170849004054183E-3</v>
      </c>
      <c r="H225">
        <f ca="1"/>
        <v>1.2965300458552849</v>
      </c>
      <c r="I225">
        <f ca="1"/>
        <v>-1.5195379620940863E-2</v>
      </c>
      <c r="J225">
        <f ca="1"/>
        <v>-0.35006853979438146</v>
      </c>
      <c r="K225">
        <f ca="1"/>
        <v>0</v>
      </c>
      <c r="L225">
        <f ca="1"/>
        <v>0</v>
      </c>
    </row>
    <row r="226" spans="2:12" x14ac:dyDescent="0.35">
      <c r="B226">
        <v>0.216</v>
      </c>
      <c r="C226">
        <f ca="1"/>
        <v>0.5075800783736435</v>
      </c>
      <c r="D226">
        <f ca="1"/>
        <v>1</v>
      </c>
      <c r="E226">
        <f ca="1"/>
        <v>110.20763766949054</v>
      </c>
      <c r="F226">
        <f ca="1"/>
        <v>-1.2363769339880242</v>
      </c>
      <c r="G226">
        <f ca="1"/>
        <v>1.1218613883149209E-2</v>
      </c>
      <c r="H226">
        <f ca="1"/>
        <v>6.0153111867260689E-2</v>
      </c>
      <c r="I226">
        <f ca="1"/>
        <v>-3.9767657377916543E-3</v>
      </c>
      <c r="J226">
        <f ca="1"/>
        <v>-0.37811684565972614</v>
      </c>
      <c r="K226">
        <f ca="1"/>
        <v>0</v>
      </c>
      <c r="L226">
        <f ca="1"/>
        <v>0</v>
      </c>
    </row>
    <row r="227" spans="2:12" x14ac:dyDescent="0.35">
      <c r="B227">
        <v>0.217</v>
      </c>
      <c r="C227">
        <f ca="1"/>
        <v>0.45060633762209801</v>
      </c>
      <c r="D227">
        <f ca="1"/>
        <v>1</v>
      </c>
      <c r="E227">
        <f ca="1"/>
        <v>108.95679783374248</v>
      </c>
      <c r="F227">
        <f ca="1"/>
        <v>0.51187360304214424</v>
      </c>
      <c r="G227">
        <f ca="1"/>
        <v>-4.6979501345406072E-3</v>
      </c>
      <c r="H227">
        <f ca="1"/>
        <v>0.57202671490940493</v>
      </c>
      <c r="I227">
        <f ca="1"/>
        <v>-8.6747158723322615E-3</v>
      </c>
      <c r="J227">
        <f ca="1"/>
        <v>-0.37314254865745833</v>
      </c>
      <c r="K227">
        <f ca="1"/>
        <v>0</v>
      </c>
      <c r="L227">
        <f ca="1"/>
        <v>0</v>
      </c>
    </row>
    <row r="228" spans="2:12" x14ac:dyDescent="0.35">
      <c r="B228">
        <v>0.218</v>
      </c>
      <c r="C228">
        <f ca="1"/>
        <v>0.44285573621344493</v>
      </c>
      <c r="D228">
        <f ca="1"/>
        <v>1</v>
      </c>
      <c r="E228">
        <f ca="1"/>
        <v>108.78585678974947</v>
      </c>
      <c r="F228">
        <f ca="1"/>
        <v>1.951978077191328E-2</v>
      </c>
      <c r="G228">
        <f ca="1"/>
        <v>-1.7943307473911041E-4</v>
      </c>
      <c r="H228">
        <f ca="1"/>
        <v>0.59154649568131823</v>
      </c>
      <c r="I228">
        <f ca="1"/>
        <v>-8.8541489470713719E-3</v>
      </c>
      <c r="J228">
        <f ca="1"/>
        <v>-0.3716596836698991</v>
      </c>
      <c r="K228">
        <f ca="1"/>
        <v>0</v>
      </c>
      <c r="L228">
        <f ca="1"/>
        <v>0</v>
      </c>
    </row>
    <row r="229" spans="2:12" x14ac:dyDescent="0.35">
      <c r="B229">
        <v>0.219</v>
      </c>
      <c r="C229">
        <f ca="1"/>
        <v>0.42666024525814245</v>
      </c>
      <c r="D229">
        <f ca="1"/>
        <v>1</v>
      </c>
      <c r="E229">
        <f ca="1"/>
        <v>108.4318901200507</v>
      </c>
      <c r="F229">
        <f ca="1"/>
        <v>0.15306261906988253</v>
      </c>
      <c r="G229">
        <f ca="1"/>
        <v>-1.4116015030303242E-3</v>
      </c>
      <c r="H229">
        <f ca="1"/>
        <v>0.74460911475120073</v>
      </c>
      <c r="I229">
        <f ca="1"/>
        <v>-1.0265750450101696E-2</v>
      </c>
      <c r="J229">
        <f ca="1"/>
        <v>-0.36852561005408735</v>
      </c>
      <c r="K229">
        <f ca="1"/>
        <v>0</v>
      </c>
      <c r="L229">
        <f ca="1"/>
        <v>0</v>
      </c>
    </row>
    <row r="230" spans="2:12" x14ac:dyDescent="0.35">
      <c r="B230">
        <v>0.22</v>
      </c>
      <c r="C230">
        <f ca="1"/>
        <v>0.43921471540069368</v>
      </c>
      <c r="D230">
        <f ca="1"/>
        <v>1</v>
      </c>
      <c r="E230">
        <f ca="1"/>
        <v>108.7023191328331</v>
      </c>
      <c r="F230">
        <f ca="1"/>
        <v>-0.28642465646182541</v>
      </c>
      <c r="G230">
        <f ca="1"/>
        <v>2.6349452223904946E-3</v>
      </c>
      <c r="H230">
        <f ca="1"/>
        <v>0.45818445828937532</v>
      </c>
      <c r="I230">
        <f ca="1"/>
        <v>-7.6308052277112015E-3</v>
      </c>
      <c r="J230">
        <f ca="1"/>
        <v>-0.37130176681377886</v>
      </c>
      <c r="K230">
        <f ca="1"/>
        <v>0</v>
      </c>
      <c r="L230">
        <f ca="1"/>
        <v>0</v>
      </c>
    </row>
    <row r="231" spans="2:12" x14ac:dyDescent="0.35">
      <c r="B231">
        <v>0.221</v>
      </c>
      <c r="C231">
        <f ca="1"/>
        <v>0.38795033182878658</v>
      </c>
      <c r="D231">
        <f ca="1"/>
        <v>1</v>
      </c>
      <c r="E231">
        <f ca="1"/>
        <v>107.59134980549779</v>
      </c>
      <c r="F231">
        <f ca="1"/>
        <v>0.81216692156171288</v>
      </c>
      <c r="G231">
        <f ca="1"/>
        <v>-7.5486265673768149E-3</v>
      </c>
      <c r="H231">
        <f ca="1"/>
        <v>1.2703513798510881</v>
      </c>
      <c r="I231">
        <f ca="1"/>
        <v>-1.5179431795088016E-2</v>
      </c>
      <c r="J231">
        <f ca="1"/>
        <v>-0.36282417626292185</v>
      </c>
      <c r="K231">
        <f ca="1"/>
        <v>0</v>
      </c>
      <c r="L231">
        <f ca="1"/>
        <v>0</v>
      </c>
    </row>
    <row r="232" spans="2:12" x14ac:dyDescent="0.35">
      <c r="B232">
        <v>0.222</v>
      </c>
      <c r="C232">
        <f ca="1"/>
        <v>0.41331607763768774</v>
      </c>
      <c r="D232">
        <f ca="1"/>
        <v>1</v>
      </c>
      <c r="E232">
        <f ca="1"/>
        <v>108.13640089702361</v>
      </c>
      <c r="F232">
        <f ca="1"/>
        <v>-0.63752841392998771</v>
      </c>
      <c r="G232">
        <f ca="1"/>
        <v>5.8955949027478249E-3</v>
      </c>
      <c r="H232">
        <f ca="1"/>
        <v>0.63282296592110043</v>
      </c>
      <c r="I232">
        <f ca="1"/>
        <v>-9.2838368923401915E-3</v>
      </c>
      <c r="J232">
        <f ca="1"/>
        <v>-0.3710977421315762</v>
      </c>
      <c r="K232">
        <f ca="1"/>
        <v>0</v>
      </c>
      <c r="L232">
        <f ca="1"/>
        <v>0</v>
      </c>
    </row>
    <row r="233" spans="2:12" x14ac:dyDescent="0.35">
      <c r="B233">
        <v>0.223</v>
      </c>
      <c r="C233">
        <f ca="1"/>
        <v>0.35810065124125734</v>
      </c>
      <c r="D233">
        <f ca="1"/>
        <v>1</v>
      </c>
      <c r="E233">
        <f ca="1"/>
        <v>106.94667184349814</v>
      </c>
      <c r="F233">
        <f ca="1"/>
        <v>1.1136436338401892</v>
      </c>
      <c r="G233">
        <f ca="1"/>
        <v>-1.0413074241990949E-2</v>
      </c>
      <c r="H233">
        <f ca="1"/>
        <v>1.7464665997612896</v>
      </c>
      <c r="I233">
        <f ca="1"/>
        <v>-1.9696911134331141E-2</v>
      </c>
      <c r="J233">
        <f ca="1"/>
        <v>-0.36005249165256781</v>
      </c>
      <c r="K233">
        <f ca="1"/>
        <v>0</v>
      </c>
      <c r="L233">
        <f ca="1"/>
        <v>0</v>
      </c>
    </row>
    <row r="234" spans="2:12" x14ac:dyDescent="0.35">
      <c r="B234">
        <v>0.224</v>
      </c>
      <c r="C234">
        <f ca="1"/>
        <v>0.35308930852866643</v>
      </c>
      <c r="D234">
        <f ca="1"/>
        <v>1</v>
      </c>
      <c r="E234">
        <f ca="1"/>
        <v>106.83739948750765</v>
      </c>
      <c r="F234">
        <f ca="1"/>
        <v>-3.5100429710180292E-2</v>
      </c>
      <c r="G234">
        <f ca="1"/>
        <v>3.2854065971799074E-4</v>
      </c>
      <c r="H234">
        <f ca="1"/>
        <v>1.7113661700511094</v>
      </c>
      <c r="I234">
        <f ca="1"/>
        <v>-1.936837047461315E-2</v>
      </c>
      <c r="J234">
        <f ca="1"/>
        <v>-0.35790016376718392</v>
      </c>
      <c r="K234">
        <f ca="1"/>
        <v>0</v>
      </c>
      <c r="L234">
        <f ca="1"/>
        <v>0</v>
      </c>
    </row>
    <row r="235" spans="2:12" x14ac:dyDescent="0.35">
      <c r="B235">
        <v>0.22500000000000001</v>
      </c>
      <c r="C235">
        <f ca="1"/>
        <v>0.36553176151408723</v>
      </c>
      <c r="D235">
        <f ca="1"/>
        <v>1</v>
      </c>
      <c r="E235">
        <f ca="1"/>
        <v>107.10145237551242</v>
      </c>
      <c r="F235">
        <f ca="1"/>
        <v>-0.5286757426876878</v>
      </c>
      <c r="G235">
        <f ca="1"/>
        <v>4.9362145046742967E-3</v>
      </c>
      <c r="H235">
        <f ca="1"/>
        <v>1.1826904273634216</v>
      </c>
      <c r="I235">
        <f ca="1"/>
        <v>-1.4432155969938854E-2</v>
      </c>
      <c r="J235">
        <f ca="1"/>
        <v>-0.36301443792695176</v>
      </c>
      <c r="K235">
        <f ca="1"/>
        <v>0</v>
      </c>
      <c r="L235">
        <f ca="1"/>
        <v>0</v>
      </c>
    </row>
    <row r="236" spans="2:12" x14ac:dyDescent="0.35">
      <c r="B236">
        <v>0.22600000000000001</v>
      </c>
      <c r="C236">
        <f ca="1"/>
        <v>0.32935166833981422</v>
      </c>
      <c r="D236">
        <f ca="1"/>
        <v>1</v>
      </c>
      <c r="E236">
        <f ca="1"/>
        <v>106.32713486968409</v>
      </c>
      <c r="F236">
        <f ca="1"/>
        <v>0.90999720707825316</v>
      </c>
      <c r="G236">
        <f ca="1"/>
        <v>-8.5584663613249568E-3</v>
      </c>
      <c r="H236">
        <f ca="1"/>
        <v>2.0926876344416749</v>
      </c>
      <c r="I236">
        <f ca="1"/>
        <v>-2.299062233126381E-2</v>
      </c>
      <c r="J236">
        <f ca="1"/>
        <v>-0.351839366912583</v>
      </c>
      <c r="K236">
        <f ca="1"/>
        <v>0</v>
      </c>
      <c r="L236">
        <f ca="1"/>
        <v>0</v>
      </c>
    </row>
    <row r="237" spans="2:12" x14ac:dyDescent="0.35">
      <c r="B237">
        <v>0.22700000000000001</v>
      </c>
      <c r="C237">
        <f ca="1"/>
        <v>0.30521733571947157</v>
      </c>
      <c r="D237">
        <f ca="1"/>
        <v>1</v>
      </c>
      <c r="E237">
        <f ca="1"/>
        <v>105.81302834838181</v>
      </c>
      <c r="F237">
        <f ca="1"/>
        <v>0.76163321988327082</v>
      </c>
      <c r="G237">
        <f ca="1"/>
        <v>-7.1979153396465323E-3</v>
      </c>
      <c r="H237">
        <f ca="1"/>
        <v>2.8543208543249459</v>
      </c>
      <c r="I237">
        <f ca="1"/>
        <v>-3.0188537670910343E-2</v>
      </c>
      <c r="J237">
        <f ca="1"/>
        <v>-0.34001973804328234</v>
      </c>
      <c r="K237">
        <f ca="1"/>
        <v>0</v>
      </c>
      <c r="L237">
        <f ca="1"/>
        <v>0</v>
      </c>
    </row>
    <row r="238" spans="2:12" x14ac:dyDescent="0.35">
      <c r="B238">
        <v>0.22800000000000001</v>
      </c>
      <c r="C238">
        <f ca="1"/>
        <v>0.35458088204789107</v>
      </c>
      <c r="D238">
        <f ca="1"/>
        <v>1</v>
      </c>
      <c r="E238">
        <f ca="1"/>
        <v>106.86072620892682</v>
      </c>
      <c r="F238">
        <f ca="1"/>
        <v>-1.9254033749553703</v>
      </c>
      <c r="G238">
        <f ca="1"/>
        <v>1.8017876569460634E-2</v>
      </c>
      <c r="H238">
        <f ca="1"/>
        <v>0.92891747936957558</v>
      </c>
      <c r="I238">
        <f ca="1"/>
        <v>-1.2170661101449709E-2</v>
      </c>
      <c r="J238">
        <f ca="1"/>
        <v>-0.37164820437407742</v>
      </c>
      <c r="K238">
        <f ca="1"/>
        <v>0</v>
      </c>
      <c r="L238">
        <f ca="1"/>
        <v>0</v>
      </c>
    </row>
    <row r="239" spans="2:12" x14ac:dyDescent="0.35">
      <c r="B239">
        <v>0.22900000000000001</v>
      </c>
      <c r="C239">
        <f ca="1"/>
        <v>0.38201006894352674</v>
      </c>
      <c r="D239">
        <f ca="1"/>
        <v>1</v>
      </c>
      <c r="E239">
        <f ca="1"/>
        <v>107.44640872517188</v>
      </c>
      <c r="F239">
        <f ca="1"/>
        <v>-0.62639487485043055</v>
      </c>
      <c r="G239">
        <f ca="1"/>
        <v>5.82983537823617E-3</v>
      </c>
      <c r="H239">
        <f ca="1"/>
        <v>0.30252260451914503</v>
      </c>
      <c r="I239">
        <f ca="1"/>
        <v>-6.340825723213539E-3</v>
      </c>
      <c r="J239">
        <f ca="1"/>
        <v>-0.37877634779234048</v>
      </c>
      <c r="K239">
        <f ca="1"/>
        <v>0</v>
      </c>
      <c r="L239">
        <f ca="1"/>
        <v>0</v>
      </c>
    </row>
    <row r="240" spans="2:12" x14ac:dyDescent="0.35">
      <c r="B240">
        <v>0.23</v>
      </c>
      <c r="C240">
        <f ca="1"/>
        <v>0.34681654122796179</v>
      </c>
      <c r="D240">
        <f ca="1"/>
        <v>1</v>
      </c>
      <c r="E240">
        <f ca="1"/>
        <v>106.69064665328388</v>
      </c>
      <c r="F240">
        <f ca="1"/>
        <v>0.45600876652308292</v>
      </c>
      <c r="G240">
        <f ca="1"/>
        <v>-4.2741213107929665E-3</v>
      </c>
      <c r="H240">
        <f ca="1"/>
        <v>0.7585313710422279</v>
      </c>
      <c r="I240">
        <f ca="1"/>
        <v>-1.0614947034006506E-2</v>
      </c>
      <c r="J240">
        <f ca="1"/>
        <v>-0.37398419220628387</v>
      </c>
      <c r="K240">
        <f ca="1"/>
        <v>0</v>
      </c>
      <c r="L240">
        <f ca="1"/>
        <v>0</v>
      </c>
    </row>
    <row r="241" spans="2:12" x14ac:dyDescent="0.35">
      <c r="B241">
        <v>0.23100000000000001</v>
      </c>
      <c r="C241">
        <f ca="1"/>
        <v>0.34684089721422817</v>
      </c>
      <c r="D241">
        <f ca="1"/>
        <v>1</v>
      </c>
      <c r="E241">
        <f ca="1"/>
        <v>106.68903256374537</v>
      </c>
      <c r="F241">
        <f ca="1"/>
        <v>-0.16404372482685431</v>
      </c>
      <c r="G241">
        <f ca="1"/>
        <v>1.5375875184625021E-3</v>
      </c>
      <c r="H241">
        <f ca="1"/>
        <v>0.59448764621537364</v>
      </c>
      <c r="I241">
        <f ca="1"/>
        <v>-9.0773595155440034E-3</v>
      </c>
      <c r="J241">
        <f ca="1"/>
        <v>-0.37396705873132441</v>
      </c>
      <c r="K241">
        <f ca="1"/>
        <v>0</v>
      </c>
      <c r="L241">
        <f ca="1"/>
        <v>0</v>
      </c>
    </row>
    <row r="242" spans="2:12" x14ac:dyDescent="0.35">
      <c r="B242">
        <v>0.23200000000000001</v>
      </c>
      <c r="C242">
        <f ca="1"/>
        <v>0.37369704676564369</v>
      </c>
      <c r="D242">
        <f ca="1"/>
        <v>1</v>
      </c>
      <c r="E242">
        <f ca="1"/>
        <v>107.26148038982966</v>
      </c>
      <c r="F242">
        <f ca="1"/>
        <v>-0.51012834664808904</v>
      </c>
      <c r="G242">
        <f ca="1"/>
        <v>4.7559323700743783E-3</v>
      </c>
      <c r="H242">
        <f ca="1"/>
        <v>8.4359299567284607E-2</v>
      </c>
      <c r="I242">
        <f ca="1"/>
        <v>-4.3214271454696251E-3</v>
      </c>
      <c r="J242">
        <f ca="1"/>
        <v>-0.37916337345258316</v>
      </c>
      <c r="K242">
        <f ca="1"/>
        <v>0</v>
      </c>
      <c r="L242">
        <f ca="1"/>
        <v>0</v>
      </c>
    </row>
    <row r="243" spans="2:12" x14ac:dyDescent="0.35">
      <c r="B243">
        <v>0.23300000000000001</v>
      </c>
      <c r="C243">
        <f ca="1"/>
        <v>0.34864909436228686</v>
      </c>
      <c r="D243">
        <f ca="1"/>
        <v>1</v>
      </c>
      <c r="E243">
        <f ca="1"/>
        <v>106.72335348250949</v>
      </c>
      <c r="F243">
        <f ca="1"/>
        <v>0.18605727098809113</v>
      </c>
      <c r="G243">
        <f ca="1"/>
        <v>-1.7433604259688429E-3</v>
      </c>
      <c r="H243">
        <f ca="1"/>
        <v>0.27041657055537571</v>
      </c>
      <c r="I243">
        <f ca="1"/>
        <v>-6.064787571438468E-3</v>
      </c>
      <c r="J243">
        <f ca="1"/>
        <v>-0.37683789722758221</v>
      </c>
      <c r="K243">
        <f ca="1"/>
        <v>0</v>
      </c>
      <c r="L243">
        <f ca="1"/>
        <v>0</v>
      </c>
    </row>
    <row r="244" spans="2:12" x14ac:dyDescent="0.35">
      <c r="B244">
        <v>0.23400000000000001</v>
      </c>
      <c r="C244">
        <f ca="1"/>
        <v>0.32688686208036655</v>
      </c>
      <c r="D244">
        <f ca="1"/>
        <v>1</v>
      </c>
      <c r="E244">
        <f ca="1"/>
        <v>106.25773003239043</v>
      </c>
      <c r="F244">
        <f ca="1"/>
        <v>0.19865089753592047</v>
      </c>
      <c r="G244">
        <f ca="1"/>
        <v>-1.8695194926088288E-3</v>
      </c>
      <c r="H244">
        <f ca="1"/>
        <v>0.46906746809129618</v>
      </c>
      <c r="I244">
        <f ca="1"/>
        <v>-7.9343070640472968E-3</v>
      </c>
      <c r="J244">
        <f ca="1"/>
        <v>-0.37401398991432977</v>
      </c>
      <c r="K244">
        <f ca="1"/>
        <v>0</v>
      </c>
      <c r="L244">
        <f ca="1"/>
        <v>0</v>
      </c>
    </row>
    <row r="245" spans="2:12" x14ac:dyDescent="0.35">
      <c r="B245">
        <v>0.23500000000000001</v>
      </c>
      <c r="C245">
        <f ca="1"/>
        <v>0.36062846407298255</v>
      </c>
      <c r="D245">
        <f ca="1"/>
        <v>1</v>
      </c>
      <c r="E245">
        <f ca="1"/>
        <v>106.97507664759436</v>
      </c>
      <c r="F245">
        <f ca="1"/>
        <v>-0.5442042403633216</v>
      </c>
      <c r="G245">
        <f ca="1"/>
        <v>5.0872058933510433E-3</v>
      </c>
      <c r="H245">
        <f ca="1"/>
        <v>-7.5136772272025421E-2</v>
      </c>
      <c r="I245">
        <f ca="1"/>
        <v>-2.8471011706962535E-3</v>
      </c>
      <c r="J245">
        <f ca="1"/>
        <v>-0.37970563823071279</v>
      </c>
      <c r="K245">
        <f ca="1"/>
        <v>0</v>
      </c>
      <c r="L245">
        <f ca="1"/>
        <v>0</v>
      </c>
    </row>
    <row r="246" spans="2:12" x14ac:dyDescent="0.35">
      <c r="B246">
        <v>0.23600000000000002</v>
      </c>
      <c r="C246">
        <f ca="1"/>
        <v>0.34361982349663944</v>
      </c>
      <c r="D246">
        <f ca="1"/>
        <v>1</v>
      </c>
      <c r="E246">
        <f ca="1"/>
        <v>106.60966255057009</v>
      </c>
      <c r="F246">
        <f ca="1"/>
        <v>4.8163603834987273E-2</v>
      </c>
      <c r="G246">
        <f ca="1"/>
        <v>-4.5177522076988996E-4</v>
      </c>
      <c r="H246">
        <f ca="1"/>
        <v>-2.6973168437038147E-2</v>
      </c>
      <c r="I246">
        <f ca="1"/>
        <v>-3.2988763914661434E-3</v>
      </c>
      <c r="J246">
        <f ca="1"/>
        <v>-0.37866526732728611</v>
      </c>
      <c r="K246">
        <f ca="1"/>
        <v>0</v>
      </c>
      <c r="L246">
        <f ca="1"/>
        <v>0</v>
      </c>
    </row>
    <row r="247" spans="2:12" x14ac:dyDescent="0.35">
      <c r="B247">
        <v>0.23700000000000002</v>
      </c>
      <c r="C247">
        <f ca="1"/>
        <v>0.29082404452749233</v>
      </c>
      <c r="D247">
        <f ca="1"/>
        <v>1</v>
      </c>
      <c r="E247">
        <f ca="1"/>
        <v>105.4877671378859</v>
      </c>
      <c r="F247">
        <f ca="1"/>
        <v>0.63098243868816783</v>
      </c>
      <c r="G247">
        <f ca="1"/>
        <v>-5.9815697668848533E-3</v>
      </c>
      <c r="H247">
        <f ca="1"/>
        <v>0.60400927025112972</v>
      </c>
      <c r="I247">
        <f ca="1"/>
        <v>-9.2804461583509967E-3</v>
      </c>
      <c r="J247">
        <f ca="1"/>
        <v>-0.374964273036688</v>
      </c>
      <c r="K247">
        <f ca="1"/>
        <v>0</v>
      </c>
      <c r="L247">
        <f ca="1"/>
        <v>0</v>
      </c>
    </row>
    <row r="248" spans="2:12" x14ac:dyDescent="0.35">
      <c r="B248">
        <v>0.23800000000000002</v>
      </c>
      <c r="C248">
        <f ca="1"/>
        <v>0.27241299082033005</v>
      </c>
      <c r="D248">
        <f ca="1"/>
        <v>1</v>
      </c>
      <c r="E248">
        <f ca="1"/>
        <v>105.09795122886754</v>
      </c>
      <c r="F248">
        <f ca="1"/>
        <v>0.21119042757691295</v>
      </c>
      <c r="G248">
        <f ca="1"/>
        <v>-2.0094628402128611E-3</v>
      </c>
      <c r="H248">
        <f ca="1"/>
        <v>0.81519969782804269</v>
      </c>
      <c r="I248">
        <f ca="1"/>
        <v>-1.1289908998563858E-2</v>
      </c>
      <c r="J248">
        <f ca="1"/>
        <v>-0.37134660748137449</v>
      </c>
      <c r="K248">
        <f ca="1"/>
        <v>0</v>
      </c>
      <c r="L248">
        <f ca="1"/>
        <v>0</v>
      </c>
    </row>
    <row r="249" spans="2:12" x14ac:dyDescent="0.35">
      <c r="B249">
        <v>0.23900000000000002</v>
      </c>
      <c r="C249">
        <f ca="1"/>
        <v>0.23947516702798471</v>
      </c>
      <c r="D249">
        <f ca="1"/>
        <v>1</v>
      </c>
      <c r="E249">
        <f ca="1"/>
        <v>104.40579894892042</v>
      </c>
      <c r="F249">
        <f ca="1"/>
        <v>0.84863809002264712</v>
      </c>
      <c r="G249">
        <f ca="1"/>
        <v>-8.1282658488905923E-3</v>
      </c>
      <c r="H249">
        <f ca="1"/>
        <v>1.6638377878506898</v>
      </c>
      <c r="I249">
        <f ca="1"/>
        <v>-1.941817484745445E-2</v>
      </c>
      <c r="J249">
        <f ca="1"/>
        <v>-0.36353227122762299</v>
      </c>
      <c r="K249">
        <f ca="1"/>
        <v>0</v>
      </c>
      <c r="L249">
        <f ca="1"/>
        <v>0</v>
      </c>
    </row>
    <row r="250" spans="2:12" x14ac:dyDescent="0.35">
      <c r="B250">
        <v>0.24</v>
      </c>
      <c r="C250">
        <f ca="1"/>
        <v>0.17052605871019608</v>
      </c>
      <c r="D250">
        <f ca="1"/>
        <v>1</v>
      </c>
      <c r="E250">
        <f ca="1"/>
        <v>102.97388349014031</v>
      </c>
      <c r="F250">
        <f ca="1"/>
        <v>5.2159437662803789</v>
      </c>
      <c r="G250">
        <f ca="1"/>
        <v>-5.0653074250421981E-2</v>
      </c>
      <c r="H250">
        <f ca="1"/>
        <v>6.8797815541310685</v>
      </c>
      <c r="I250">
        <f ca="1"/>
        <v>-7.0071249097876431E-2</v>
      </c>
      <c r="J250">
        <f ca="1"/>
        <v>-0.33572708648225813</v>
      </c>
      <c r="K250">
        <f ca="1"/>
        <v>0</v>
      </c>
      <c r="L250">
        <f ca="1"/>
        <v>0</v>
      </c>
    </row>
    <row r="251" spans="2:12" x14ac:dyDescent="0.35">
      <c r="B251">
        <v>0.24099999999999999</v>
      </c>
      <c r="C251">
        <f ca="1"/>
        <v>0.17286130570415786</v>
      </c>
      <c r="D251">
        <f ca="1"/>
        <v>1</v>
      </c>
      <c r="E251">
        <f ca="1"/>
        <v>103.01992819420769</v>
      </c>
      <c r="F251">
        <f ca="1"/>
        <v>-1.3123587874797171</v>
      </c>
      <c r="G251">
        <f ca="1"/>
        <v>1.2738882762621695E-2</v>
      </c>
      <c r="H251">
        <f ca="1"/>
        <v>5.5674227666513509</v>
      </c>
      <c r="I251">
        <f ca="1"/>
        <v>-5.7332366335254736E-2</v>
      </c>
      <c r="J251">
        <f ca="1"/>
        <v>-0.33895349641060246</v>
      </c>
      <c r="K251">
        <f ca="1"/>
        <v>0</v>
      </c>
      <c r="L251">
        <f ca="1"/>
        <v>0</v>
      </c>
    </row>
    <row r="252" spans="2:12" x14ac:dyDescent="0.35">
      <c r="B252">
        <v>0.24199999999999999</v>
      </c>
      <c r="C252">
        <f ca="1"/>
        <v>0.1672222246024854</v>
      </c>
      <c r="D252">
        <f ca="1"/>
        <v>1</v>
      </c>
      <c r="E252">
        <f ca="1"/>
        <v>102.90174808710562</v>
      </c>
      <c r="F252">
        <f ca="1"/>
        <v>-0.35117640776618997</v>
      </c>
      <c r="G252">
        <f ca="1"/>
        <v>3.4127351021182029E-3</v>
      </c>
      <c r="H252">
        <f ca="1"/>
        <v>5.2162463588851606</v>
      </c>
      <c r="I252">
        <f ca="1"/>
        <v>-5.3919631233136533E-2</v>
      </c>
      <c r="J252">
        <f ca="1"/>
        <v>-0.33217795121668647</v>
      </c>
      <c r="K252">
        <f ca="1"/>
        <v>0</v>
      </c>
      <c r="L252">
        <f ca="1"/>
        <v>0</v>
      </c>
    </row>
    <row r="253" spans="2:12" x14ac:dyDescent="0.35">
      <c r="B253">
        <v>0.24299999999999999</v>
      </c>
      <c r="C253">
        <f ca="1"/>
        <v>0.1523210079971527</v>
      </c>
      <c r="D253">
        <f ca="1"/>
        <v>1</v>
      </c>
      <c r="E253">
        <f ca="1"/>
        <v>102.59348047484178</v>
      </c>
      <c r="F253">
        <f ca="1"/>
        <v>0.82508889345224334</v>
      </c>
      <c r="G253">
        <f ca="1"/>
        <v>-8.0423131141805215E-3</v>
      </c>
      <c r="H253">
        <f ca="1"/>
        <v>6.0413352523374044</v>
      </c>
      <c r="I253">
        <f ca="1"/>
        <v>-6.1961944347317055E-2</v>
      </c>
      <c r="J253">
        <f ca="1"/>
        <v>-0.3155562752423009</v>
      </c>
      <c r="K253">
        <f ca="1"/>
        <v>0</v>
      </c>
      <c r="L253">
        <f ca="1"/>
        <v>0</v>
      </c>
    </row>
    <row r="254" spans="2:12" x14ac:dyDescent="0.35">
      <c r="B254">
        <v>0.24399999999999999</v>
      </c>
      <c r="C254">
        <f ca="1"/>
        <v>0.13995703899312167</v>
      </c>
      <c r="D254">
        <f ca="1"/>
        <v>1</v>
      </c>
      <c r="E254">
        <f ca="1"/>
        <v>102.33805457702675</v>
      </c>
      <c r="F254">
        <f ca="1"/>
        <v>0.50141057306532921</v>
      </c>
      <c r="G254">
        <f ca="1"/>
        <v>-4.8995515415815594E-3</v>
      </c>
      <c r="H254">
        <f ca="1"/>
        <v>6.5427458254027338</v>
      </c>
      <c r="I254">
        <f ca="1"/>
        <v>-6.6861495888898614E-2</v>
      </c>
      <c r="J254">
        <f ca="1"/>
        <v>-0.29972958997702293</v>
      </c>
      <c r="K254">
        <f ca="1"/>
        <v>0</v>
      </c>
      <c r="L254">
        <f ca="1"/>
        <v>0</v>
      </c>
    </row>
    <row r="255" spans="2:12" x14ac:dyDescent="0.35">
      <c r="B255">
        <v>0.245</v>
      </c>
      <c r="C255">
        <f ca="1"/>
        <v>0.13447820955858061</v>
      </c>
      <c r="D255">
        <f ca="1"/>
        <v>1</v>
      </c>
      <c r="E255">
        <f ca="1"/>
        <v>102.22393294514856</v>
      </c>
      <c r="F255">
        <f ca="1"/>
        <v>-0.79370199242485351</v>
      </c>
      <c r="G255">
        <f ca="1"/>
        <v>7.7643460739349468E-3</v>
      </c>
      <c r="H255">
        <f ca="1"/>
        <v>5.7490438329778799</v>
      </c>
      <c r="I255">
        <f ca="1"/>
        <v>-5.9097149814963668E-2</v>
      </c>
      <c r="J255">
        <f ca="1"/>
        <v>-0.29209924695636502</v>
      </c>
      <c r="K255">
        <f ca="1"/>
        <v>0</v>
      </c>
      <c r="L255">
        <f ca="1"/>
        <v>0</v>
      </c>
    </row>
    <row r="256" spans="2:12" x14ac:dyDescent="0.35">
      <c r="B256">
        <v>0.246</v>
      </c>
      <c r="C256">
        <f ca="1"/>
        <v>0.15930233302884017</v>
      </c>
      <c r="D256">
        <f ca="1"/>
        <v>1</v>
      </c>
      <c r="E256">
        <f ca="1"/>
        <v>102.73066418916414</v>
      </c>
      <c r="F256">
        <f ca="1"/>
        <v>-4.3931512216066215</v>
      </c>
      <c r="G256">
        <f ca="1"/>
        <v>4.2763777069690201E-2</v>
      </c>
      <c r="H256">
        <f ca="1"/>
        <v>1.3558926113712584</v>
      </c>
      <c r="I256">
        <f ca="1"/>
        <v>-1.6333372745273467E-2</v>
      </c>
      <c r="J256">
        <f ca="1"/>
        <v>-0.32204561919987618</v>
      </c>
      <c r="K256">
        <f ca="1"/>
        <v>0</v>
      </c>
      <c r="L256">
        <f ca="1"/>
        <v>0</v>
      </c>
    </row>
    <row r="257" spans="2:12" x14ac:dyDescent="0.35">
      <c r="B257">
        <v>0.247</v>
      </c>
      <c r="C257">
        <f ca="1"/>
        <v>0.17460053588047936</v>
      </c>
      <c r="D257">
        <f ca="1"/>
        <v>1</v>
      </c>
      <c r="E257">
        <f ca="1"/>
        <v>103.04340355068184</v>
      </c>
      <c r="F257">
        <f ca="1"/>
        <v>-1.3686845384378028</v>
      </c>
      <c r="G257">
        <f ca="1"/>
        <v>1.3282602197477067E-2</v>
      </c>
      <c r="H257">
        <f ca="1"/>
        <v>-1.2791927066544417E-2</v>
      </c>
      <c r="I257">
        <f ca="1"/>
        <v>-3.0507705477963998E-3</v>
      </c>
      <c r="J257">
        <f ca="1"/>
        <v>-0.32715370776366354</v>
      </c>
      <c r="K257">
        <f ca="1"/>
        <v>0</v>
      </c>
      <c r="L257">
        <f ca="1"/>
        <v>0</v>
      </c>
    </row>
    <row r="258" spans="2:12" x14ac:dyDescent="0.35">
      <c r="B258">
        <v>0.248</v>
      </c>
      <c r="C258">
        <f ca="1"/>
        <v>0.19628799501937944</v>
      </c>
      <c r="D258">
        <f ca="1"/>
        <v>1</v>
      </c>
      <c r="E258">
        <f ca="1"/>
        <v>103.48925438951299</v>
      </c>
      <c r="F258">
        <f ca="1"/>
        <v>-0.30933119172441964</v>
      </c>
      <c r="G258">
        <f ca="1"/>
        <v>2.9890174931607727E-3</v>
      </c>
      <c r="H258">
        <f ca="1"/>
        <v>-0.32212311879096406</v>
      </c>
      <c r="I258">
        <f ca="1"/>
        <v>-6.175305463562708E-5</v>
      </c>
      <c r="J258">
        <f ca="1"/>
        <v>-0.32851389637147999</v>
      </c>
      <c r="K258">
        <f ca="1"/>
        <v>0</v>
      </c>
      <c r="L258">
        <f ca="1"/>
        <v>0</v>
      </c>
    </row>
    <row r="259" spans="2:12" x14ac:dyDescent="0.35">
      <c r="B259">
        <v>0.249</v>
      </c>
      <c r="C259">
        <f ca="1"/>
        <v>0.23890372241087923</v>
      </c>
      <c r="D259">
        <f ca="1"/>
        <v>1</v>
      </c>
      <c r="E259">
        <f ca="1"/>
        <v>104.37299051870301</v>
      </c>
      <c r="F259">
        <f ca="1"/>
        <v>-6.445350316486788E-3</v>
      </c>
      <c r="G259">
        <f ca="1"/>
        <v>6.1753048221147022E-5</v>
      </c>
      <c r="H259">
        <f ca="1"/>
        <v>-0.32856846910745086</v>
      </c>
      <c r="I259">
        <f ca="1"/>
        <v>-6.4144800582255357E-12</v>
      </c>
      <c r="J259">
        <f ca="1"/>
        <v>-0.32856846977694931</v>
      </c>
      <c r="K259">
        <f ca="1"/>
        <v>0</v>
      </c>
      <c r="L259">
        <f ca="1"/>
        <v>0</v>
      </c>
    </row>
    <row r="260" spans="2:12" x14ac:dyDescent="0.35">
      <c r="B260">
        <v>0.25</v>
      </c>
      <c r="C260">
        <f ca="1"/>
        <v>0.2624017015665322</v>
      </c>
      <c r="D260">
        <f ca="1"/>
        <v>1</v>
      </c>
      <c r="E260">
        <f ca="1"/>
        <v>104.86255852681701</v>
      </c>
      <c r="F260">
        <f ca="1"/>
        <v>0.32856846910745086</v>
      </c>
      <c r="G260">
        <f ca="1"/>
        <v>6.4144800582255357E-12</v>
      </c>
      <c r="H260">
        <f ca="1"/>
        <v>0</v>
      </c>
      <c r="I260">
        <f ca="1"/>
        <v>0</v>
      </c>
      <c r="J260">
        <f ca="1"/>
        <v>0</v>
      </c>
      <c r="K260">
        <f ca="1"/>
        <v>-0.32856846978008963</v>
      </c>
      <c r="L260">
        <f ca="1"/>
        <v>0</v>
      </c>
    </row>
  </sheetData>
  <mergeCells count="3">
    <mergeCell ref="D8:E8"/>
    <mergeCell ref="F8:G8"/>
    <mergeCell ref="H8:I8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935D3-6CA9-4307-9B3B-46963CA57440}">
  <dimension ref="B1:U260"/>
  <sheetViews>
    <sheetView tabSelected="1" topLeftCell="B1" zoomScale="80" workbookViewId="0">
      <selection activeCell="Q14" sqref="Q14"/>
    </sheetView>
  </sheetViews>
  <sheetFormatPr defaultRowHeight="18" x14ac:dyDescent="0.35"/>
  <cols>
    <col min="1" max="1" width="3.58203125" customWidth="1"/>
    <col min="2" max="2" width="9.9140625" bestFit="1" customWidth="1"/>
    <col min="7" max="7" width="11.6640625" bestFit="1" customWidth="1"/>
    <col min="10" max="10" width="10.1640625" bestFit="1" customWidth="1"/>
    <col min="13" max="13" width="11.6640625" bestFit="1" customWidth="1"/>
  </cols>
  <sheetData>
    <row r="1" spans="2:21" x14ac:dyDescent="0.35">
      <c r="B1" s="16" cm="1">
        <f t="array" aca="1" ref="B1" ca="1">_xll.MONTE.COUNT()</f>
        <v>4</v>
      </c>
      <c r="R1" t="s">
        <v>42</v>
      </c>
    </row>
    <row r="2" spans="2:21" x14ac:dyDescent="0.35">
      <c r="B2" s="3" t="s">
        <v>15</v>
      </c>
      <c r="C2">
        <v>0</v>
      </c>
      <c r="F2" s="3" t="s">
        <v>20</v>
      </c>
      <c r="G2" s="7" cm="1">
        <f t="array" ref="G2">_xll.OPTION.BLACK.PUT(f, sigma*SQRT(t), k)</f>
        <v>3.987761167674492</v>
      </c>
      <c r="I2" s="8" cm="1">
        <f t="array" ref="I2">_xll.OPTION.BLACK.PUT_DELTA(f, sigma*SQRT(t), k)</f>
        <v>-0.48006119416162751</v>
      </c>
      <c r="J2" s="8" cm="1">
        <f t="array" ref="J2">_xll.OPTION.BLACK.PUT(f+0.01, sigma*SQRT(t), k)</f>
        <v>3.9829625478526722</v>
      </c>
      <c r="K2" s="8" cm="1">
        <f t="array" ref="K2">_xll.OPTION.BLACK.PUT(f-0.01, sigma*SQRT(t), k)</f>
        <v>3.9925637719351386</v>
      </c>
      <c r="L2" s="8">
        <f>(J2-K2)/0.02</f>
        <v>-0.48006120412331654</v>
      </c>
      <c r="M2" s="9">
        <f>I2-L2</f>
        <v>9.9616890292253402E-9</v>
      </c>
      <c r="R2" t="s">
        <v>32</v>
      </c>
      <c r="S2" t="s">
        <v>30</v>
      </c>
      <c r="T2" t="s">
        <v>39</v>
      </c>
      <c r="U2" t="s">
        <v>40</v>
      </c>
    </row>
    <row r="3" spans="2:21" x14ac:dyDescent="0.35">
      <c r="B3" s="3" t="s">
        <v>16</v>
      </c>
      <c r="C3">
        <v>100</v>
      </c>
      <c r="F3" s="3" t="s">
        <v>28</v>
      </c>
      <c r="G3" s="7" cm="1">
        <f t="array" aca="1" ref="G3" ca="1">_xlfn.TAKE(S_,-1)</f>
        <v>91.355235792472968</v>
      </c>
      <c r="N3" s="6">
        <v>1</v>
      </c>
      <c r="O3" s="6" cm="1">
        <f t="array" ref="O3:O5">ad(N3:N5)</f>
        <v>1</v>
      </c>
      <c r="P3" s="6" cm="1">
        <f t="array" ref="P3:P5">_xlfn.SCAN(0,_xlfn.ANCHORARRAY(O3),_xlfn.LAMBDA(_xlpm.a,_xlpm.b,_xlpm.a+_xlpm.b))</f>
        <v>1</v>
      </c>
      <c r="R3" s="20" cm="1">
        <f t="array" ref="R3:R12">_xll.ARRAY.SEQUENCE(0.001, 0.01, 0.001)</f>
        <v>1E-3</v>
      </c>
      <c r="S3" s="20">
        <f ca="1">J6</f>
        <v>3.9252881883282882</v>
      </c>
      <c r="T3">
        <f>LOG(R3)</f>
        <v>-3</v>
      </c>
      <c r="U3">
        <f ca="1">LOG(S3)</f>
        <v>0.59387154745226256</v>
      </c>
    </row>
    <row r="4" spans="2:21" x14ac:dyDescent="0.35">
      <c r="B4" s="3" t="s">
        <v>14</v>
      </c>
      <c r="C4">
        <v>0.2</v>
      </c>
      <c r="F4" s="3" t="s">
        <v>24</v>
      </c>
      <c r="G4" s="10">
        <f ca="1">MAX(k - last,0)</f>
        <v>8.6447642075270323</v>
      </c>
      <c r="H4" s="10">
        <f t="array" aca="1" ref="H4:I4" ca="1">_xll.MONTE.STDEV(G4)</f>
        <v>10.487421644204254</v>
      </c>
      <c r="I4" s="10">
        <f ca="1"/>
        <v>7.0802417357949574</v>
      </c>
      <c r="M4">
        <v>1E-3</v>
      </c>
      <c r="N4" s="6">
        <v>2</v>
      </c>
      <c r="O4" s="6">
        <v>1</v>
      </c>
      <c r="P4" s="6">
        <v>2</v>
      </c>
      <c r="R4" s="20">
        <v>2E-3</v>
      </c>
      <c r="S4" s="20">
        <f t="dataTable" ref="S4:S12" dt2D="0" dtr="0" r1="C6" ca="1"/>
        <v>3.9252881883282882</v>
      </c>
      <c r="T4">
        <f t="shared" ref="T4:T12" si="0">LOG(R4)</f>
        <v>-2.6989700043360187</v>
      </c>
      <c r="U4">
        <f t="shared" ref="U4:U12" si="1">LOG(S4)</f>
        <v>0.59387154745226256</v>
      </c>
    </row>
    <row r="5" spans="2:21" x14ac:dyDescent="0.35">
      <c r="B5" s="3" t="s">
        <v>1</v>
      </c>
      <c r="C5">
        <v>0.25</v>
      </c>
      <c r="F5" s="3" t="s">
        <v>25</v>
      </c>
      <c r="G5" s="10" cm="1">
        <f t="array" aca="1" ref="G5" ca="1">_xlfn.TAKE(A,-1)</f>
        <v>4.0215923709822192</v>
      </c>
      <c r="H5" s="10"/>
      <c r="I5" s="10"/>
      <c r="M5">
        <v>0.01</v>
      </c>
      <c r="N5" s="6">
        <v>3</v>
      </c>
      <c r="O5" s="6">
        <v>1</v>
      </c>
      <c r="P5" s="6">
        <v>3</v>
      </c>
      <c r="R5" s="20">
        <v>3.0000000000000001E-3</v>
      </c>
      <c r="S5" s="20">
        <v>3.9252881883282882</v>
      </c>
      <c r="T5">
        <f t="shared" si="0"/>
        <v>-2.5228787452803374</v>
      </c>
      <c r="U5">
        <f t="shared" si="1"/>
        <v>0.59387154745226256</v>
      </c>
    </row>
    <row r="6" spans="2:21" x14ac:dyDescent="0.35">
      <c r="B6" s="3" t="s">
        <v>21</v>
      </c>
      <c r="C6">
        <v>1E-3</v>
      </c>
      <c r="F6" s="3" t="s">
        <v>29</v>
      </c>
      <c r="G6" s="10">
        <f ca="1">payoff-hedge</f>
        <v>4.6231718365448131</v>
      </c>
      <c r="H6" s="7">
        <f t="array" aca="1" ref="H6:I6" ca="1">_xll.MONTE.STDEV(error)</f>
        <v>13.492567227617991</v>
      </c>
      <c r="I6" s="12">
        <f ca="1"/>
        <v>15.653111809346905</v>
      </c>
      <c r="J6" s="15">
        <f ca="1">I6/put</f>
        <v>3.9252881883282882</v>
      </c>
      <c r="K6" s="14" t="s">
        <v>30</v>
      </c>
      <c r="M6">
        <v>0.1</v>
      </c>
      <c r="R6" s="20">
        <v>4.0000000000000001E-3</v>
      </c>
      <c r="S6" s="20">
        <v>3.9252881883282882</v>
      </c>
      <c r="T6">
        <f t="shared" si="0"/>
        <v>-2.3979400086720375</v>
      </c>
      <c r="U6">
        <f t="shared" si="1"/>
        <v>0.59387154745226256</v>
      </c>
    </row>
    <row r="7" spans="2:21" x14ac:dyDescent="0.35">
      <c r="B7" s="3" t="s">
        <v>17</v>
      </c>
      <c r="C7">
        <v>100</v>
      </c>
      <c r="R7" s="20">
        <v>5.0000000000000001E-3</v>
      </c>
      <c r="S7" s="20">
        <v>3.9252881883282882</v>
      </c>
      <c r="T7">
        <f t="shared" si="0"/>
        <v>-2.3010299956639813</v>
      </c>
      <c r="U7">
        <f t="shared" si="1"/>
        <v>0.59387154745226256</v>
      </c>
    </row>
    <row r="8" spans="2:21" x14ac:dyDescent="0.35">
      <c r="D8" s="23" t="s">
        <v>0</v>
      </c>
      <c r="E8" s="23"/>
      <c r="F8" s="24" t="s">
        <v>10</v>
      </c>
      <c r="G8" s="24"/>
      <c r="H8" s="24" t="s">
        <v>13</v>
      </c>
      <c r="I8" s="24"/>
      <c r="J8" s="1" t="s">
        <v>11</v>
      </c>
      <c r="K8" s="2" t="s">
        <v>12</v>
      </c>
      <c r="R8" s="20">
        <v>6.0000000000000001E-3</v>
      </c>
      <c r="S8" s="20">
        <v>3.9252881883282882</v>
      </c>
      <c r="T8">
        <f t="shared" si="0"/>
        <v>-2.2218487496163561</v>
      </c>
      <c r="U8">
        <f t="shared" si="1"/>
        <v>0.59387154745226256</v>
      </c>
    </row>
    <row r="9" spans="2:21" x14ac:dyDescent="0.35">
      <c r="B9" s="4" t="s">
        <v>22</v>
      </c>
      <c r="C9" s="4" t="s">
        <v>23</v>
      </c>
      <c r="D9" s="4" t="s">
        <v>18</v>
      </c>
      <c r="E9" s="4" t="s">
        <v>19</v>
      </c>
      <c r="F9" s="4" t="s">
        <v>4</v>
      </c>
      <c r="G9" s="4" t="s">
        <v>5</v>
      </c>
      <c r="H9" s="4" t="s">
        <v>26</v>
      </c>
      <c r="I9" s="4" t="s">
        <v>27</v>
      </c>
      <c r="J9" s="4" t="s">
        <v>8</v>
      </c>
      <c r="K9" s="4" t="s">
        <v>9</v>
      </c>
      <c r="L9" s="13" t="s">
        <v>31</v>
      </c>
      <c r="R9" s="20">
        <v>7.0000000000000001E-3</v>
      </c>
      <c r="S9" s="20">
        <v>3.9252881883282882</v>
      </c>
      <c r="T9">
        <f t="shared" si="0"/>
        <v>-2.1549019599857431</v>
      </c>
      <c r="U9">
        <f t="shared" si="1"/>
        <v>0.59387154745226256</v>
      </c>
    </row>
    <row r="10" spans="2:21" x14ac:dyDescent="0.35">
      <c r="B10" cm="1">
        <f t="array" ref="B10:B260">_xll.ARRAY.SEQUENCE(0, t, dt)</f>
        <v>0</v>
      </c>
      <c r="C10" cm="1">
        <f t="array" aca="1" ref="C10:C260" ca="1">_xll.RANDOM.BROWNIAN(t_)</f>
        <v>0</v>
      </c>
      <c r="D10" cm="1">
        <f t="array" aca="1" ref="D10:D260" ca="1">1+0*B_</f>
        <v>1</v>
      </c>
      <c r="E10" cm="1">
        <f t="array" aca="1" ref="E10:E260" ca="1">f*EXP(sigma*B_+(mu-sigma*sigma/2)*t_)</f>
        <v>100</v>
      </c>
      <c r="F10" s="10" cm="1">
        <f t="array" aca="1" ref="F10:F260" ca="1">co(put*(t_ = 0) - N*S_/R_)</f>
        <v>3.987761167674492</v>
      </c>
      <c r="G10" s="7" cm="1">
        <f t="array" aca="1" ref="G10:G260" ca="1">co(ad(_N))</f>
        <v>0</v>
      </c>
      <c r="H10" s="10" cm="1">
        <f t="array" aca="1" ref="H10:H260" ca="1">_xlfn.SCAN(0,M,_xlfn.LAMBDA(_xlpm.a,_xlpm.b,_xlpm.a+_xlpm.b))</f>
        <v>3.987761167674492</v>
      </c>
      <c r="I10" s="7" cm="1">
        <f t="array" aca="1" ref="I10:I260" ca="1">1*(S_&lt;k)</f>
        <v>0</v>
      </c>
      <c r="J10" s="7" cm="1">
        <f t="array" aca="1" ref="J10:J260" ca="1">_M * R_ + _N * S_</f>
        <v>3.987761167674492</v>
      </c>
      <c r="K10" cm="1">
        <f t="array" aca="1" ref="K10:K260" ca="1">-M * R_ - N * S_</f>
        <v>-3.987761167674492</v>
      </c>
      <c r="L10" cm="1">
        <f t="array" aca="1" ref="L10:L260" ca="1">_xlfn.MAP(S_,_xlfn.LAMBDA(_xlpm.s,MAX(k-_xlpm.s,0)))</f>
        <v>0</v>
      </c>
      <c r="M10" s="19">
        <f ca="1">put - G10*E10</f>
        <v>3.987761167674492</v>
      </c>
      <c r="N10" s="19">
        <f ca="1">F10-M10</f>
        <v>0</v>
      </c>
      <c r="R10" s="20">
        <v>8.0000000000000002E-3</v>
      </c>
      <c r="S10" s="20">
        <v>3.9252881883282882</v>
      </c>
      <c r="T10">
        <f t="shared" si="0"/>
        <v>-2.0969100130080562</v>
      </c>
      <c r="U10">
        <f t="shared" si="1"/>
        <v>0.59387154745226256</v>
      </c>
    </row>
    <row r="11" spans="2:21" x14ac:dyDescent="0.35">
      <c r="B11">
        <v>1E-3</v>
      </c>
      <c r="C11">
        <f ca="1"/>
        <v>3.0487137292781819E-3</v>
      </c>
      <c r="D11">
        <f ca="1"/>
        <v>1</v>
      </c>
      <c r="E11" s="11">
        <f ca="1"/>
        <v>100.0589916678299</v>
      </c>
      <c r="F11" s="10">
        <f ca="1"/>
        <v>0</v>
      </c>
      <c r="G11" s="7">
        <f ca="1"/>
        <v>0</v>
      </c>
      <c r="H11" s="10">
        <f ca="1"/>
        <v>3.987761167674492</v>
      </c>
      <c r="I11" s="7">
        <f ca="1"/>
        <v>0</v>
      </c>
      <c r="J11" s="7">
        <f ca="1"/>
        <v>3.987761167674492</v>
      </c>
      <c r="K11">
        <f ca="1"/>
        <v>0</v>
      </c>
      <c r="L11">
        <f ca="1"/>
        <v>0</v>
      </c>
      <c r="M11" s="19">
        <f ca="1" xml:space="preserve"> - G11*E11</f>
        <v>0</v>
      </c>
      <c r="N11" s="19">
        <f ca="1">F11-M11</f>
        <v>0</v>
      </c>
      <c r="R11" s="20">
        <v>9.0000000000000011E-3</v>
      </c>
      <c r="S11" s="20">
        <v>3.9252881883282882</v>
      </c>
      <c r="T11">
        <f t="shared" si="0"/>
        <v>-2.0457574905606752</v>
      </c>
      <c r="U11">
        <f t="shared" si="1"/>
        <v>0.59387154745226256</v>
      </c>
    </row>
    <row r="12" spans="2:21" x14ac:dyDescent="0.35">
      <c r="B12">
        <v>2E-3</v>
      </c>
      <c r="C12">
        <f ca="1"/>
        <v>1.8605462749211557E-2</v>
      </c>
      <c r="D12">
        <f ca="1"/>
        <v>1</v>
      </c>
      <c r="E12" s="11">
        <f ca="1"/>
        <v>100.36878760920843</v>
      </c>
      <c r="F12" s="10">
        <f ca="1"/>
        <v>0</v>
      </c>
      <c r="G12" s="7">
        <f ca="1"/>
        <v>0</v>
      </c>
      <c r="H12" s="10">
        <f ca="1"/>
        <v>3.987761167674492</v>
      </c>
      <c r="I12" s="7">
        <f ca="1"/>
        <v>0</v>
      </c>
      <c r="J12" s="7">
        <f ca="1"/>
        <v>3.987761167674492</v>
      </c>
      <c r="K12">
        <f ca="1"/>
        <v>0</v>
      </c>
      <c r="L12">
        <f ca="1"/>
        <v>0</v>
      </c>
      <c r="R12" s="20">
        <v>1.0000000000000002E-2</v>
      </c>
      <c r="S12" s="20">
        <v>3.9252881883282882</v>
      </c>
      <c r="T12">
        <f t="shared" si="0"/>
        <v>-2</v>
      </c>
      <c r="U12">
        <f t="shared" si="1"/>
        <v>0.59387154745226256</v>
      </c>
    </row>
    <row r="13" spans="2:21" x14ac:dyDescent="0.35">
      <c r="B13">
        <v>3.0000000000000001E-3</v>
      </c>
      <c r="C13">
        <f ca="1"/>
        <v>-2.9039351139027794E-3</v>
      </c>
      <c r="D13">
        <f ca="1"/>
        <v>1</v>
      </c>
      <c r="E13" s="11">
        <f ca="1"/>
        <v>99.935941823737878</v>
      </c>
      <c r="F13" s="10">
        <f ca="1"/>
        <v>-99.935941823737878</v>
      </c>
      <c r="G13" s="7">
        <f ca="1"/>
        <v>1</v>
      </c>
      <c r="H13" s="10">
        <f ca="1"/>
        <v>-95.948180656063386</v>
      </c>
      <c r="I13" s="7">
        <f ca="1"/>
        <v>1</v>
      </c>
      <c r="J13" s="7">
        <f ca="1"/>
        <v>3.987761167674492</v>
      </c>
      <c r="K13">
        <f ca="1"/>
        <v>0</v>
      </c>
      <c r="L13">
        <f ca="1"/>
        <v>6.4058176262122402E-2</v>
      </c>
    </row>
    <row r="14" spans="2:21" x14ac:dyDescent="0.35">
      <c r="B14">
        <v>4.0000000000000001E-3</v>
      </c>
      <c r="C14">
        <f ca="1"/>
        <v>2.6662206996022297E-2</v>
      </c>
      <c r="D14">
        <f ca="1"/>
        <v>1</v>
      </c>
      <c r="E14" s="11">
        <f ca="1"/>
        <v>100.52662596521253</v>
      </c>
      <c r="F14" s="10">
        <f ca="1"/>
        <v>100.52662596521253</v>
      </c>
      <c r="G14" s="7">
        <f ca="1"/>
        <v>-1</v>
      </c>
      <c r="H14" s="10">
        <f ca="1"/>
        <v>4.5784453091491457</v>
      </c>
      <c r="I14" s="7">
        <f ca="1"/>
        <v>0</v>
      </c>
      <c r="J14" s="7">
        <f ca="1"/>
        <v>4.5784453091491457</v>
      </c>
      <c r="K14">
        <f ca="1"/>
        <v>0</v>
      </c>
      <c r="L14">
        <f ca="1"/>
        <v>0</v>
      </c>
      <c r="M14" s="19">
        <f ca="1">f*EXP(sigma*C14-sigma^2*B14/2)</f>
        <v>100.52662596521253</v>
      </c>
      <c r="N14" s="19">
        <f ca="1">E14-M14</f>
        <v>0</v>
      </c>
    </row>
    <row r="15" spans="2:21" x14ac:dyDescent="0.35">
      <c r="B15">
        <v>5.0000000000000001E-3</v>
      </c>
      <c r="C15">
        <f ca="1"/>
        <v>2.2034703805472594E-2</v>
      </c>
      <c r="D15">
        <f ca="1"/>
        <v>1</v>
      </c>
      <c r="E15" s="11">
        <f ca="1"/>
        <v>100.43162289602414</v>
      </c>
      <c r="F15" s="10">
        <f ca="1"/>
        <v>0</v>
      </c>
      <c r="G15" s="7">
        <f ca="1"/>
        <v>0</v>
      </c>
      <c r="H15" s="10">
        <f ca="1"/>
        <v>4.5784453091491457</v>
      </c>
      <c r="I15" s="7">
        <f ca="1"/>
        <v>0</v>
      </c>
      <c r="J15" s="7">
        <f ca="1"/>
        <v>4.5784453091491457</v>
      </c>
      <c r="K15">
        <f ca="1"/>
        <v>0</v>
      </c>
      <c r="L15">
        <f ca="1"/>
        <v>0</v>
      </c>
    </row>
    <row r="16" spans="2:21" x14ac:dyDescent="0.35">
      <c r="B16">
        <v>6.0000000000000001E-3</v>
      </c>
      <c r="C16">
        <f ca="1"/>
        <v>8.9722279623885813E-3</v>
      </c>
      <c r="D16">
        <f ca="1"/>
        <v>1</v>
      </c>
      <c r="E16" s="11">
        <f ca="1"/>
        <v>100.1675848259286</v>
      </c>
      <c r="F16" s="10">
        <f ca="1"/>
        <v>0</v>
      </c>
      <c r="G16" s="7">
        <f ca="1"/>
        <v>0</v>
      </c>
      <c r="H16" s="10">
        <f ca="1"/>
        <v>4.5784453091491457</v>
      </c>
      <c r="I16" s="7">
        <f ca="1"/>
        <v>0</v>
      </c>
      <c r="J16" s="7">
        <f ca="1"/>
        <v>4.5784453091491457</v>
      </c>
      <c r="K16">
        <f ca="1"/>
        <v>0</v>
      </c>
      <c r="L16">
        <f ca="1"/>
        <v>0</v>
      </c>
      <c r="M16" s="19" cm="1">
        <f t="array" aca="1" ref="M16" ca="1">_xll.OPTION.BLACK.PUT_DELTA(E16,sigma*SQRT(t - B16),k)</f>
        <v>-0.47355140500345272</v>
      </c>
      <c r="N16" s="19">
        <f ca="1">I16-M16</f>
        <v>0.47355140500345272</v>
      </c>
    </row>
    <row r="17" spans="2:18" x14ac:dyDescent="0.35">
      <c r="B17">
        <v>7.0000000000000001E-3</v>
      </c>
      <c r="C17">
        <f ca="1"/>
        <v>-3.4751178162246002E-2</v>
      </c>
      <c r="D17">
        <f ca="1"/>
        <v>1</v>
      </c>
      <c r="E17" s="11">
        <f ca="1"/>
        <v>99.293484078730344</v>
      </c>
      <c r="F17" s="10">
        <f ca="1"/>
        <v>-99.293484078730344</v>
      </c>
      <c r="G17" s="7">
        <f ca="1"/>
        <v>1</v>
      </c>
      <c r="H17" s="10">
        <f ca="1"/>
        <v>-94.715038769581199</v>
      </c>
      <c r="I17" s="7">
        <f ca="1"/>
        <v>1</v>
      </c>
      <c r="J17" s="7">
        <f ca="1"/>
        <v>4.5784453091491457</v>
      </c>
      <c r="K17">
        <f ca="1"/>
        <v>0</v>
      </c>
      <c r="L17">
        <f ca="1"/>
        <v>0.70651592126965568</v>
      </c>
    </row>
    <row r="18" spans="2:18" x14ac:dyDescent="0.35">
      <c r="B18">
        <v>8.0000000000000002E-3</v>
      </c>
      <c r="C18">
        <f ca="1"/>
        <v>-6.3648897399838006E-2</v>
      </c>
      <c r="D18">
        <f ca="1"/>
        <v>1</v>
      </c>
      <c r="E18" s="11">
        <f ca="1"/>
        <v>98.719293794301251</v>
      </c>
      <c r="F18" s="10">
        <f ca="1"/>
        <v>0</v>
      </c>
      <c r="G18" s="7">
        <f ca="1"/>
        <v>0</v>
      </c>
      <c r="H18" s="10">
        <f ca="1"/>
        <v>-94.715038769581199</v>
      </c>
      <c r="I18" s="7">
        <f ca="1"/>
        <v>1</v>
      </c>
      <c r="J18" s="7">
        <f ca="1"/>
        <v>4.0042550247200523</v>
      </c>
      <c r="K18">
        <f ca="1"/>
        <v>0</v>
      </c>
      <c r="L18">
        <f ca="1"/>
        <v>1.280706205698749</v>
      </c>
    </row>
    <row r="19" spans="2:18" x14ac:dyDescent="0.35">
      <c r="B19">
        <v>9.0000000000000011E-3</v>
      </c>
      <c r="C19">
        <f ca="1"/>
        <v>-7.1004225035942906E-2</v>
      </c>
      <c r="D19">
        <f ca="1"/>
        <v>1</v>
      </c>
      <c r="E19" s="11">
        <f ca="1"/>
        <v>98.572206544068422</v>
      </c>
      <c r="F19" s="10">
        <f ca="1"/>
        <v>0</v>
      </c>
      <c r="G19" s="7">
        <f ca="1"/>
        <v>0</v>
      </c>
      <c r="H19" s="10">
        <f ca="1"/>
        <v>-94.715038769581199</v>
      </c>
      <c r="I19" s="7">
        <f ca="1"/>
        <v>1</v>
      </c>
      <c r="J19" s="7">
        <f ca="1"/>
        <v>3.8571677744872233</v>
      </c>
      <c r="K19">
        <f ca="1"/>
        <v>0</v>
      </c>
      <c r="L19">
        <f ca="1"/>
        <v>1.4277934559315781</v>
      </c>
    </row>
    <row r="20" spans="2:18" x14ac:dyDescent="0.35">
      <c r="B20">
        <v>0.01</v>
      </c>
      <c r="C20">
        <f ca="1"/>
        <v>-5.9140231386660393E-2</v>
      </c>
      <c r="D20">
        <f ca="1"/>
        <v>1</v>
      </c>
      <c r="E20" s="11">
        <f ca="1"/>
        <v>98.804400151724948</v>
      </c>
      <c r="F20" s="10">
        <f ca="1"/>
        <v>0</v>
      </c>
      <c r="G20" s="7">
        <f ca="1"/>
        <v>0</v>
      </c>
      <c r="H20" s="10">
        <f ca="1"/>
        <v>-94.715038769581199</v>
      </c>
      <c r="I20" s="7">
        <f ca="1"/>
        <v>1</v>
      </c>
      <c r="J20" s="7">
        <f ca="1"/>
        <v>4.0893613821437498</v>
      </c>
      <c r="K20">
        <f ca="1"/>
        <v>0</v>
      </c>
      <c r="L20">
        <f ca="1"/>
        <v>1.1955998482750516</v>
      </c>
      <c r="M20" s="6">
        <f t="array" aca="1" ref="M20:M21" ca="1">_xll.MONTE.STDEV(C20)</f>
        <v>-2.1763097326806112E-2</v>
      </c>
      <c r="N20" s="6">
        <v>0</v>
      </c>
      <c r="O20" s="6">
        <f t="array" aca="1" ref="O20:O21" ca="1">_xll.MONTE.STDEV(E20)</f>
        <v>99.526154752911694</v>
      </c>
      <c r="P20" s="6">
        <f>f*EXP(mu*B20)</f>
        <v>100</v>
      </c>
    </row>
    <row r="21" spans="2:18" x14ac:dyDescent="0.35">
      <c r="B21">
        <v>1.0999999999999999E-2</v>
      </c>
      <c r="C21">
        <f ca="1"/>
        <v>-8.7503226830124514E-2</v>
      </c>
      <c r="D21">
        <f ca="1"/>
        <v>1</v>
      </c>
      <c r="E21" s="11">
        <f ca="1"/>
        <v>98.243544192100671</v>
      </c>
      <c r="F21" s="10">
        <f ca="1"/>
        <v>0</v>
      </c>
      <c r="G21" s="7">
        <f ca="1"/>
        <v>0</v>
      </c>
      <c r="H21" s="10">
        <f ca="1"/>
        <v>-94.715038769581199</v>
      </c>
      <c r="I21" s="7">
        <f ca="1"/>
        <v>1</v>
      </c>
      <c r="J21" s="7">
        <f ca="1"/>
        <v>3.5285054225194727</v>
      </c>
      <c r="K21">
        <f ca="1"/>
        <v>0</v>
      </c>
      <c r="L21">
        <f ca="1"/>
        <v>1.7564558078993286</v>
      </c>
      <c r="M21" s="6">
        <f ca="1"/>
        <v>0.16703766109384199</v>
      </c>
      <c r="N21" s="6">
        <f>SQRT(B20)</f>
        <v>0.1</v>
      </c>
      <c r="O21" s="6">
        <f ca="1"/>
        <v>3.2742223091219214</v>
      </c>
      <c r="P21" s="6"/>
    </row>
    <row r="22" spans="2:18" x14ac:dyDescent="0.35">
      <c r="B22">
        <v>1.2E-2</v>
      </c>
      <c r="C22">
        <f ca="1"/>
        <v>-1.778313993170795E-2</v>
      </c>
      <c r="D22">
        <f ca="1"/>
        <v>1</v>
      </c>
      <c r="E22" s="11">
        <f ca="1"/>
        <v>99.621057009333342</v>
      </c>
      <c r="F22" s="10">
        <f ca="1"/>
        <v>0</v>
      </c>
      <c r="G22" s="7">
        <f ca="1"/>
        <v>0</v>
      </c>
      <c r="H22" s="10">
        <f ca="1"/>
        <v>-94.715038769581199</v>
      </c>
      <c r="I22" s="7">
        <f ca="1"/>
        <v>1</v>
      </c>
      <c r="J22" s="7">
        <f ca="1"/>
        <v>4.906018239752143</v>
      </c>
      <c r="K22">
        <f ca="1"/>
        <v>0</v>
      </c>
      <c r="L22">
        <f ca="1"/>
        <v>0.37894299066665837</v>
      </c>
    </row>
    <row r="23" spans="2:18" x14ac:dyDescent="0.35">
      <c r="B23">
        <v>1.3000000000000001E-2</v>
      </c>
      <c r="C23">
        <f ca="1"/>
        <v>-3.1986667546804806E-3</v>
      </c>
      <c r="D23">
        <f ca="1"/>
        <v>1</v>
      </c>
      <c r="E23" s="11">
        <f ca="1"/>
        <v>99.910067128775054</v>
      </c>
      <c r="F23" s="10">
        <f ca="1"/>
        <v>0</v>
      </c>
      <c r="G23" s="7">
        <f ca="1"/>
        <v>0</v>
      </c>
      <c r="H23" s="10">
        <f ca="1"/>
        <v>-94.715038769581199</v>
      </c>
      <c r="I23" s="7">
        <f ca="1"/>
        <v>1</v>
      </c>
      <c r="J23" s="7">
        <f ca="1"/>
        <v>5.1950283591938557</v>
      </c>
      <c r="K23">
        <f ca="1"/>
        <v>0</v>
      </c>
      <c r="L23">
        <f ca="1"/>
        <v>8.9932871224945643E-2</v>
      </c>
    </row>
    <row r="24" spans="2:18" x14ac:dyDescent="0.35">
      <c r="B24">
        <v>1.4E-2</v>
      </c>
      <c r="C24">
        <f ca="1"/>
        <v>-3.8834574977168509E-2</v>
      </c>
      <c r="D24">
        <f ca="1"/>
        <v>1</v>
      </c>
      <c r="E24" s="11">
        <f ca="1"/>
        <v>99.198537475602834</v>
      </c>
      <c r="F24" s="10">
        <f ca="1"/>
        <v>0</v>
      </c>
      <c r="G24" s="7">
        <f ca="1"/>
        <v>0</v>
      </c>
      <c r="H24" s="10">
        <f ca="1"/>
        <v>-94.715038769581199</v>
      </c>
      <c r="I24" s="7">
        <f ca="1"/>
        <v>1</v>
      </c>
      <c r="J24" s="7">
        <f ca="1"/>
        <v>4.4834987060216349</v>
      </c>
      <c r="K24">
        <f ca="1"/>
        <v>0</v>
      </c>
      <c r="L24">
        <f ca="1"/>
        <v>0.80146252439716648</v>
      </c>
    </row>
    <row r="25" spans="2:18" x14ac:dyDescent="0.35">
      <c r="B25">
        <v>1.4999999999999999E-2</v>
      </c>
      <c r="C25">
        <f ca="1"/>
        <v>-1.6075088575868313E-2</v>
      </c>
      <c r="D25">
        <f ca="1"/>
        <v>1</v>
      </c>
      <c r="E25" s="11">
        <f ca="1"/>
        <v>99.64911527277394</v>
      </c>
      <c r="F25" s="10">
        <f ca="1"/>
        <v>0</v>
      </c>
      <c r="G25" s="7">
        <f ca="1"/>
        <v>0</v>
      </c>
      <c r="H25" s="10">
        <f ca="1"/>
        <v>-94.715038769581199</v>
      </c>
      <c r="I25" s="7">
        <f ca="1"/>
        <v>1</v>
      </c>
      <c r="J25" s="7">
        <f ca="1"/>
        <v>4.9340765031927418</v>
      </c>
      <c r="K25">
        <f ca="1"/>
        <v>0</v>
      </c>
      <c r="L25">
        <f ca="1"/>
        <v>0.35088472722605957</v>
      </c>
    </row>
    <row r="26" spans="2:18" x14ac:dyDescent="0.35">
      <c r="B26">
        <v>1.6E-2</v>
      </c>
      <c r="C26">
        <f ca="1"/>
        <v>-4.64196323090805E-2</v>
      </c>
      <c r="D26">
        <f ca="1"/>
        <v>1</v>
      </c>
      <c r="E26" s="11">
        <f ca="1"/>
        <v>99.044204395671443</v>
      </c>
      <c r="F26" s="10">
        <f ca="1"/>
        <v>0</v>
      </c>
      <c r="G26" s="7">
        <f ca="1"/>
        <v>0</v>
      </c>
      <c r="H26" s="10">
        <f ca="1"/>
        <v>-94.715038769581199</v>
      </c>
      <c r="I26" s="7">
        <f ca="1"/>
        <v>1</v>
      </c>
      <c r="J26" s="7">
        <f ca="1"/>
        <v>4.3291656260902442</v>
      </c>
      <c r="K26">
        <f ca="1"/>
        <v>0</v>
      </c>
      <c r="L26">
        <f ca="1"/>
        <v>0.95579560432855715</v>
      </c>
    </row>
    <row r="27" spans="2:18" x14ac:dyDescent="0.35">
      <c r="B27">
        <v>1.7000000000000001E-2</v>
      </c>
      <c r="C27">
        <f ca="1"/>
        <v>-9.727276645504998E-2</v>
      </c>
      <c r="D27">
        <f ca="1"/>
        <v>1</v>
      </c>
      <c r="E27" s="11">
        <f ca="1"/>
        <v>98.040007258604362</v>
      </c>
      <c r="F27" s="10">
        <f ca="1"/>
        <v>0</v>
      </c>
      <c r="G27" s="7">
        <f ca="1"/>
        <v>0</v>
      </c>
      <c r="H27" s="10">
        <f ca="1"/>
        <v>-94.715038769581199</v>
      </c>
      <c r="I27" s="7">
        <f ca="1"/>
        <v>1</v>
      </c>
      <c r="J27" s="7">
        <f ca="1"/>
        <v>3.3249684890231634</v>
      </c>
      <c r="K27">
        <f ca="1"/>
        <v>0</v>
      </c>
      <c r="L27">
        <f ca="1"/>
        <v>1.9599927413956379</v>
      </c>
      <c r="R27" t="s">
        <v>43</v>
      </c>
    </row>
    <row r="28" spans="2:18" x14ac:dyDescent="0.35">
      <c r="B28">
        <v>1.8000000000000002E-2</v>
      </c>
      <c r="C28">
        <f ca="1"/>
        <v>-6.1125386128005992E-2</v>
      </c>
      <c r="D28">
        <f ca="1"/>
        <v>1</v>
      </c>
      <c r="E28" s="11">
        <f ca="1"/>
        <v>98.749378368855915</v>
      </c>
      <c r="F28" s="10">
        <f ca="1"/>
        <v>0</v>
      </c>
      <c r="G28" s="7">
        <f ca="1"/>
        <v>0</v>
      </c>
      <c r="H28" s="10">
        <f ca="1"/>
        <v>-94.715038769581199</v>
      </c>
      <c r="I28" s="7">
        <f ca="1"/>
        <v>1</v>
      </c>
      <c r="J28" s="7">
        <f ca="1"/>
        <v>4.0343395992747162</v>
      </c>
      <c r="K28">
        <f ca="1"/>
        <v>0</v>
      </c>
      <c r="L28">
        <f ca="1"/>
        <v>1.2506216311440852</v>
      </c>
      <c r="R28" t="s">
        <v>37</v>
      </c>
    </row>
    <row r="29" spans="2:18" x14ac:dyDescent="0.35">
      <c r="B29">
        <v>1.9E-2</v>
      </c>
      <c r="C29">
        <f ca="1"/>
        <v>-4.3025146761406431E-2</v>
      </c>
      <c r="D29">
        <f ca="1"/>
        <v>1</v>
      </c>
      <c r="E29" s="11">
        <f ca="1"/>
        <v>99.105521540032598</v>
      </c>
      <c r="F29" s="10">
        <f ca="1"/>
        <v>0</v>
      </c>
      <c r="G29" s="7">
        <f ca="1"/>
        <v>0</v>
      </c>
      <c r="H29" s="10">
        <f ca="1"/>
        <v>-94.715038769581199</v>
      </c>
      <c r="I29" s="7">
        <f ca="1"/>
        <v>1</v>
      </c>
      <c r="J29" s="7">
        <f ca="1"/>
        <v>4.3904827704513991</v>
      </c>
      <c r="K29">
        <f ca="1"/>
        <v>0</v>
      </c>
      <c r="L29">
        <f ca="1"/>
        <v>0.89447845996740227</v>
      </c>
      <c r="R29" t="s">
        <v>38</v>
      </c>
    </row>
    <row r="30" spans="2:18" x14ac:dyDescent="0.35">
      <c r="B30">
        <v>0.02</v>
      </c>
      <c r="C30">
        <f ca="1"/>
        <v>-3.8547751040508817E-2</v>
      </c>
      <c r="D30">
        <f ca="1"/>
        <v>1</v>
      </c>
      <c r="E30" s="11">
        <f ca="1"/>
        <v>99.192324348693987</v>
      </c>
      <c r="F30" s="10">
        <f ca="1"/>
        <v>0</v>
      </c>
      <c r="G30" s="7">
        <f ca="1"/>
        <v>0</v>
      </c>
      <c r="H30" s="10">
        <f ca="1"/>
        <v>-94.715038769581199</v>
      </c>
      <c r="I30" s="7">
        <f ca="1"/>
        <v>1</v>
      </c>
      <c r="J30" s="7">
        <f ca="1"/>
        <v>4.4772855791127881</v>
      </c>
      <c r="K30">
        <f ca="1"/>
        <v>0</v>
      </c>
      <c r="L30">
        <f ca="1"/>
        <v>0.80767565130601326</v>
      </c>
    </row>
    <row r="31" spans="2:18" x14ac:dyDescent="0.35">
      <c r="B31">
        <v>2.1000000000000001E-2</v>
      </c>
      <c r="C31">
        <f ca="1"/>
        <v>1.9163587578859935E-2</v>
      </c>
      <c r="D31">
        <f ca="1"/>
        <v>1</v>
      </c>
      <c r="E31" s="11">
        <f ca="1"/>
        <v>100.34185474662982</v>
      </c>
      <c r="F31" s="10">
        <f ca="1"/>
        <v>100.34185474662982</v>
      </c>
      <c r="G31" s="7">
        <f ca="1"/>
        <v>-1</v>
      </c>
      <c r="H31" s="10">
        <f ca="1"/>
        <v>5.6268159770486221</v>
      </c>
      <c r="I31" s="7">
        <f ca="1"/>
        <v>0</v>
      </c>
      <c r="J31" s="7">
        <f ca="1"/>
        <v>5.6268159770486221</v>
      </c>
      <c r="K31">
        <f ca="1"/>
        <v>0</v>
      </c>
      <c r="L31">
        <f ca="1"/>
        <v>0</v>
      </c>
    </row>
    <row r="32" spans="2:18" x14ac:dyDescent="0.35">
      <c r="B32">
        <v>2.1999999999999999E-2</v>
      </c>
      <c r="C32">
        <f ca="1"/>
        <v>2.6480289187228518E-2</v>
      </c>
      <c r="D32">
        <f ca="1"/>
        <v>1</v>
      </c>
      <c r="E32" s="11">
        <f ca="1"/>
        <v>100.48678675948561</v>
      </c>
      <c r="F32" s="10">
        <f ca="1"/>
        <v>0</v>
      </c>
      <c r="G32" s="7">
        <f ca="1"/>
        <v>0</v>
      </c>
      <c r="H32" s="10">
        <f ca="1"/>
        <v>5.6268159770486221</v>
      </c>
      <c r="I32" s="7">
        <f ca="1"/>
        <v>0</v>
      </c>
      <c r="J32" s="7">
        <f ca="1"/>
        <v>5.6268159770486221</v>
      </c>
      <c r="K32">
        <f ca="1"/>
        <v>0</v>
      </c>
      <c r="L32">
        <f ca="1"/>
        <v>0</v>
      </c>
    </row>
    <row r="33" spans="2:12" x14ac:dyDescent="0.35">
      <c r="B33">
        <v>2.3E-2</v>
      </c>
      <c r="C33">
        <f ca="1"/>
        <v>-5.3908901216388784E-3</v>
      </c>
      <c r="D33">
        <f ca="1"/>
        <v>1</v>
      </c>
      <c r="E33" s="11">
        <f ca="1"/>
        <v>99.846300436516998</v>
      </c>
      <c r="F33" s="10">
        <f ca="1"/>
        <v>-99.846300436516998</v>
      </c>
      <c r="G33" s="7">
        <f ca="1"/>
        <v>1</v>
      </c>
      <c r="H33" s="10">
        <f ca="1"/>
        <v>-94.219484459468376</v>
      </c>
      <c r="I33" s="7">
        <f ca="1"/>
        <v>1</v>
      </c>
      <c r="J33" s="7">
        <f ca="1"/>
        <v>5.6268159770486221</v>
      </c>
      <c r="K33">
        <f ca="1"/>
        <v>0</v>
      </c>
      <c r="L33">
        <f ca="1"/>
        <v>0.15369956348300207</v>
      </c>
    </row>
    <row r="34" spans="2:12" x14ac:dyDescent="0.35">
      <c r="B34">
        <v>2.4E-2</v>
      </c>
      <c r="C34">
        <f ca="1"/>
        <v>1.6905506242313923E-2</v>
      </c>
      <c r="D34">
        <f ca="1"/>
        <v>1</v>
      </c>
      <c r="E34" s="11">
        <f ca="1"/>
        <v>100.29053135151086</v>
      </c>
      <c r="F34" s="10">
        <f ca="1"/>
        <v>100.29053135151086</v>
      </c>
      <c r="G34" s="7">
        <f ca="1"/>
        <v>-1</v>
      </c>
      <c r="H34" s="10">
        <f ca="1"/>
        <v>6.0710468920424887</v>
      </c>
      <c r="I34" s="7">
        <f ca="1"/>
        <v>0</v>
      </c>
      <c r="J34" s="7">
        <f ca="1"/>
        <v>6.0710468920424887</v>
      </c>
      <c r="K34">
        <f ca="1"/>
        <v>0</v>
      </c>
      <c r="L34">
        <f ca="1"/>
        <v>0</v>
      </c>
    </row>
    <row r="35" spans="2:12" x14ac:dyDescent="0.35">
      <c r="B35">
        <v>2.5000000000000001E-2</v>
      </c>
      <c r="C35">
        <f ca="1"/>
        <v>1.3770683349915321E-2</v>
      </c>
      <c r="D35">
        <f ca="1"/>
        <v>1</v>
      </c>
      <c r="E35" s="11">
        <f ca="1"/>
        <v>100.22566791460505</v>
      </c>
      <c r="F35" s="10">
        <f ca="1"/>
        <v>0</v>
      </c>
      <c r="G35" s="7">
        <f ca="1"/>
        <v>0</v>
      </c>
      <c r="H35" s="10">
        <f ca="1"/>
        <v>6.0710468920424887</v>
      </c>
      <c r="I35" s="7">
        <f ca="1"/>
        <v>0</v>
      </c>
      <c r="J35" s="7">
        <f ca="1"/>
        <v>6.0710468920424887</v>
      </c>
      <c r="K35">
        <f ca="1"/>
        <v>0</v>
      </c>
      <c r="L35">
        <f ca="1"/>
        <v>0</v>
      </c>
    </row>
    <row r="36" spans="2:12" x14ac:dyDescent="0.35">
      <c r="B36">
        <v>2.6000000000000002E-2</v>
      </c>
      <c r="C36">
        <f ca="1"/>
        <v>-7.0433693089919265E-4</v>
      </c>
      <c r="D36">
        <f ca="1"/>
        <v>1</v>
      </c>
      <c r="E36" s="11">
        <f ca="1"/>
        <v>99.9339350938574</v>
      </c>
      <c r="F36" s="10">
        <f ca="1"/>
        <v>-99.9339350938574</v>
      </c>
      <c r="G36" s="7">
        <f ca="1"/>
        <v>1</v>
      </c>
      <c r="H36" s="10">
        <f ca="1"/>
        <v>-93.862888201814911</v>
      </c>
      <c r="I36" s="7">
        <f ca="1"/>
        <v>1</v>
      </c>
      <c r="J36" s="7">
        <f ca="1"/>
        <v>6.0710468920424887</v>
      </c>
      <c r="K36">
        <f ca="1"/>
        <v>0</v>
      </c>
      <c r="L36">
        <f ca="1"/>
        <v>6.6064906142599966E-2</v>
      </c>
    </row>
    <row r="37" spans="2:12" x14ac:dyDescent="0.35">
      <c r="B37">
        <v>2.7E-2</v>
      </c>
      <c r="C37">
        <f ca="1"/>
        <v>7.9761903961584023E-3</v>
      </c>
      <c r="D37">
        <f ca="1"/>
        <v>1</v>
      </c>
      <c r="E37" s="11">
        <f ca="1"/>
        <v>100.10557950388248</v>
      </c>
      <c r="F37" s="10">
        <f ca="1"/>
        <v>100.10557950388248</v>
      </c>
      <c r="G37" s="7">
        <f ca="1"/>
        <v>-1</v>
      </c>
      <c r="H37" s="10">
        <f ca="1"/>
        <v>6.2426913020675698</v>
      </c>
      <c r="I37" s="7">
        <f ca="1"/>
        <v>0</v>
      </c>
      <c r="J37" s="7">
        <f ca="1"/>
        <v>6.2426913020675698</v>
      </c>
      <c r="K37">
        <f ca="1"/>
        <v>0</v>
      </c>
      <c r="L37">
        <f ca="1"/>
        <v>0</v>
      </c>
    </row>
    <row r="38" spans="2:12" x14ac:dyDescent="0.35">
      <c r="B38">
        <v>2.8000000000000001E-2</v>
      </c>
      <c r="C38">
        <f ca="1"/>
        <v>-9.7093468052303518E-3</v>
      </c>
      <c r="D38">
        <f ca="1"/>
        <v>1</v>
      </c>
      <c r="E38" s="11">
        <f ca="1"/>
        <v>99.750125770572268</v>
      </c>
      <c r="F38" s="10">
        <f ca="1"/>
        <v>-99.750125770572268</v>
      </c>
      <c r="G38" s="7">
        <f ca="1"/>
        <v>1</v>
      </c>
      <c r="H38" s="10">
        <f ca="1"/>
        <v>-93.507434468504698</v>
      </c>
      <c r="I38" s="7">
        <f ca="1"/>
        <v>1</v>
      </c>
      <c r="J38" s="7">
        <f ca="1"/>
        <v>6.2426913020675698</v>
      </c>
      <c r="K38">
        <f ca="1"/>
        <v>0</v>
      </c>
      <c r="L38">
        <f ca="1"/>
        <v>0.24987422942773208</v>
      </c>
    </row>
    <row r="39" spans="2:12" x14ac:dyDescent="0.35">
      <c r="B39">
        <v>2.9000000000000001E-2</v>
      </c>
      <c r="C39">
        <f ca="1"/>
        <v>-2.1186264552366038E-3</v>
      </c>
      <c r="D39">
        <f ca="1"/>
        <v>1</v>
      </c>
      <c r="E39" s="11">
        <f ca="1"/>
        <v>99.89967782726886</v>
      </c>
      <c r="F39" s="10">
        <f ca="1"/>
        <v>0</v>
      </c>
      <c r="G39" s="7">
        <f ca="1"/>
        <v>0</v>
      </c>
      <c r="H39" s="10">
        <f ca="1"/>
        <v>-93.507434468504698</v>
      </c>
      <c r="I39" s="7">
        <f ca="1"/>
        <v>1</v>
      </c>
      <c r="J39" s="7">
        <f ca="1"/>
        <v>6.3922433587641621</v>
      </c>
      <c r="K39">
        <f ca="1"/>
        <v>0</v>
      </c>
      <c r="L39">
        <f ca="1"/>
        <v>0.10032217273113986</v>
      </c>
    </row>
    <row r="40" spans="2:12" x14ac:dyDescent="0.35">
      <c r="B40">
        <v>0.03</v>
      </c>
      <c r="C40">
        <f ca="1"/>
        <v>-9.8885313155391906E-4</v>
      </c>
      <c r="D40">
        <f ca="1"/>
        <v>1</v>
      </c>
      <c r="E40" s="11">
        <f ca="1"/>
        <v>99.920254750807018</v>
      </c>
      <c r="F40" s="10">
        <f ca="1"/>
        <v>0</v>
      </c>
      <c r="G40" s="7">
        <f ca="1"/>
        <v>0</v>
      </c>
      <c r="H40" s="10">
        <f ca="1"/>
        <v>-93.507434468504698</v>
      </c>
      <c r="I40" s="7">
        <f ca="1"/>
        <v>1</v>
      </c>
      <c r="J40" s="7">
        <f ca="1"/>
        <v>6.4128202823023202</v>
      </c>
      <c r="K40">
        <f ca="1"/>
        <v>0</v>
      </c>
      <c r="L40">
        <f ca="1"/>
        <v>7.974524919298176E-2</v>
      </c>
    </row>
    <row r="41" spans="2:12" x14ac:dyDescent="0.35">
      <c r="B41">
        <v>3.1E-2</v>
      </c>
      <c r="C41">
        <f ca="1"/>
        <v>-4.6415251789409036E-2</v>
      </c>
      <c r="D41">
        <f ca="1"/>
        <v>1</v>
      </c>
      <c r="E41" s="11">
        <f ca="1"/>
        <v>99.014582337923414</v>
      </c>
      <c r="F41" s="10">
        <f ca="1"/>
        <v>0</v>
      </c>
      <c r="G41" s="7">
        <f ca="1"/>
        <v>0</v>
      </c>
      <c r="H41" s="10">
        <f ca="1"/>
        <v>-93.507434468504698</v>
      </c>
      <c r="I41" s="7">
        <f ca="1"/>
        <v>1</v>
      </c>
      <c r="J41" s="7">
        <f ca="1"/>
        <v>5.5071478694187164</v>
      </c>
      <c r="K41">
        <f ca="1"/>
        <v>0</v>
      </c>
      <c r="L41">
        <f ca="1"/>
        <v>0.98541766207658554</v>
      </c>
    </row>
    <row r="42" spans="2:12" x14ac:dyDescent="0.35">
      <c r="B42">
        <v>3.2000000000000001E-2</v>
      </c>
      <c r="C42">
        <f ca="1"/>
        <v>-1.0367058932240492E-2</v>
      </c>
      <c r="D42">
        <f ca="1"/>
        <v>1</v>
      </c>
      <c r="E42" s="11">
        <f ca="1"/>
        <v>99.729026618794165</v>
      </c>
      <c r="F42" s="10">
        <f ca="1"/>
        <v>0</v>
      </c>
      <c r="G42" s="7">
        <f ca="1"/>
        <v>0</v>
      </c>
      <c r="H42" s="10">
        <f ca="1"/>
        <v>-93.507434468504698</v>
      </c>
      <c r="I42" s="7">
        <f ca="1"/>
        <v>1</v>
      </c>
      <c r="J42" s="7">
        <f ca="1"/>
        <v>6.2215921502894673</v>
      </c>
      <c r="K42">
        <f ca="1"/>
        <v>0</v>
      </c>
      <c r="L42">
        <f ca="1"/>
        <v>0.27097338120583458</v>
      </c>
    </row>
    <row r="43" spans="2:12" x14ac:dyDescent="0.35">
      <c r="B43">
        <v>3.3000000000000002E-2</v>
      </c>
      <c r="C43">
        <f ca="1"/>
        <v>2.7494805614654186E-2</v>
      </c>
      <c r="D43">
        <f ca="1"/>
        <v>1</v>
      </c>
      <c r="E43" s="11">
        <f ca="1"/>
        <v>100.48506878026579</v>
      </c>
      <c r="F43" s="10">
        <f ca="1"/>
        <v>100.48506878026579</v>
      </c>
      <c r="G43" s="7">
        <f ca="1"/>
        <v>-1</v>
      </c>
      <c r="H43" s="10">
        <f ca="1"/>
        <v>6.9776343117610935</v>
      </c>
      <c r="I43" s="7">
        <f ca="1"/>
        <v>0</v>
      </c>
      <c r="J43" s="7">
        <f ca="1"/>
        <v>6.9776343117610935</v>
      </c>
      <c r="K43">
        <f ca="1"/>
        <v>0</v>
      </c>
      <c r="L43">
        <f ca="1"/>
        <v>0</v>
      </c>
    </row>
    <row r="44" spans="2:12" x14ac:dyDescent="0.35">
      <c r="B44">
        <v>3.4000000000000002E-2</v>
      </c>
      <c r="C44">
        <f ca="1"/>
        <v>-1.649298509508719E-2</v>
      </c>
      <c r="D44">
        <f ca="1"/>
        <v>1</v>
      </c>
      <c r="E44" s="11">
        <f ca="1"/>
        <v>99.602930711217695</v>
      </c>
      <c r="F44" s="10">
        <f ca="1"/>
        <v>-99.602930711217695</v>
      </c>
      <c r="G44" s="7">
        <f ca="1"/>
        <v>1</v>
      </c>
      <c r="H44" s="10">
        <f ca="1"/>
        <v>-92.625296399456602</v>
      </c>
      <c r="I44" s="7">
        <f ca="1"/>
        <v>1</v>
      </c>
      <c r="J44" s="7">
        <f ca="1"/>
        <v>6.9776343117610935</v>
      </c>
      <c r="K44">
        <f ca="1"/>
        <v>0</v>
      </c>
      <c r="L44">
        <f ca="1"/>
        <v>0.39706928878230485</v>
      </c>
    </row>
    <row r="45" spans="2:12" x14ac:dyDescent="0.35">
      <c r="B45">
        <v>3.5000000000000003E-2</v>
      </c>
      <c r="C45">
        <f ca="1"/>
        <v>-1.7884211951820186E-2</v>
      </c>
      <c r="D45">
        <f ca="1"/>
        <v>1</v>
      </c>
      <c r="E45" s="11">
        <f ca="1"/>
        <v>99.573229027575522</v>
      </c>
      <c r="F45" s="10">
        <f ca="1"/>
        <v>0</v>
      </c>
      <c r="G45" s="7">
        <f ca="1"/>
        <v>0</v>
      </c>
      <c r="H45" s="10">
        <f ca="1"/>
        <v>-92.625296399456602</v>
      </c>
      <c r="I45" s="7">
        <f ca="1"/>
        <v>1</v>
      </c>
      <c r="J45" s="7">
        <f ca="1"/>
        <v>6.9479326281189202</v>
      </c>
      <c r="K45">
        <f ca="1"/>
        <v>0</v>
      </c>
      <c r="L45">
        <f ca="1"/>
        <v>0.42677097242447815</v>
      </c>
    </row>
    <row r="46" spans="2:12" x14ac:dyDescent="0.35">
      <c r="B46">
        <v>3.6000000000000004E-2</v>
      </c>
      <c r="C46">
        <f ca="1"/>
        <v>-5.199626268278687E-2</v>
      </c>
      <c r="D46">
        <f ca="1"/>
        <v>1</v>
      </c>
      <c r="E46" s="11">
        <f ca="1"/>
        <v>98.894233786083291</v>
      </c>
      <c r="F46" s="10">
        <f ca="1"/>
        <v>0</v>
      </c>
      <c r="G46" s="7">
        <f ca="1"/>
        <v>0</v>
      </c>
      <c r="H46" s="10">
        <f ca="1"/>
        <v>-92.625296399456602</v>
      </c>
      <c r="I46" s="7">
        <f ca="1"/>
        <v>1</v>
      </c>
      <c r="J46" s="7">
        <f ca="1"/>
        <v>6.2689373866266891</v>
      </c>
      <c r="K46">
        <f ca="1"/>
        <v>0</v>
      </c>
      <c r="L46">
        <f ca="1"/>
        <v>1.1057662139167093</v>
      </c>
    </row>
    <row r="47" spans="2:12" x14ac:dyDescent="0.35">
      <c r="B47">
        <v>3.6999999999999998E-2</v>
      </c>
      <c r="C47">
        <f ca="1"/>
        <v>3.8062848630760829E-3</v>
      </c>
      <c r="D47">
        <f ca="1"/>
        <v>1</v>
      </c>
      <c r="E47" s="11">
        <f ca="1"/>
        <v>100.00212571985463</v>
      </c>
      <c r="F47" s="10">
        <f ca="1"/>
        <v>100.00212571985463</v>
      </c>
      <c r="G47" s="7">
        <f ca="1"/>
        <v>-1</v>
      </c>
      <c r="H47" s="10">
        <f ca="1"/>
        <v>7.3768293203980306</v>
      </c>
      <c r="I47" s="7">
        <f ca="1"/>
        <v>0</v>
      </c>
      <c r="J47" s="7">
        <f ca="1"/>
        <v>7.3768293203980306</v>
      </c>
      <c r="K47">
        <f ca="1"/>
        <v>0</v>
      </c>
      <c r="L47">
        <f ca="1"/>
        <v>0</v>
      </c>
    </row>
    <row r="48" spans="2:12" x14ac:dyDescent="0.35">
      <c r="B48">
        <v>3.7999999999999999E-2</v>
      </c>
      <c r="C48">
        <f ca="1"/>
        <v>-4.710678178965521E-2</v>
      </c>
      <c r="D48">
        <f ca="1"/>
        <v>1</v>
      </c>
      <c r="E48" s="11">
        <f ca="1"/>
        <v>98.987029819759798</v>
      </c>
      <c r="F48" s="10">
        <f ca="1"/>
        <v>-98.987029819759798</v>
      </c>
      <c r="G48" s="7">
        <f ca="1"/>
        <v>1</v>
      </c>
      <c r="H48" s="10">
        <f ca="1"/>
        <v>-91.610200499361767</v>
      </c>
      <c r="I48" s="7">
        <f ca="1"/>
        <v>1</v>
      </c>
      <c r="J48" s="7">
        <f ca="1"/>
        <v>7.3768293203980306</v>
      </c>
      <c r="K48">
        <f ca="1"/>
        <v>0</v>
      </c>
      <c r="L48">
        <f ca="1"/>
        <v>1.0129701802402025</v>
      </c>
    </row>
    <row r="49" spans="2:12" x14ac:dyDescent="0.35">
      <c r="B49">
        <v>3.9E-2</v>
      </c>
      <c r="C49">
        <f ca="1"/>
        <v>1.1885363551604376E-2</v>
      </c>
      <c r="D49">
        <f ca="1"/>
        <v>1</v>
      </c>
      <c r="E49" s="11">
        <f ca="1"/>
        <v>100.15983487101397</v>
      </c>
      <c r="F49" s="10">
        <f ca="1"/>
        <v>100.15983487101397</v>
      </c>
      <c r="G49" s="7">
        <f ca="1"/>
        <v>-1</v>
      </c>
      <c r="H49" s="10">
        <f ca="1"/>
        <v>8.5496343716522034</v>
      </c>
      <c r="I49" s="7">
        <f ca="1"/>
        <v>0</v>
      </c>
      <c r="J49" s="7">
        <f ca="1"/>
        <v>8.5496343716522034</v>
      </c>
      <c r="K49">
        <f ca="1"/>
        <v>0</v>
      </c>
      <c r="L49">
        <f ca="1"/>
        <v>0</v>
      </c>
    </row>
    <row r="50" spans="2:12" x14ac:dyDescent="0.35">
      <c r="B50">
        <v>0.04</v>
      </c>
      <c r="C50">
        <f ca="1"/>
        <v>8.0472448674329233E-2</v>
      </c>
      <c r="D50">
        <f ca="1"/>
        <v>1</v>
      </c>
      <c r="E50" s="11">
        <f ca="1"/>
        <v>101.54120490147341</v>
      </c>
      <c r="F50" s="10">
        <f ca="1"/>
        <v>0</v>
      </c>
      <c r="G50" s="7">
        <f ca="1"/>
        <v>0</v>
      </c>
      <c r="H50" s="10">
        <f ca="1"/>
        <v>8.5496343716522034</v>
      </c>
      <c r="I50" s="7">
        <f ca="1"/>
        <v>0</v>
      </c>
      <c r="J50" s="7">
        <f ca="1"/>
        <v>8.5496343716522034</v>
      </c>
      <c r="K50">
        <f ca="1"/>
        <v>0</v>
      </c>
      <c r="L50">
        <f ca="1"/>
        <v>0</v>
      </c>
    </row>
    <row r="51" spans="2:12" x14ac:dyDescent="0.35">
      <c r="B51">
        <v>4.1000000000000002E-2</v>
      </c>
      <c r="C51">
        <f ca="1"/>
        <v>9.5318127855619356E-2</v>
      </c>
      <c r="D51">
        <f ca="1"/>
        <v>1</v>
      </c>
      <c r="E51" s="11">
        <f ca="1"/>
        <v>101.84110571445946</v>
      </c>
      <c r="F51" s="10">
        <f ca="1"/>
        <v>0</v>
      </c>
      <c r="G51" s="7">
        <f ca="1"/>
        <v>0</v>
      </c>
      <c r="H51" s="10">
        <f ca="1"/>
        <v>8.5496343716522034</v>
      </c>
      <c r="I51" s="7">
        <f ca="1"/>
        <v>0</v>
      </c>
      <c r="J51" s="7">
        <f ca="1"/>
        <v>8.5496343716522034</v>
      </c>
      <c r="K51">
        <f ca="1"/>
        <v>0</v>
      </c>
      <c r="L51">
        <f ca="1"/>
        <v>0</v>
      </c>
    </row>
    <row r="52" spans="2:12" x14ac:dyDescent="0.35">
      <c r="B52">
        <v>4.2000000000000003E-2</v>
      </c>
      <c r="C52">
        <f ca="1"/>
        <v>0.1196290145695954</v>
      </c>
      <c r="D52">
        <f ca="1"/>
        <v>1</v>
      </c>
      <c r="E52" s="11">
        <f ca="1"/>
        <v>102.33543425648502</v>
      </c>
      <c r="F52" s="10">
        <f ca="1"/>
        <v>0</v>
      </c>
      <c r="G52" s="7">
        <f ca="1"/>
        <v>0</v>
      </c>
      <c r="H52" s="10">
        <f ca="1"/>
        <v>8.5496343716522034</v>
      </c>
      <c r="I52" s="7">
        <f ca="1"/>
        <v>0</v>
      </c>
      <c r="J52" s="7">
        <f ca="1"/>
        <v>8.5496343716522034</v>
      </c>
      <c r="K52">
        <f ca="1"/>
        <v>0</v>
      </c>
      <c r="L52">
        <f ca="1"/>
        <v>0</v>
      </c>
    </row>
    <row r="53" spans="2:12" x14ac:dyDescent="0.35">
      <c r="B53">
        <v>4.3000000000000003E-2</v>
      </c>
      <c r="C53">
        <f ca="1"/>
        <v>0.10011673921994235</v>
      </c>
      <c r="D53">
        <f ca="1"/>
        <v>1</v>
      </c>
      <c r="E53" s="11">
        <f ca="1"/>
        <v>101.93481433402492</v>
      </c>
      <c r="F53" s="10">
        <f ca="1"/>
        <v>0</v>
      </c>
      <c r="G53" s="7">
        <f ca="1"/>
        <v>0</v>
      </c>
      <c r="H53" s="10">
        <f ca="1"/>
        <v>8.5496343716522034</v>
      </c>
      <c r="I53" s="7">
        <f ca="1"/>
        <v>0</v>
      </c>
      <c r="J53" s="7">
        <f ca="1"/>
        <v>8.5496343716522034</v>
      </c>
      <c r="K53">
        <f ca="1"/>
        <v>0</v>
      </c>
      <c r="L53">
        <f ca="1"/>
        <v>0</v>
      </c>
    </row>
    <row r="54" spans="2:12" x14ac:dyDescent="0.35">
      <c r="B54">
        <v>4.3999999999999997E-2</v>
      </c>
      <c r="C54">
        <f ca="1"/>
        <v>9.3793074018781952E-2</v>
      </c>
      <c r="D54">
        <f ca="1"/>
        <v>1</v>
      </c>
      <c r="E54" s="11">
        <f ca="1"/>
        <v>101.80393939777861</v>
      </c>
      <c r="F54" s="10">
        <f ca="1"/>
        <v>0</v>
      </c>
      <c r="G54" s="7">
        <f ca="1"/>
        <v>0</v>
      </c>
      <c r="H54" s="10">
        <f ca="1"/>
        <v>8.5496343716522034</v>
      </c>
      <c r="I54" s="7">
        <f ca="1"/>
        <v>0</v>
      </c>
      <c r="J54" s="7">
        <f ca="1"/>
        <v>8.5496343716522034</v>
      </c>
      <c r="K54">
        <f ca="1"/>
        <v>0</v>
      </c>
      <c r="L54">
        <f ca="1"/>
        <v>0</v>
      </c>
    </row>
    <row r="55" spans="2:12" x14ac:dyDescent="0.35">
      <c r="B55">
        <v>4.4999999999999998E-2</v>
      </c>
      <c r="C55">
        <f ca="1"/>
        <v>0.13391627512060114</v>
      </c>
      <c r="D55">
        <f ca="1"/>
        <v>1</v>
      </c>
      <c r="E55" s="11">
        <f ca="1"/>
        <v>102.62211353180962</v>
      </c>
      <c r="F55" s="10">
        <f ca="1"/>
        <v>0</v>
      </c>
      <c r="G55" s="7">
        <f ca="1"/>
        <v>0</v>
      </c>
      <c r="H55" s="10">
        <f ca="1"/>
        <v>8.5496343716522034</v>
      </c>
      <c r="I55" s="7">
        <f ca="1"/>
        <v>0</v>
      </c>
      <c r="J55" s="7">
        <f ca="1"/>
        <v>8.5496343716522034</v>
      </c>
      <c r="K55">
        <f ca="1"/>
        <v>0</v>
      </c>
      <c r="L55">
        <f ca="1"/>
        <v>0</v>
      </c>
    </row>
    <row r="56" spans="2:12" x14ac:dyDescent="0.35">
      <c r="B56">
        <v>4.5999999999999999E-2</v>
      </c>
      <c r="C56">
        <f ca="1"/>
        <v>0.13269690342112792</v>
      </c>
      <c r="D56">
        <f ca="1"/>
        <v>1</v>
      </c>
      <c r="E56" s="11">
        <f ca="1"/>
        <v>102.59503776180038</v>
      </c>
      <c r="F56" s="10">
        <f ca="1"/>
        <v>0</v>
      </c>
      <c r="G56" s="7">
        <f ca="1"/>
        <v>0</v>
      </c>
      <c r="H56" s="10">
        <f ca="1"/>
        <v>8.5496343716522034</v>
      </c>
      <c r="I56" s="7">
        <f ca="1"/>
        <v>0</v>
      </c>
      <c r="J56" s="7">
        <f ca="1"/>
        <v>8.5496343716522034</v>
      </c>
      <c r="K56">
        <f ca="1"/>
        <v>0</v>
      </c>
      <c r="L56">
        <f ca="1"/>
        <v>0</v>
      </c>
    </row>
    <row r="57" spans="2:12" x14ac:dyDescent="0.35">
      <c r="B57">
        <v>4.7E-2</v>
      </c>
      <c r="C57">
        <f ca="1"/>
        <v>0.13856747846087025</v>
      </c>
      <c r="D57">
        <f ca="1"/>
        <v>1</v>
      </c>
      <c r="E57" s="11">
        <f ca="1"/>
        <v>102.71351258825945</v>
      </c>
      <c r="F57" s="10">
        <f ca="1"/>
        <v>0</v>
      </c>
      <c r="G57" s="7">
        <f ca="1"/>
        <v>0</v>
      </c>
      <c r="H57" s="10">
        <f ca="1"/>
        <v>8.5496343716522034</v>
      </c>
      <c r="I57" s="7">
        <f ca="1"/>
        <v>0</v>
      </c>
      <c r="J57" s="7">
        <f ca="1"/>
        <v>8.5496343716522034</v>
      </c>
      <c r="K57">
        <f ca="1"/>
        <v>0</v>
      </c>
      <c r="L57">
        <f ca="1"/>
        <v>0</v>
      </c>
    </row>
    <row r="58" spans="2:12" x14ac:dyDescent="0.35">
      <c r="B58">
        <v>4.8000000000000001E-2</v>
      </c>
      <c r="C58">
        <f ca="1"/>
        <v>0.12325070796497045</v>
      </c>
      <c r="D58">
        <f ca="1"/>
        <v>1</v>
      </c>
      <c r="E58" s="11">
        <f ca="1"/>
        <v>102.39729820915299</v>
      </c>
      <c r="F58" s="10">
        <f ca="1"/>
        <v>0</v>
      </c>
      <c r="G58" s="7">
        <f ca="1"/>
        <v>0</v>
      </c>
      <c r="H58" s="10">
        <f ca="1"/>
        <v>8.5496343716522034</v>
      </c>
      <c r="I58" s="7">
        <f ca="1"/>
        <v>0</v>
      </c>
      <c r="J58" s="7">
        <f ca="1"/>
        <v>8.5496343716522034</v>
      </c>
      <c r="K58">
        <f ca="1"/>
        <v>0</v>
      </c>
      <c r="L58">
        <f ca="1"/>
        <v>0</v>
      </c>
    </row>
    <row r="59" spans="2:12" x14ac:dyDescent="0.35">
      <c r="B59">
        <v>4.9000000000000002E-2</v>
      </c>
      <c r="C59">
        <f ca="1"/>
        <v>0.10082403091112493</v>
      </c>
      <c r="D59">
        <f ca="1"/>
        <v>1</v>
      </c>
      <c r="E59" s="11">
        <f ca="1"/>
        <v>101.9370017092176</v>
      </c>
      <c r="F59" s="10">
        <f ca="1"/>
        <v>0</v>
      </c>
      <c r="G59" s="7">
        <f ca="1"/>
        <v>0</v>
      </c>
      <c r="H59" s="10">
        <f ca="1"/>
        <v>8.5496343716522034</v>
      </c>
      <c r="I59" s="7">
        <f ca="1"/>
        <v>0</v>
      </c>
      <c r="J59" s="7">
        <f ca="1"/>
        <v>8.5496343716522034</v>
      </c>
      <c r="K59">
        <f ca="1"/>
        <v>0</v>
      </c>
      <c r="L59">
        <f ca="1"/>
        <v>0</v>
      </c>
    </row>
    <row r="60" spans="2:12" x14ac:dyDescent="0.35">
      <c r="B60">
        <v>0.05</v>
      </c>
      <c r="C60">
        <f ca="1"/>
        <v>0.10588618101149506</v>
      </c>
      <c r="D60">
        <f ca="1"/>
        <v>1</v>
      </c>
      <c r="E60" s="11">
        <f ca="1"/>
        <v>102.0382172662414</v>
      </c>
      <c r="F60" s="10">
        <f ca="1"/>
        <v>0</v>
      </c>
      <c r="G60" s="7">
        <f ca="1"/>
        <v>0</v>
      </c>
      <c r="H60" s="10">
        <f ca="1"/>
        <v>8.5496343716522034</v>
      </c>
      <c r="I60" s="7">
        <f ca="1"/>
        <v>0</v>
      </c>
      <c r="J60" s="7">
        <f ca="1"/>
        <v>8.5496343716522034</v>
      </c>
      <c r="K60">
        <f ca="1"/>
        <v>0</v>
      </c>
      <c r="L60">
        <f ca="1"/>
        <v>0</v>
      </c>
    </row>
    <row r="61" spans="2:12" x14ac:dyDescent="0.35">
      <c r="B61">
        <v>5.1000000000000004E-2</v>
      </c>
      <c r="C61">
        <f ca="1"/>
        <v>8.9521183468687024E-2</v>
      </c>
      <c r="D61">
        <f ca="1"/>
        <v>1</v>
      </c>
      <c r="E61" s="11">
        <f ca="1"/>
        <v>101.70275810349709</v>
      </c>
      <c r="F61" s="10">
        <f ca="1"/>
        <v>0</v>
      </c>
      <c r="G61" s="7">
        <f ca="1"/>
        <v>0</v>
      </c>
      <c r="H61" s="10">
        <f ca="1"/>
        <v>8.5496343716522034</v>
      </c>
      <c r="I61" s="7">
        <f ca="1"/>
        <v>0</v>
      </c>
      <c r="J61" s="7">
        <f ca="1"/>
        <v>8.5496343716522034</v>
      </c>
      <c r="K61">
        <f ca="1"/>
        <v>0</v>
      </c>
      <c r="L61">
        <f ca="1"/>
        <v>0</v>
      </c>
    </row>
    <row r="62" spans="2:12" x14ac:dyDescent="0.35">
      <c r="B62">
        <v>5.2000000000000005E-2</v>
      </c>
      <c r="C62">
        <f ca="1"/>
        <v>0.1267306001390088</v>
      </c>
      <c r="D62">
        <f ca="1"/>
        <v>1</v>
      </c>
      <c r="E62" s="11">
        <f ca="1"/>
        <v>102.46039216689611</v>
      </c>
      <c r="F62" s="10">
        <f ca="1"/>
        <v>0</v>
      </c>
      <c r="G62" s="7">
        <f ca="1"/>
        <v>0</v>
      </c>
      <c r="H62" s="10">
        <f ca="1"/>
        <v>8.5496343716522034</v>
      </c>
      <c r="I62" s="7">
        <f ca="1"/>
        <v>0</v>
      </c>
      <c r="J62" s="7">
        <f ca="1"/>
        <v>8.5496343716522034</v>
      </c>
      <c r="K62">
        <f ca="1"/>
        <v>0</v>
      </c>
      <c r="L62">
        <f ca="1"/>
        <v>0</v>
      </c>
    </row>
    <row r="63" spans="2:12" x14ac:dyDescent="0.35">
      <c r="B63">
        <v>5.2999999999999999E-2</v>
      </c>
      <c r="C63">
        <f ca="1"/>
        <v>0.15888286208725674</v>
      </c>
      <c r="D63">
        <f ca="1"/>
        <v>1</v>
      </c>
      <c r="E63" s="11">
        <f ca="1"/>
        <v>103.11931938700396</v>
      </c>
      <c r="F63" s="10">
        <f ca="1"/>
        <v>0</v>
      </c>
      <c r="G63" s="7">
        <f ca="1"/>
        <v>0</v>
      </c>
      <c r="H63" s="10">
        <f ca="1"/>
        <v>8.5496343716522034</v>
      </c>
      <c r="I63" s="7">
        <f ca="1"/>
        <v>0</v>
      </c>
      <c r="J63" s="7">
        <f ca="1"/>
        <v>8.5496343716522034</v>
      </c>
      <c r="K63">
        <f ca="1"/>
        <v>0</v>
      </c>
      <c r="L63">
        <f ca="1"/>
        <v>0</v>
      </c>
    </row>
    <row r="64" spans="2:12" x14ac:dyDescent="0.35">
      <c r="B64">
        <v>5.3999999999999999E-2</v>
      </c>
      <c r="C64">
        <f ca="1"/>
        <v>0.16093046430721264</v>
      </c>
      <c r="D64">
        <f ca="1"/>
        <v>1</v>
      </c>
      <c r="E64" s="11">
        <f ca="1"/>
        <v>103.15949429404149</v>
      </c>
      <c r="F64" s="10">
        <f ca="1"/>
        <v>0</v>
      </c>
      <c r="G64" s="7">
        <f ca="1"/>
        <v>0</v>
      </c>
      <c r="H64" s="10">
        <f ca="1"/>
        <v>8.5496343716522034</v>
      </c>
      <c r="I64" s="7">
        <f ca="1"/>
        <v>0</v>
      </c>
      <c r="J64" s="7">
        <f ca="1"/>
        <v>8.5496343716522034</v>
      </c>
      <c r="K64">
        <f ca="1"/>
        <v>0</v>
      </c>
      <c r="L64">
        <f ca="1"/>
        <v>0</v>
      </c>
    </row>
    <row r="65" spans="2:12" x14ac:dyDescent="0.35">
      <c r="B65">
        <v>5.5E-2</v>
      </c>
      <c r="C65">
        <f ca="1"/>
        <v>0.17531816149935742</v>
      </c>
      <c r="D65">
        <f ca="1"/>
        <v>1</v>
      </c>
      <c r="E65" s="11">
        <f ca="1"/>
        <v>103.45469819495503</v>
      </c>
      <c r="F65" s="10">
        <f ca="1"/>
        <v>0</v>
      </c>
      <c r="G65" s="7">
        <f ca="1"/>
        <v>0</v>
      </c>
      <c r="H65" s="10">
        <f ca="1"/>
        <v>8.5496343716522034</v>
      </c>
      <c r="I65" s="7">
        <f ca="1"/>
        <v>0</v>
      </c>
      <c r="J65" s="7">
        <f ca="1"/>
        <v>8.5496343716522034</v>
      </c>
      <c r="K65">
        <f ca="1"/>
        <v>0</v>
      </c>
      <c r="L65">
        <f ca="1"/>
        <v>0</v>
      </c>
    </row>
    <row r="66" spans="2:12" x14ac:dyDescent="0.35">
      <c r="B66">
        <v>5.6000000000000001E-2</v>
      </c>
      <c r="C66">
        <f ca="1"/>
        <v>0.1015944232927255</v>
      </c>
      <c r="D66">
        <f ca="1"/>
        <v>1</v>
      </c>
      <c r="E66" s="11">
        <f ca="1"/>
        <v>101.93843683698449</v>
      </c>
      <c r="F66" s="10">
        <f ca="1"/>
        <v>0</v>
      </c>
      <c r="G66" s="7">
        <f ca="1"/>
        <v>0</v>
      </c>
      <c r="H66" s="10">
        <f ca="1"/>
        <v>8.5496343716522034</v>
      </c>
      <c r="I66" s="7">
        <f ca="1"/>
        <v>0</v>
      </c>
      <c r="J66" s="7">
        <f ca="1"/>
        <v>8.5496343716522034</v>
      </c>
      <c r="K66">
        <f ca="1"/>
        <v>0</v>
      </c>
      <c r="L66">
        <f ca="1"/>
        <v>0</v>
      </c>
    </row>
    <row r="67" spans="2:12" x14ac:dyDescent="0.35">
      <c r="B67">
        <v>5.7000000000000002E-2</v>
      </c>
      <c r="C67">
        <f ca="1"/>
        <v>0.12772987130713284</v>
      </c>
      <c r="D67">
        <f ca="1"/>
        <v>1</v>
      </c>
      <c r="E67" s="11">
        <f ca="1"/>
        <v>102.47062378165934</v>
      </c>
      <c r="F67" s="10">
        <f ca="1"/>
        <v>0</v>
      </c>
      <c r="G67" s="7">
        <f ca="1"/>
        <v>0</v>
      </c>
      <c r="H67" s="10">
        <f ca="1"/>
        <v>8.5496343716522034</v>
      </c>
      <c r="I67" s="7">
        <f ca="1"/>
        <v>0</v>
      </c>
      <c r="J67" s="7">
        <f ca="1"/>
        <v>8.5496343716522034</v>
      </c>
      <c r="K67">
        <f ca="1"/>
        <v>0</v>
      </c>
      <c r="L67">
        <f ca="1"/>
        <v>0</v>
      </c>
    </row>
    <row r="68" spans="2:12" x14ac:dyDescent="0.35">
      <c r="B68">
        <v>5.8000000000000003E-2</v>
      </c>
      <c r="C68">
        <f ca="1"/>
        <v>0.11165071110656349</v>
      </c>
      <c r="D68">
        <f ca="1"/>
        <v>1</v>
      </c>
      <c r="E68" s="11">
        <f ca="1"/>
        <v>102.13958194080459</v>
      </c>
      <c r="F68" s="10">
        <f ca="1"/>
        <v>0</v>
      </c>
      <c r="G68" s="7">
        <f ca="1"/>
        <v>0</v>
      </c>
      <c r="H68" s="10">
        <f ca="1"/>
        <v>8.5496343716522034</v>
      </c>
      <c r="I68" s="7">
        <f ca="1"/>
        <v>0</v>
      </c>
      <c r="J68" s="7">
        <f ca="1"/>
        <v>8.5496343716522034</v>
      </c>
      <c r="K68">
        <f ca="1"/>
        <v>0</v>
      </c>
      <c r="L68">
        <f ca="1"/>
        <v>0</v>
      </c>
    </row>
    <row r="69" spans="2:12" x14ac:dyDescent="0.35">
      <c r="B69">
        <v>5.9000000000000004E-2</v>
      </c>
      <c r="C69">
        <f ca="1"/>
        <v>0.12257042437163782</v>
      </c>
      <c r="D69">
        <f ca="1"/>
        <v>1</v>
      </c>
      <c r="E69" s="11">
        <f ca="1"/>
        <v>102.36084545316177</v>
      </c>
      <c r="F69" s="10">
        <f ca="1"/>
        <v>0</v>
      </c>
      <c r="G69" s="7">
        <f ca="1"/>
        <v>0</v>
      </c>
      <c r="H69" s="10">
        <f ca="1"/>
        <v>8.5496343716522034</v>
      </c>
      <c r="I69" s="7">
        <f ca="1"/>
        <v>0</v>
      </c>
      <c r="J69" s="7">
        <f ca="1"/>
        <v>8.5496343716522034</v>
      </c>
      <c r="K69">
        <f ca="1"/>
        <v>0</v>
      </c>
      <c r="L69">
        <f ca="1"/>
        <v>0</v>
      </c>
    </row>
    <row r="70" spans="2:12" x14ac:dyDescent="0.35">
      <c r="B70">
        <v>0.06</v>
      </c>
      <c r="C70">
        <f ca="1"/>
        <v>0.12893895274137399</v>
      </c>
      <c r="D70">
        <f ca="1"/>
        <v>1</v>
      </c>
      <c r="E70" s="11">
        <f ca="1"/>
        <v>102.48925630378301</v>
      </c>
      <c r="F70" s="10">
        <f ca="1"/>
        <v>0</v>
      </c>
      <c r="G70" s="7">
        <f ca="1"/>
        <v>0</v>
      </c>
      <c r="H70" s="10">
        <f ca="1"/>
        <v>8.5496343716522034</v>
      </c>
      <c r="I70" s="7">
        <f ca="1"/>
        <v>0</v>
      </c>
      <c r="J70" s="7">
        <f ca="1"/>
        <v>8.5496343716522034</v>
      </c>
      <c r="K70">
        <f ca="1"/>
        <v>0</v>
      </c>
      <c r="L70">
        <f ca="1"/>
        <v>0</v>
      </c>
    </row>
    <row r="71" spans="2:12" x14ac:dyDescent="0.35">
      <c r="B71">
        <v>6.0999999999999999E-2</v>
      </c>
      <c r="C71">
        <f ca="1"/>
        <v>0.14950420134313197</v>
      </c>
      <c r="D71">
        <f ca="1"/>
        <v>1</v>
      </c>
      <c r="E71" s="11">
        <f ca="1"/>
        <v>102.90960960226161</v>
      </c>
      <c r="F71" s="10">
        <f ca="1"/>
        <v>0</v>
      </c>
      <c r="G71" s="7">
        <f ca="1"/>
        <v>0</v>
      </c>
      <c r="H71" s="10">
        <f ca="1"/>
        <v>8.5496343716522034</v>
      </c>
      <c r="I71" s="7">
        <f ca="1"/>
        <v>0</v>
      </c>
      <c r="J71" s="7">
        <f ca="1"/>
        <v>8.5496343716522034</v>
      </c>
      <c r="K71">
        <f ca="1"/>
        <v>0</v>
      </c>
      <c r="L71">
        <f ca="1"/>
        <v>0</v>
      </c>
    </row>
    <row r="72" spans="2:12" x14ac:dyDescent="0.35">
      <c r="B72">
        <v>6.2E-2</v>
      </c>
      <c r="C72">
        <f ca="1"/>
        <v>0.10317118419056062</v>
      </c>
      <c r="D72">
        <f ca="1"/>
        <v>1</v>
      </c>
      <c r="E72" s="11">
        <f ca="1"/>
        <v>101.95835267804038</v>
      </c>
      <c r="F72" s="10">
        <f ca="1"/>
        <v>0</v>
      </c>
      <c r="G72" s="7">
        <f ca="1"/>
        <v>0</v>
      </c>
      <c r="H72" s="10">
        <f ca="1"/>
        <v>8.5496343716522034</v>
      </c>
      <c r="I72" s="7">
        <f ca="1"/>
        <v>0</v>
      </c>
      <c r="J72" s="7">
        <f ca="1"/>
        <v>8.5496343716522034</v>
      </c>
      <c r="K72">
        <f ca="1"/>
        <v>0</v>
      </c>
      <c r="L72">
        <f ca="1"/>
        <v>0</v>
      </c>
    </row>
    <row r="73" spans="2:12" x14ac:dyDescent="0.35">
      <c r="B73">
        <v>6.3E-2</v>
      </c>
      <c r="C73">
        <f ca="1"/>
        <v>0.1123908633954525</v>
      </c>
      <c r="D73">
        <f ca="1"/>
        <v>1</v>
      </c>
      <c r="E73" s="11">
        <f ca="1"/>
        <v>102.14448786949848</v>
      </c>
      <c r="F73" s="10">
        <f ca="1"/>
        <v>0</v>
      </c>
      <c r="G73" s="7">
        <f ca="1"/>
        <v>0</v>
      </c>
      <c r="H73" s="10">
        <f ca="1"/>
        <v>8.5496343716522034</v>
      </c>
      <c r="I73" s="7">
        <f ca="1"/>
        <v>0</v>
      </c>
      <c r="J73" s="7">
        <f ca="1"/>
        <v>8.5496343716522034</v>
      </c>
      <c r="K73">
        <f ca="1"/>
        <v>0</v>
      </c>
      <c r="L73">
        <f ca="1"/>
        <v>0</v>
      </c>
    </row>
    <row r="74" spans="2:12" x14ac:dyDescent="0.35">
      <c r="B74">
        <v>6.4000000000000001E-2</v>
      </c>
      <c r="C74">
        <f ca="1"/>
        <v>0.12175290217301246</v>
      </c>
      <c r="D74">
        <f ca="1"/>
        <v>1</v>
      </c>
      <c r="E74" s="11">
        <f ca="1"/>
        <v>102.3338764693104</v>
      </c>
      <c r="F74" s="10">
        <f ca="1"/>
        <v>0</v>
      </c>
      <c r="G74" s="7">
        <f ca="1"/>
        <v>0</v>
      </c>
      <c r="H74" s="10">
        <f ca="1"/>
        <v>8.5496343716522034</v>
      </c>
      <c r="I74" s="7">
        <f ca="1"/>
        <v>0</v>
      </c>
      <c r="J74" s="7">
        <f ca="1"/>
        <v>8.5496343716522034</v>
      </c>
      <c r="K74">
        <f ca="1"/>
        <v>0</v>
      </c>
      <c r="L74">
        <f ca="1"/>
        <v>0</v>
      </c>
    </row>
    <row r="75" spans="2:12" x14ac:dyDescent="0.35">
      <c r="B75">
        <v>6.5000000000000002E-2</v>
      </c>
      <c r="C75">
        <f ca="1"/>
        <v>0.13611216867006476</v>
      </c>
      <c r="D75">
        <f ca="1"/>
        <v>1</v>
      </c>
      <c r="E75" s="11">
        <f ca="1"/>
        <v>102.62613421258628</v>
      </c>
      <c r="F75" s="10">
        <f ca="1"/>
        <v>0</v>
      </c>
      <c r="G75" s="7">
        <f ca="1"/>
        <v>0</v>
      </c>
      <c r="H75" s="10">
        <f ca="1"/>
        <v>8.5496343716522034</v>
      </c>
      <c r="I75" s="7">
        <f ca="1"/>
        <v>0</v>
      </c>
      <c r="J75" s="7">
        <f ca="1"/>
        <v>8.5496343716522034</v>
      </c>
      <c r="K75">
        <f ca="1"/>
        <v>0</v>
      </c>
      <c r="L75">
        <f ca="1"/>
        <v>0</v>
      </c>
    </row>
    <row r="76" spans="2:12" x14ac:dyDescent="0.35">
      <c r="B76">
        <v>6.6000000000000003E-2</v>
      </c>
      <c r="C76">
        <f ca="1"/>
        <v>0.12760221132852456</v>
      </c>
      <c r="D76">
        <f ca="1"/>
        <v>1</v>
      </c>
      <c r="E76" s="11">
        <f ca="1"/>
        <v>102.44956495405621</v>
      </c>
      <c r="F76" s="10">
        <f ca="1"/>
        <v>0</v>
      </c>
      <c r="G76" s="7">
        <f ca="1"/>
        <v>0</v>
      </c>
      <c r="H76" s="10">
        <f ca="1"/>
        <v>8.5496343716522034</v>
      </c>
      <c r="I76" s="7">
        <f ca="1"/>
        <v>0</v>
      </c>
      <c r="J76" s="7">
        <f ca="1"/>
        <v>8.5496343716522034</v>
      </c>
      <c r="K76">
        <f ca="1"/>
        <v>0</v>
      </c>
      <c r="L76">
        <f ca="1"/>
        <v>0</v>
      </c>
    </row>
    <row r="77" spans="2:12" x14ac:dyDescent="0.35">
      <c r="B77">
        <v>6.7000000000000004E-2</v>
      </c>
      <c r="C77">
        <f ca="1"/>
        <v>0.13671022752903467</v>
      </c>
      <c r="D77">
        <f ca="1"/>
        <v>1</v>
      </c>
      <c r="E77" s="11">
        <f ca="1"/>
        <v>102.63430478619593</v>
      </c>
      <c r="F77" s="10">
        <f ca="1"/>
        <v>0</v>
      </c>
      <c r="G77" s="7">
        <f ca="1"/>
        <v>0</v>
      </c>
      <c r="H77" s="10">
        <f ca="1"/>
        <v>8.5496343716522034</v>
      </c>
      <c r="I77" s="7">
        <f ca="1"/>
        <v>0</v>
      </c>
      <c r="J77" s="7">
        <f ca="1"/>
        <v>8.5496343716522034</v>
      </c>
      <c r="K77">
        <f ca="1"/>
        <v>0</v>
      </c>
      <c r="L77">
        <f ca="1"/>
        <v>0</v>
      </c>
    </row>
    <row r="78" spans="2:12" x14ac:dyDescent="0.35">
      <c r="B78">
        <v>6.8000000000000005E-2</v>
      </c>
      <c r="C78">
        <f ca="1"/>
        <v>0.15849406260749832</v>
      </c>
      <c r="D78">
        <f ca="1"/>
        <v>1</v>
      </c>
      <c r="E78" s="11">
        <f ca="1"/>
        <v>103.08037240040969</v>
      </c>
      <c r="F78" s="10">
        <f ca="1"/>
        <v>0</v>
      </c>
      <c r="G78" s="7">
        <f ca="1"/>
        <v>0</v>
      </c>
      <c r="H78" s="10">
        <f ca="1"/>
        <v>8.5496343716522034</v>
      </c>
      <c r="I78" s="7">
        <f ca="1"/>
        <v>0</v>
      </c>
      <c r="J78" s="7">
        <f ca="1"/>
        <v>8.5496343716522034</v>
      </c>
      <c r="K78">
        <f ca="1"/>
        <v>0</v>
      </c>
      <c r="L78">
        <f ca="1"/>
        <v>0</v>
      </c>
    </row>
    <row r="79" spans="2:12" x14ac:dyDescent="0.35">
      <c r="B79">
        <v>6.9000000000000006E-2</v>
      </c>
      <c r="C79">
        <f ca="1"/>
        <v>0.22667273040268143</v>
      </c>
      <c r="D79">
        <f ca="1"/>
        <v>1</v>
      </c>
      <c r="E79" s="11">
        <f ca="1"/>
        <v>104.49348574241249</v>
      </c>
      <c r="F79" s="10">
        <f ca="1"/>
        <v>0</v>
      </c>
      <c r="G79" s="7">
        <f ca="1"/>
        <v>0</v>
      </c>
      <c r="H79" s="10">
        <f ca="1"/>
        <v>8.5496343716522034</v>
      </c>
      <c r="I79" s="7">
        <f ca="1"/>
        <v>0</v>
      </c>
      <c r="J79" s="7">
        <f ca="1"/>
        <v>8.5496343716522034</v>
      </c>
      <c r="K79">
        <f ca="1"/>
        <v>0</v>
      </c>
      <c r="L79">
        <f ca="1"/>
        <v>0</v>
      </c>
    </row>
    <row r="80" spans="2:12" x14ac:dyDescent="0.35">
      <c r="B80">
        <v>7.0000000000000007E-2</v>
      </c>
      <c r="C80">
        <f ca="1"/>
        <v>0.23139436243450109</v>
      </c>
      <c r="D80">
        <f ca="1"/>
        <v>1</v>
      </c>
      <c r="E80" s="11">
        <f ca="1"/>
        <v>104.5901164828698</v>
      </c>
      <c r="F80" s="10">
        <f ca="1"/>
        <v>0</v>
      </c>
      <c r="G80" s="7">
        <f ca="1"/>
        <v>0</v>
      </c>
      <c r="H80" s="10">
        <f ca="1"/>
        <v>8.5496343716522034</v>
      </c>
      <c r="I80" s="7">
        <f ca="1"/>
        <v>0</v>
      </c>
      <c r="J80" s="7">
        <f ca="1"/>
        <v>8.5496343716522034</v>
      </c>
      <c r="K80">
        <f ca="1"/>
        <v>0</v>
      </c>
      <c r="L80">
        <f ca="1"/>
        <v>0</v>
      </c>
    </row>
    <row r="81" spans="2:12" x14ac:dyDescent="0.35">
      <c r="B81">
        <v>7.1000000000000008E-2</v>
      </c>
      <c r="C81">
        <f ca="1"/>
        <v>0.21693354022585887</v>
      </c>
      <c r="D81">
        <f ca="1"/>
        <v>1</v>
      </c>
      <c r="E81" s="11">
        <f ca="1"/>
        <v>104.2859759332828</v>
      </c>
      <c r="F81" s="10">
        <f ca="1"/>
        <v>0</v>
      </c>
      <c r="G81" s="7">
        <f ca="1"/>
        <v>0</v>
      </c>
      <c r="H81" s="10">
        <f ca="1"/>
        <v>8.5496343716522034</v>
      </c>
      <c r="I81" s="7">
        <f ca="1"/>
        <v>0</v>
      </c>
      <c r="J81" s="7">
        <f ca="1"/>
        <v>8.5496343716522034</v>
      </c>
      <c r="K81">
        <f ca="1"/>
        <v>0</v>
      </c>
      <c r="L81">
        <f ca="1"/>
        <v>0</v>
      </c>
    </row>
    <row r="82" spans="2:12" x14ac:dyDescent="0.35">
      <c r="B82">
        <v>7.2000000000000008E-2</v>
      </c>
      <c r="C82">
        <f ca="1"/>
        <v>0.16062189376337435</v>
      </c>
      <c r="D82">
        <f ca="1"/>
        <v>1</v>
      </c>
      <c r="E82" s="11">
        <f ca="1"/>
        <v>103.11599965164116</v>
      </c>
      <c r="F82" s="10">
        <f ca="1"/>
        <v>0</v>
      </c>
      <c r="G82" s="7">
        <f ca="1"/>
        <v>0</v>
      </c>
      <c r="H82" s="10">
        <f ca="1"/>
        <v>8.5496343716522034</v>
      </c>
      <c r="I82" s="7">
        <f ca="1"/>
        <v>0</v>
      </c>
      <c r="J82" s="7">
        <f ca="1"/>
        <v>8.5496343716522034</v>
      </c>
      <c r="K82">
        <f ca="1"/>
        <v>0</v>
      </c>
      <c r="L82">
        <f ca="1"/>
        <v>0</v>
      </c>
    </row>
    <row r="83" spans="2:12" x14ac:dyDescent="0.35">
      <c r="B83">
        <v>7.2999999999999995E-2</v>
      </c>
      <c r="C83">
        <f ca="1"/>
        <v>0.15075657600946502</v>
      </c>
      <c r="D83">
        <f ca="1"/>
        <v>1</v>
      </c>
      <c r="E83" s="11">
        <f ca="1"/>
        <v>102.91068757920054</v>
      </c>
      <c r="F83" s="10">
        <f ca="1"/>
        <v>0</v>
      </c>
      <c r="G83" s="7">
        <f ca="1"/>
        <v>0</v>
      </c>
      <c r="H83" s="10">
        <f ca="1"/>
        <v>8.5496343716522034</v>
      </c>
      <c r="I83" s="7">
        <f ca="1"/>
        <v>0</v>
      </c>
      <c r="J83" s="7">
        <f ca="1"/>
        <v>8.5496343716522034</v>
      </c>
      <c r="K83">
        <f ca="1"/>
        <v>0</v>
      </c>
      <c r="L83">
        <f ca="1"/>
        <v>0</v>
      </c>
    </row>
    <row r="84" spans="2:12" x14ac:dyDescent="0.35">
      <c r="B84">
        <v>7.3999999999999996E-2</v>
      </c>
      <c r="C84">
        <f ca="1"/>
        <v>0.12171052060590101</v>
      </c>
      <c r="D84">
        <f ca="1"/>
        <v>1</v>
      </c>
      <c r="E84" s="11">
        <f ca="1"/>
        <v>102.3125445036879</v>
      </c>
      <c r="F84" s="10">
        <f ca="1"/>
        <v>0</v>
      </c>
      <c r="G84" s="7">
        <f ca="1"/>
        <v>0</v>
      </c>
      <c r="H84" s="10">
        <f ca="1"/>
        <v>8.5496343716522034</v>
      </c>
      <c r="I84" s="7">
        <f ca="1"/>
        <v>0</v>
      </c>
      <c r="J84" s="7">
        <f ca="1"/>
        <v>8.5496343716522034</v>
      </c>
      <c r="K84">
        <f ca="1"/>
        <v>0</v>
      </c>
      <c r="L84">
        <f ca="1"/>
        <v>0</v>
      </c>
    </row>
    <row r="85" spans="2:12" x14ac:dyDescent="0.35">
      <c r="B85">
        <v>7.4999999999999997E-2</v>
      </c>
      <c r="C85">
        <f ca="1"/>
        <v>0.13961767616813958</v>
      </c>
      <c r="D85">
        <f ca="1"/>
        <v>1</v>
      </c>
      <c r="E85" s="11">
        <f ca="1"/>
        <v>102.67757320934274</v>
      </c>
      <c r="F85" s="10">
        <f ca="1"/>
        <v>0</v>
      </c>
      <c r="G85" s="7">
        <f ca="1"/>
        <v>0</v>
      </c>
      <c r="H85" s="10">
        <f ca="1"/>
        <v>8.5496343716522034</v>
      </c>
      <c r="I85" s="7">
        <f ca="1"/>
        <v>0</v>
      </c>
      <c r="J85" s="7">
        <f ca="1"/>
        <v>8.5496343716522034</v>
      </c>
      <c r="K85">
        <f ca="1"/>
        <v>0</v>
      </c>
      <c r="L85">
        <f ca="1"/>
        <v>0</v>
      </c>
    </row>
    <row r="86" spans="2:12" x14ac:dyDescent="0.35">
      <c r="B86">
        <v>7.5999999999999998E-2</v>
      </c>
      <c r="C86">
        <f ca="1"/>
        <v>0.15472250136393062</v>
      </c>
      <c r="D86">
        <f ca="1"/>
        <v>1</v>
      </c>
      <c r="E86" s="11">
        <f ca="1"/>
        <v>102.98616782608279</v>
      </c>
      <c r="F86" s="10">
        <f ca="1"/>
        <v>0</v>
      </c>
      <c r="G86" s="7">
        <f ca="1"/>
        <v>0</v>
      </c>
      <c r="H86" s="10">
        <f ca="1"/>
        <v>8.5496343716522034</v>
      </c>
      <c r="I86" s="7">
        <f ca="1"/>
        <v>0</v>
      </c>
      <c r="J86" s="7">
        <f ca="1"/>
        <v>8.5496343716522034</v>
      </c>
      <c r="K86">
        <f ca="1"/>
        <v>0</v>
      </c>
      <c r="L86">
        <f ca="1"/>
        <v>0</v>
      </c>
    </row>
    <row r="87" spans="2:12" x14ac:dyDescent="0.35">
      <c r="B87">
        <v>7.6999999999999999E-2</v>
      </c>
      <c r="C87">
        <f ca="1"/>
        <v>0.18516354332226459</v>
      </c>
      <c r="D87">
        <f ca="1"/>
        <v>1</v>
      </c>
      <c r="E87" s="11">
        <f ca="1"/>
        <v>103.61300933283417</v>
      </c>
      <c r="F87" s="10">
        <f ca="1"/>
        <v>0</v>
      </c>
      <c r="G87" s="7">
        <f ca="1"/>
        <v>0</v>
      </c>
      <c r="H87" s="10">
        <f ca="1"/>
        <v>8.5496343716522034</v>
      </c>
      <c r="I87" s="7">
        <f ca="1"/>
        <v>0</v>
      </c>
      <c r="J87" s="7">
        <f ca="1"/>
        <v>8.5496343716522034</v>
      </c>
      <c r="K87">
        <f ca="1"/>
        <v>0</v>
      </c>
      <c r="L87">
        <f ca="1"/>
        <v>0</v>
      </c>
    </row>
    <row r="88" spans="2:12" x14ac:dyDescent="0.35">
      <c r="B88">
        <v>7.8E-2</v>
      </c>
      <c r="C88">
        <f ca="1"/>
        <v>0.18214270888175652</v>
      </c>
      <c r="D88">
        <f ca="1"/>
        <v>1</v>
      </c>
      <c r="E88" s="11">
        <f ca="1"/>
        <v>103.54835770203459</v>
      </c>
      <c r="F88" s="10">
        <f ca="1"/>
        <v>0</v>
      </c>
      <c r="G88" s="7">
        <f ca="1"/>
        <v>0</v>
      </c>
      <c r="H88" s="10">
        <f ca="1"/>
        <v>8.5496343716522034</v>
      </c>
      <c r="I88" s="7">
        <f ca="1"/>
        <v>0</v>
      </c>
      <c r="J88" s="7">
        <f ca="1"/>
        <v>8.5496343716522034</v>
      </c>
      <c r="K88">
        <f ca="1"/>
        <v>0</v>
      </c>
      <c r="L88">
        <f ca="1"/>
        <v>0</v>
      </c>
    </row>
    <row r="89" spans="2:12" x14ac:dyDescent="0.35">
      <c r="B89">
        <v>7.9000000000000001E-2</v>
      </c>
      <c r="C89">
        <f ca="1"/>
        <v>0.13662582260183359</v>
      </c>
      <c r="D89">
        <f ca="1"/>
        <v>1</v>
      </c>
      <c r="E89" s="11">
        <f ca="1"/>
        <v>102.60794337086061</v>
      </c>
      <c r="F89" s="10">
        <f ca="1"/>
        <v>0</v>
      </c>
      <c r="G89" s="7">
        <f ca="1"/>
        <v>0</v>
      </c>
      <c r="H89" s="10">
        <f ca="1"/>
        <v>8.5496343716522034</v>
      </c>
      <c r="I89" s="7">
        <f ca="1"/>
        <v>0</v>
      </c>
      <c r="J89" s="7">
        <f ca="1"/>
        <v>8.5496343716522034</v>
      </c>
      <c r="K89">
        <f ca="1"/>
        <v>0</v>
      </c>
      <c r="L89">
        <f ca="1"/>
        <v>0</v>
      </c>
    </row>
    <row r="90" spans="2:12" x14ac:dyDescent="0.35">
      <c r="B90">
        <v>0.08</v>
      </c>
      <c r="C90">
        <f ca="1"/>
        <v>0.10702806549477856</v>
      </c>
      <c r="D90">
        <f ca="1"/>
        <v>1</v>
      </c>
      <c r="E90" s="11">
        <f ca="1"/>
        <v>102.00030455233782</v>
      </c>
      <c r="F90" s="10">
        <f ca="1"/>
        <v>0</v>
      </c>
      <c r="G90" s="7">
        <f ca="1"/>
        <v>0</v>
      </c>
      <c r="H90" s="10">
        <f ca="1"/>
        <v>8.5496343716522034</v>
      </c>
      <c r="I90" s="7">
        <f ca="1"/>
        <v>0</v>
      </c>
      <c r="J90" s="7">
        <f ca="1"/>
        <v>8.5496343716522034</v>
      </c>
      <c r="K90">
        <f ca="1"/>
        <v>0</v>
      </c>
      <c r="L90">
        <f ca="1"/>
        <v>0</v>
      </c>
    </row>
    <row r="91" spans="2:12" x14ac:dyDescent="0.35">
      <c r="B91">
        <v>8.1000000000000003E-2</v>
      </c>
      <c r="C91">
        <f ca="1"/>
        <v>9.6611756610503127E-2</v>
      </c>
      <c r="D91">
        <f ca="1"/>
        <v>1</v>
      </c>
      <c r="E91" s="11">
        <f ca="1"/>
        <v>101.78599666234504</v>
      </c>
      <c r="F91" s="10">
        <f ca="1"/>
        <v>0</v>
      </c>
      <c r="G91" s="7">
        <f ca="1"/>
        <v>0</v>
      </c>
      <c r="H91" s="10">
        <f ca="1"/>
        <v>8.5496343716522034</v>
      </c>
      <c r="I91" s="7">
        <f ca="1"/>
        <v>0</v>
      </c>
      <c r="J91" s="7">
        <f ca="1"/>
        <v>8.5496343716522034</v>
      </c>
      <c r="K91">
        <f ca="1"/>
        <v>0</v>
      </c>
      <c r="L91">
        <f ca="1"/>
        <v>0</v>
      </c>
    </row>
    <row r="92" spans="2:12" x14ac:dyDescent="0.35">
      <c r="B92">
        <v>8.2000000000000003E-2</v>
      </c>
      <c r="C92">
        <f ca="1"/>
        <v>8.8076053753985861E-2</v>
      </c>
      <c r="D92">
        <f ca="1"/>
        <v>1</v>
      </c>
      <c r="E92" s="11">
        <f ca="1"/>
        <v>101.61034966510967</v>
      </c>
      <c r="F92" s="10">
        <f ca="1"/>
        <v>0</v>
      </c>
      <c r="G92" s="7">
        <f ca="1"/>
        <v>0</v>
      </c>
      <c r="H92" s="10">
        <f ca="1"/>
        <v>8.5496343716522034</v>
      </c>
      <c r="I92" s="7">
        <f ca="1"/>
        <v>0</v>
      </c>
      <c r="J92" s="7">
        <f ca="1"/>
        <v>8.5496343716522034</v>
      </c>
      <c r="K92">
        <f ca="1"/>
        <v>0</v>
      </c>
      <c r="L92">
        <f ca="1"/>
        <v>0</v>
      </c>
    </row>
    <row r="93" spans="2:12" x14ac:dyDescent="0.35">
      <c r="B93">
        <v>8.3000000000000004E-2</v>
      </c>
      <c r="C93">
        <f ca="1"/>
        <v>5.3521140183391783E-2</v>
      </c>
      <c r="D93">
        <f ca="1"/>
        <v>1</v>
      </c>
      <c r="E93" s="11">
        <f ca="1"/>
        <v>100.90852506464141</v>
      </c>
      <c r="F93" s="10">
        <f ca="1"/>
        <v>0</v>
      </c>
      <c r="G93" s="7">
        <f ca="1"/>
        <v>0</v>
      </c>
      <c r="H93" s="10">
        <f ca="1"/>
        <v>8.5496343716522034</v>
      </c>
      <c r="I93" s="7">
        <f ca="1"/>
        <v>0</v>
      </c>
      <c r="J93" s="7">
        <f ca="1"/>
        <v>8.5496343716522034</v>
      </c>
      <c r="K93">
        <f ca="1"/>
        <v>0</v>
      </c>
      <c r="L93">
        <f ca="1"/>
        <v>0</v>
      </c>
    </row>
    <row r="94" spans="2:12" x14ac:dyDescent="0.35">
      <c r="B94">
        <v>8.4000000000000005E-2</v>
      </c>
      <c r="C94">
        <f ca="1"/>
        <v>4.5590055104307407E-2</v>
      </c>
      <c r="D94">
        <f ca="1"/>
        <v>1</v>
      </c>
      <c r="E94" s="11">
        <f ca="1"/>
        <v>100.74657417359857</v>
      </c>
      <c r="F94" s="10">
        <f ca="1"/>
        <v>0</v>
      </c>
      <c r="G94" s="7">
        <f ca="1"/>
        <v>0</v>
      </c>
      <c r="H94" s="10">
        <f ca="1"/>
        <v>8.5496343716522034</v>
      </c>
      <c r="I94" s="7">
        <f ca="1"/>
        <v>0</v>
      </c>
      <c r="J94" s="7">
        <f ca="1"/>
        <v>8.5496343716522034</v>
      </c>
      <c r="K94">
        <f ca="1"/>
        <v>0</v>
      </c>
      <c r="L94">
        <f ca="1"/>
        <v>0</v>
      </c>
    </row>
    <row r="95" spans="2:12" x14ac:dyDescent="0.35">
      <c r="B95">
        <v>8.5000000000000006E-2</v>
      </c>
      <c r="C95">
        <f ca="1"/>
        <v>7.6409494220771493E-2</v>
      </c>
      <c r="D95">
        <f ca="1"/>
        <v>1</v>
      </c>
      <c r="E95" s="11">
        <f ca="1"/>
        <v>101.36745518248711</v>
      </c>
      <c r="F95" s="10">
        <f ca="1"/>
        <v>0</v>
      </c>
      <c r="G95" s="7">
        <f ca="1"/>
        <v>0</v>
      </c>
      <c r="H95" s="10">
        <f ca="1"/>
        <v>8.5496343716522034</v>
      </c>
      <c r="I95" s="7">
        <f ca="1"/>
        <v>0</v>
      </c>
      <c r="J95" s="7">
        <f ca="1"/>
        <v>8.5496343716522034</v>
      </c>
      <c r="K95">
        <f ca="1"/>
        <v>0</v>
      </c>
      <c r="L95">
        <f ca="1"/>
        <v>0</v>
      </c>
    </row>
    <row r="96" spans="2:12" x14ac:dyDescent="0.35">
      <c r="B96">
        <v>8.6000000000000007E-2</v>
      </c>
      <c r="C96">
        <f ca="1"/>
        <v>9.436564751453104E-2</v>
      </c>
      <c r="D96">
        <f ca="1"/>
        <v>1</v>
      </c>
      <c r="E96" s="11">
        <f ca="1"/>
        <v>101.73010892087801</v>
      </c>
      <c r="F96" s="10">
        <f ca="1"/>
        <v>0</v>
      </c>
      <c r="G96" s="7">
        <f ca="1"/>
        <v>0</v>
      </c>
      <c r="H96" s="10">
        <f ca="1"/>
        <v>8.5496343716522034</v>
      </c>
      <c r="I96" s="7">
        <f ca="1"/>
        <v>0</v>
      </c>
      <c r="J96" s="7">
        <f ca="1"/>
        <v>8.5496343716522034</v>
      </c>
      <c r="K96">
        <f ca="1"/>
        <v>0</v>
      </c>
      <c r="L96">
        <f ca="1"/>
        <v>0</v>
      </c>
    </row>
    <row r="97" spans="2:12" x14ac:dyDescent="0.35">
      <c r="B97">
        <v>8.7000000000000008E-2</v>
      </c>
      <c r="C97">
        <f ca="1"/>
        <v>7.2753804683790224E-2</v>
      </c>
      <c r="D97">
        <f ca="1"/>
        <v>1</v>
      </c>
      <c r="E97" s="11">
        <f ca="1"/>
        <v>101.28931702673864</v>
      </c>
      <c r="F97" s="10">
        <f ca="1"/>
        <v>0</v>
      </c>
      <c r="G97" s="7">
        <f ca="1"/>
        <v>0</v>
      </c>
      <c r="H97" s="10">
        <f ca="1"/>
        <v>8.5496343716522034</v>
      </c>
      <c r="I97" s="7">
        <f ca="1"/>
        <v>0</v>
      </c>
      <c r="J97" s="7">
        <f ca="1"/>
        <v>8.5496343716522034</v>
      </c>
      <c r="K97">
        <f ca="1"/>
        <v>0</v>
      </c>
      <c r="L97">
        <f ca="1"/>
        <v>0</v>
      </c>
    </row>
    <row r="98" spans="2:12" x14ac:dyDescent="0.35">
      <c r="B98">
        <v>8.7999999999999995E-2</v>
      </c>
      <c r="C98">
        <f ca="1"/>
        <v>1.5369631705269358E-2</v>
      </c>
      <c r="D98">
        <f ca="1"/>
        <v>1</v>
      </c>
      <c r="E98" s="11">
        <f ca="1"/>
        <v>100.1314789920454</v>
      </c>
      <c r="F98" s="10">
        <f ca="1"/>
        <v>0</v>
      </c>
      <c r="G98" s="7">
        <f ca="1"/>
        <v>0</v>
      </c>
      <c r="H98" s="10">
        <f ca="1"/>
        <v>8.5496343716522034</v>
      </c>
      <c r="I98" s="7">
        <f ca="1"/>
        <v>0</v>
      </c>
      <c r="J98" s="7">
        <f ca="1"/>
        <v>8.5496343716522034</v>
      </c>
      <c r="K98">
        <f ca="1"/>
        <v>0</v>
      </c>
      <c r="L98">
        <f ca="1"/>
        <v>0</v>
      </c>
    </row>
    <row r="99" spans="2:12" x14ac:dyDescent="0.35">
      <c r="B99">
        <v>8.8999999999999996E-2</v>
      </c>
      <c r="C99">
        <f ca="1"/>
        <v>4.243133638579347E-3</v>
      </c>
      <c r="D99">
        <f ca="1"/>
        <v>1</v>
      </c>
      <c r="E99" s="11">
        <f ca="1"/>
        <v>99.906906032117917</v>
      </c>
      <c r="F99" s="10">
        <f ca="1"/>
        <v>-99.906906032117917</v>
      </c>
      <c r="G99" s="7">
        <f ca="1"/>
        <v>1</v>
      </c>
      <c r="H99" s="10">
        <f ca="1"/>
        <v>-91.357271660465713</v>
      </c>
      <c r="I99" s="7">
        <f ca="1"/>
        <v>1</v>
      </c>
      <c r="J99">
        <f ca="1"/>
        <v>8.5496343716522034</v>
      </c>
      <c r="K99">
        <f ca="1"/>
        <v>0</v>
      </c>
      <c r="L99">
        <f ca="1"/>
        <v>9.3093967882083462E-2</v>
      </c>
    </row>
    <row r="100" spans="2:12" x14ac:dyDescent="0.35">
      <c r="B100">
        <v>0.09</v>
      </c>
      <c r="C100">
        <f ca="1"/>
        <v>-4.5074635279701271E-2</v>
      </c>
      <c r="D100">
        <f ca="1"/>
        <v>1</v>
      </c>
      <c r="E100" s="11">
        <f ca="1"/>
        <v>98.924334401270286</v>
      </c>
      <c r="F100" s="10">
        <f ca="1"/>
        <v>0</v>
      </c>
      <c r="G100" s="7">
        <f ca="1"/>
        <v>0</v>
      </c>
      <c r="H100" s="10">
        <f ca="1"/>
        <v>-91.357271660465713</v>
      </c>
      <c r="I100" s="7">
        <f ca="1"/>
        <v>1</v>
      </c>
      <c r="J100">
        <f ca="1"/>
        <v>7.5670627408045732</v>
      </c>
      <c r="K100">
        <f ca="1"/>
        <v>0</v>
      </c>
      <c r="L100">
        <f ca="1"/>
        <v>1.0756655987297137</v>
      </c>
    </row>
    <row r="101" spans="2:12" x14ac:dyDescent="0.35">
      <c r="B101">
        <v>9.0999999999999998E-2</v>
      </c>
      <c r="C101">
        <f ca="1"/>
        <v>-3.7628210083123989E-2</v>
      </c>
      <c r="D101">
        <f ca="1"/>
        <v>1</v>
      </c>
      <c r="E101" s="11">
        <f ca="1"/>
        <v>99.069789276999416</v>
      </c>
      <c r="F101" s="10">
        <f ca="1"/>
        <v>0</v>
      </c>
      <c r="G101" s="7">
        <f ca="1"/>
        <v>0</v>
      </c>
      <c r="H101" s="10">
        <f ca="1"/>
        <v>-91.357271660465713</v>
      </c>
      <c r="I101" s="7">
        <f ca="1"/>
        <v>1</v>
      </c>
      <c r="J101">
        <f ca="1"/>
        <v>7.7125176165337024</v>
      </c>
      <c r="K101">
        <f ca="1"/>
        <v>0</v>
      </c>
      <c r="L101">
        <f ca="1"/>
        <v>0.93021072300058449</v>
      </c>
    </row>
    <row r="102" spans="2:12" x14ac:dyDescent="0.35">
      <c r="B102">
        <v>9.1999999999999998E-2</v>
      </c>
      <c r="C102">
        <f ca="1"/>
        <v>-5.2558643137544166E-2</v>
      </c>
      <c r="D102">
        <f ca="1"/>
        <v>1</v>
      </c>
      <c r="E102" s="11">
        <f ca="1"/>
        <v>98.772424086599159</v>
      </c>
      <c r="F102" s="10">
        <f ca="1"/>
        <v>0</v>
      </c>
      <c r="G102" s="7">
        <f ca="1"/>
        <v>0</v>
      </c>
      <c r="H102" s="10">
        <f ca="1"/>
        <v>-91.357271660465713</v>
      </c>
      <c r="I102" s="7">
        <f ca="1"/>
        <v>1</v>
      </c>
      <c r="J102">
        <f ca="1"/>
        <v>7.4151524261334458</v>
      </c>
      <c r="K102">
        <f ca="1"/>
        <v>0</v>
      </c>
      <c r="L102">
        <f ca="1"/>
        <v>1.227575913400841</v>
      </c>
    </row>
    <row r="103" spans="2:12" x14ac:dyDescent="0.35">
      <c r="B103">
        <v>9.2999999999999999E-2</v>
      </c>
      <c r="C103">
        <f ca="1"/>
        <v>-0.12108266978724713</v>
      </c>
      <c r="D103">
        <f ca="1"/>
        <v>1</v>
      </c>
      <c r="E103" s="11">
        <f ca="1"/>
        <v>97.42605227419449</v>
      </c>
      <c r="F103" s="10">
        <f ca="1"/>
        <v>0</v>
      </c>
      <c r="G103" s="7">
        <f ca="1"/>
        <v>0</v>
      </c>
      <c r="H103" s="10">
        <f ca="1"/>
        <v>-91.357271660465713</v>
      </c>
      <c r="I103" s="7">
        <f ca="1"/>
        <v>1</v>
      </c>
      <c r="J103">
        <f ca="1"/>
        <v>6.0687806137287765</v>
      </c>
      <c r="K103">
        <f ca="1"/>
        <v>0</v>
      </c>
      <c r="L103">
        <f ca="1"/>
        <v>2.5739477258055103</v>
      </c>
    </row>
    <row r="104" spans="2:12" x14ac:dyDescent="0.35">
      <c r="B104">
        <v>9.4E-2</v>
      </c>
      <c r="C104">
        <f ca="1"/>
        <v>-0.12352805488776943</v>
      </c>
      <c r="D104">
        <f ca="1"/>
        <v>1</v>
      </c>
      <c r="E104" s="11">
        <f ca="1"/>
        <v>97.37646753211942</v>
      </c>
      <c r="F104" s="10">
        <f ca="1"/>
        <v>0</v>
      </c>
      <c r="G104" s="7">
        <f ca="1"/>
        <v>0</v>
      </c>
      <c r="H104" s="10">
        <f ca="1"/>
        <v>-91.357271660465713</v>
      </c>
      <c r="I104" s="7">
        <f ca="1"/>
        <v>1</v>
      </c>
      <c r="J104">
        <f ca="1"/>
        <v>6.0191958716537073</v>
      </c>
      <c r="K104">
        <f ca="1"/>
        <v>0</v>
      </c>
      <c r="L104">
        <f ca="1"/>
        <v>2.6235324678805796</v>
      </c>
    </row>
    <row r="105" spans="2:12" x14ac:dyDescent="0.35">
      <c r="B105">
        <v>9.5000000000000001E-2</v>
      </c>
      <c r="C105">
        <f ca="1"/>
        <v>-0.10623246337980677</v>
      </c>
      <c r="D105">
        <f ca="1"/>
        <v>1</v>
      </c>
      <c r="E105" s="11">
        <f ca="1"/>
        <v>97.711933246247767</v>
      </c>
      <c r="F105" s="10">
        <f ca="1"/>
        <v>0</v>
      </c>
      <c r="G105" s="7">
        <f ca="1"/>
        <v>0</v>
      </c>
      <c r="H105" s="10">
        <f ca="1"/>
        <v>-91.357271660465713</v>
      </c>
      <c r="I105" s="7">
        <f ca="1"/>
        <v>1</v>
      </c>
      <c r="J105">
        <f ca="1"/>
        <v>6.3546615857820541</v>
      </c>
      <c r="K105">
        <f ca="1"/>
        <v>0</v>
      </c>
      <c r="L105">
        <f ca="1"/>
        <v>2.2880667537522328</v>
      </c>
    </row>
    <row r="106" spans="2:12" x14ac:dyDescent="0.35">
      <c r="B106">
        <v>9.6000000000000002E-2</v>
      </c>
      <c r="C106">
        <f ca="1"/>
        <v>-0.11427859630980626</v>
      </c>
      <c r="D106">
        <f ca="1"/>
        <v>1</v>
      </c>
      <c r="E106" s="11">
        <f ca="1"/>
        <v>97.552867978699908</v>
      </c>
      <c r="F106" s="10">
        <f ca="1"/>
        <v>0</v>
      </c>
      <c r="G106" s="7">
        <f ca="1"/>
        <v>0</v>
      </c>
      <c r="H106" s="10">
        <f ca="1"/>
        <v>-91.357271660465713</v>
      </c>
      <c r="I106" s="7">
        <f ca="1"/>
        <v>1</v>
      </c>
      <c r="J106">
        <f ca="1"/>
        <v>6.1955963182341947</v>
      </c>
      <c r="K106">
        <f ca="1"/>
        <v>0</v>
      </c>
      <c r="L106">
        <f ca="1"/>
        <v>2.4471320213000922</v>
      </c>
    </row>
    <row r="107" spans="2:12" x14ac:dyDescent="0.35">
      <c r="B107">
        <v>9.7000000000000003E-2</v>
      </c>
      <c r="C107">
        <f ca="1"/>
        <v>-0.14966471410674498</v>
      </c>
      <c r="D107">
        <f ca="1"/>
        <v>1</v>
      </c>
      <c r="E107" s="11">
        <f ca="1"/>
        <v>96.862964561090848</v>
      </c>
      <c r="F107" s="10">
        <f ca="1"/>
        <v>0</v>
      </c>
      <c r="G107" s="7">
        <f ca="1"/>
        <v>0</v>
      </c>
      <c r="H107" s="10">
        <f ca="1"/>
        <v>-91.357271660465713</v>
      </c>
      <c r="I107" s="7">
        <f ca="1"/>
        <v>1</v>
      </c>
      <c r="J107">
        <f ca="1"/>
        <v>5.5056929006251352</v>
      </c>
      <c r="K107">
        <f ca="1"/>
        <v>0</v>
      </c>
      <c r="L107">
        <f ca="1"/>
        <v>3.1370354389091517</v>
      </c>
    </row>
    <row r="108" spans="2:12" x14ac:dyDescent="0.35">
      <c r="B108">
        <v>9.8000000000000004E-2</v>
      </c>
      <c r="C108">
        <f ca="1"/>
        <v>-0.16040155762069336</v>
      </c>
      <c r="D108">
        <f ca="1"/>
        <v>1</v>
      </c>
      <c r="E108" s="11">
        <f ca="1"/>
        <v>96.653254145230378</v>
      </c>
      <c r="F108" s="10">
        <f ca="1"/>
        <v>0</v>
      </c>
      <c r="G108" s="7">
        <f ca="1"/>
        <v>0</v>
      </c>
      <c r="H108" s="10">
        <f ca="1"/>
        <v>-91.357271660465713</v>
      </c>
      <c r="I108" s="7">
        <f ca="1"/>
        <v>1</v>
      </c>
      <c r="J108">
        <f ca="1"/>
        <v>5.2959824847646644</v>
      </c>
      <c r="K108">
        <f ca="1"/>
        <v>0</v>
      </c>
      <c r="L108">
        <f ca="1"/>
        <v>3.3467458547696225</v>
      </c>
    </row>
    <row r="109" spans="2:12" x14ac:dyDescent="0.35">
      <c r="B109">
        <v>9.9000000000000005E-2</v>
      </c>
      <c r="C109">
        <f ca="1"/>
        <v>-0.1792802073416665</v>
      </c>
      <c r="D109">
        <f ca="1"/>
        <v>1</v>
      </c>
      <c r="E109" s="11">
        <f ca="1"/>
        <v>96.287079883212897</v>
      </c>
      <c r="F109" s="10">
        <f ca="1"/>
        <v>0</v>
      </c>
      <c r="G109" s="7">
        <f ca="1"/>
        <v>0</v>
      </c>
      <c r="H109" s="10">
        <f ca="1"/>
        <v>-91.357271660465713</v>
      </c>
      <c r="I109" s="7">
        <f ca="1"/>
        <v>1</v>
      </c>
      <c r="J109">
        <f ca="1"/>
        <v>4.9298082227471838</v>
      </c>
      <c r="K109">
        <f ca="1"/>
        <v>0</v>
      </c>
      <c r="L109">
        <f ca="1"/>
        <v>3.7129201167871031</v>
      </c>
    </row>
    <row r="110" spans="2:12" x14ac:dyDescent="0.35">
      <c r="B110">
        <v>0.1</v>
      </c>
      <c r="C110">
        <f ca="1"/>
        <v>-0.17135714491967013</v>
      </c>
      <c r="D110">
        <f ca="1"/>
        <v>1</v>
      </c>
      <c r="E110" s="11">
        <f ca="1"/>
        <v>96.437849767949288</v>
      </c>
      <c r="F110" s="10">
        <f ca="1"/>
        <v>0</v>
      </c>
      <c r="G110" s="7">
        <f ca="1"/>
        <v>0</v>
      </c>
      <c r="H110" s="10">
        <f ca="1"/>
        <v>-91.357271660465713</v>
      </c>
      <c r="I110" s="7">
        <f ca="1"/>
        <v>1</v>
      </c>
      <c r="J110">
        <f ca="1"/>
        <v>5.080578107483575</v>
      </c>
      <c r="K110">
        <f ca="1"/>
        <v>0</v>
      </c>
      <c r="L110">
        <f ca="1"/>
        <v>3.5621502320507119</v>
      </c>
    </row>
    <row r="111" spans="2:12" x14ac:dyDescent="0.35">
      <c r="B111">
        <v>0.10100000000000001</v>
      </c>
      <c r="C111">
        <f ca="1"/>
        <v>-0.201886875898278</v>
      </c>
      <c r="D111">
        <f ca="1"/>
        <v>1</v>
      </c>
      <c r="E111">
        <f ca="1"/>
        <v>95.848882521727745</v>
      </c>
      <c r="F111" s="10">
        <f ca="1"/>
        <v>0</v>
      </c>
      <c r="G111" s="7">
        <f ca="1"/>
        <v>0</v>
      </c>
      <c r="H111" s="10">
        <f ca="1"/>
        <v>-91.357271660465713</v>
      </c>
      <c r="I111" s="7">
        <f ca="1"/>
        <v>1</v>
      </c>
      <c r="J111">
        <f ca="1"/>
        <v>4.491610861262032</v>
      </c>
      <c r="K111">
        <f ca="1"/>
        <v>0</v>
      </c>
      <c r="L111">
        <f ca="1"/>
        <v>4.1511174782722549</v>
      </c>
    </row>
    <row r="112" spans="2:12" x14ac:dyDescent="0.35">
      <c r="B112">
        <v>0.10200000000000001</v>
      </c>
      <c r="C112">
        <f ca="1"/>
        <v>-0.19374492983881639</v>
      </c>
      <c r="D112">
        <f ca="1"/>
        <v>1</v>
      </c>
      <c r="E112">
        <f ca="1"/>
        <v>96.003168873338893</v>
      </c>
      <c r="F112" s="10">
        <f ca="1"/>
        <v>0</v>
      </c>
      <c r="G112" s="7">
        <f ca="1"/>
        <v>0</v>
      </c>
      <c r="H112" s="10">
        <f ca="1"/>
        <v>-91.357271660465713</v>
      </c>
      <c r="I112" s="7">
        <f ca="1"/>
        <v>1</v>
      </c>
      <c r="J112">
        <f ca="1"/>
        <v>4.6458972128731801</v>
      </c>
      <c r="K112">
        <f ca="1"/>
        <v>0</v>
      </c>
      <c r="L112">
        <f ca="1"/>
        <v>3.9968311266611067</v>
      </c>
    </row>
    <row r="113" spans="2:12" x14ac:dyDescent="0.35">
      <c r="B113">
        <v>0.10300000000000001</v>
      </c>
      <c r="C113">
        <f ca="1"/>
        <v>-0.15161257852477694</v>
      </c>
      <c r="D113">
        <f ca="1"/>
        <v>1</v>
      </c>
      <c r="E113">
        <f ca="1"/>
        <v>96.813618394726717</v>
      </c>
      <c r="F113" s="10">
        <f ca="1"/>
        <v>0</v>
      </c>
      <c r="G113" s="7">
        <f ca="1"/>
        <v>0</v>
      </c>
      <c r="H113" s="10">
        <f ca="1"/>
        <v>-91.357271660465713</v>
      </c>
      <c r="I113" s="7">
        <f ca="1"/>
        <v>1</v>
      </c>
      <c r="J113">
        <f ca="1"/>
        <v>5.4563467342610039</v>
      </c>
      <c r="K113">
        <f ca="1"/>
        <v>0</v>
      </c>
      <c r="L113">
        <f ca="1"/>
        <v>3.186381605273283</v>
      </c>
    </row>
    <row r="114" spans="2:12" x14ac:dyDescent="0.35">
      <c r="B114">
        <v>0.10400000000000001</v>
      </c>
      <c r="C114">
        <f ca="1"/>
        <v>-0.17244719229036343</v>
      </c>
      <c r="D114">
        <f ca="1"/>
        <v>1</v>
      </c>
      <c r="E114">
        <f ca="1"/>
        <v>96.409114656933198</v>
      </c>
      <c r="F114" s="10">
        <f ca="1"/>
        <v>0</v>
      </c>
      <c r="G114" s="7">
        <f ca="1"/>
        <v>0</v>
      </c>
      <c r="H114" s="10">
        <f ca="1"/>
        <v>-91.357271660465713</v>
      </c>
      <c r="I114" s="7">
        <f ca="1"/>
        <v>1</v>
      </c>
      <c r="J114">
        <f ca="1"/>
        <v>5.0518429964674851</v>
      </c>
      <c r="K114">
        <f ca="1"/>
        <v>0</v>
      </c>
      <c r="L114">
        <f ca="1"/>
        <v>3.5908853430668017</v>
      </c>
    </row>
    <row r="115" spans="2:12" x14ac:dyDescent="0.35">
      <c r="B115">
        <v>0.105</v>
      </c>
      <c r="C115">
        <f ca="1"/>
        <v>-0.15214155970229612</v>
      </c>
      <c r="D115">
        <f ca="1"/>
        <v>1</v>
      </c>
      <c r="E115">
        <f ca="1"/>
        <v>96.799504362530655</v>
      </c>
      <c r="F115" s="10">
        <f ca="1"/>
        <v>0</v>
      </c>
      <c r="G115" s="7">
        <f ca="1"/>
        <v>0</v>
      </c>
      <c r="H115" s="10">
        <f ca="1"/>
        <v>-91.357271660465713</v>
      </c>
      <c r="I115" s="7">
        <f ca="1"/>
        <v>1</v>
      </c>
      <c r="J115">
        <f ca="1"/>
        <v>5.4422327020649419</v>
      </c>
      <c r="K115">
        <f ca="1"/>
        <v>0</v>
      </c>
      <c r="L115">
        <f ca="1"/>
        <v>3.200495637469345</v>
      </c>
    </row>
    <row r="116" spans="2:12" x14ac:dyDescent="0.35">
      <c r="B116">
        <v>0.106</v>
      </c>
      <c r="C116">
        <f ca="1"/>
        <v>-0.16443766611376495</v>
      </c>
      <c r="D116">
        <f ca="1"/>
        <v>1</v>
      </c>
      <c r="E116">
        <f ca="1"/>
        <v>96.559814216427313</v>
      </c>
      <c r="F116" s="10">
        <f ca="1"/>
        <v>0</v>
      </c>
      <c r="G116" s="7">
        <f ca="1"/>
        <v>0</v>
      </c>
      <c r="H116" s="10">
        <f ca="1"/>
        <v>-91.357271660465713</v>
      </c>
      <c r="I116" s="7">
        <f ca="1"/>
        <v>1</v>
      </c>
      <c r="J116">
        <f ca="1"/>
        <v>5.2025425559615996</v>
      </c>
      <c r="K116">
        <f ca="1"/>
        <v>0</v>
      </c>
      <c r="L116">
        <f ca="1"/>
        <v>3.4401857835726872</v>
      </c>
    </row>
    <row r="117" spans="2:12" x14ac:dyDescent="0.35">
      <c r="B117">
        <v>0.107</v>
      </c>
      <c r="C117">
        <f ca="1"/>
        <v>-0.19286890985639141</v>
      </c>
      <c r="D117">
        <f ca="1"/>
        <v>1</v>
      </c>
      <c r="E117">
        <f ca="1"/>
        <v>96.010388966799937</v>
      </c>
      <c r="F117" s="10">
        <f ca="1"/>
        <v>0</v>
      </c>
      <c r="G117" s="7">
        <f ca="1"/>
        <v>0</v>
      </c>
      <c r="H117" s="10">
        <f ca="1"/>
        <v>-91.357271660465713</v>
      </c>
      <c r="I117" s="7">
        <f ca="1"/>
        <v>1</v>
      </c>
      <c r="J117">
        <f ca="1"/>
        <v>4.6531173063342237</v>
      </c>
      <c r="K117">
        <f ca="1"/>
        <v>0</v>
      </c>
      <c r="L117">
        <f ca="1"/>
        <v>3.9896110332000632</v>
      </c>
    </row>
    <row r="118" spans="2:12" x14ac:dyDescent="0.35">
      <c r="B118">
        <v>0.108</v>
      </c>
      <c r="C118">
        <f ca="1"/>
        <v>-0.15442641134242818</v>
      </c>
      <c r="D118">
        <f ca="1"/>
        <v>1</v>
      </c>
      <c r="E118">
        <f ca="1"/>
        <v>96.749474824015252</v>
      </c>
      <c r="F118" s="10">
        <f ca="1"/>
        <v>0</v>
      </c>
      <c r="G118" s="7">
        <f ca="1"/>
        <v>0</v>
      </c>
      <c r="H118" s="10">
        <f ca="1"/>
        <v>-91.357271660465713</v>
      </c>
      <c r="I118" s="7">
        <f ca="1"/>
        <v>1</v>
      </c>
      <c r="J118">
        <f ca="1"/>
        <v>5.3922031635495387</v>
      </c>
      <c r="K118">
        <f ca="1"/>
        <v>0</v>
      </c>
      <c r="L118">
        <f ca="1"/>
        <v>3.2505251759847482</v>
      </c>
    </row>
    <row r="119" spans="2:12" x14ac:dyDescent="0.35">
      <c r="B119">
        <v>0.109</v>
      </c>
      <c r="C119">
        <f ca="1"/>
        <v>-8.7597985185826704E-2</v>
      </c>
      <c r="D119">
        <f ca="1"/>
        <v>1</v>
      </c>
      <c r="E119">
        <f ca="1"/>
        <v>98.049317212432726</v>
      </c>
      <c r="F119" s="10">
        <f ca="1"/>
        <v>0</v>
      </c>
      <c r="G119" s="7">
        <f ca="1"/>
        <v>0</v>
      </c>
      <c r="H119" s="10">
        <f ca="1"/>
        <v>-91.357271660465713</v>
      </c>
      <c r="I119" s="7">
        <f ca="1"/>
        <v>1</v>
      </c>
      <c r="J119">
        <f ca="1"/>
        <v>6.6920455519670128</v>
      </c>
      <c r="K119">
        <f ca="1"/>
        <v>0</v>
      </c>
      <c r="L119">
        <f ca="1"/>
        <v>1.9506827875672741</v>
      </c>
    </row>
    <row r="120" spans="2:12" x14ac:dyDescent="0.35">
      <c r="B120">
        <v>0.11</v>
      </c>
      <c r="C120">
        <f ca="1"/>
        <v>-0.10526020125200897</v>
      </c>
      <c r="D120">
        <f ca="1"/>
        <v>1</v>
      </c>
      <c r="E120">
        <f ca="1"/>
        <v>97.701620532950258</v>
      </c>
      <c r="F120" s="10">
        <f ca="1"/>
        <v>0</v>
      </c>
      <c r="G120" s="7">
        <f ca="1"/>
        <v>0</v>
      </c>
      <c r="H120" s="10">
        <f ca="1"/>
        <v>-91.357271660465713</v>
      </c>
      <c r="I120" s="7">
        <f ca="1"/>
        <v>1</v>
      </c>
      <c r="J120">
        <f ca="1"/>
        <v>6.3443488724845452</v>
      </c>
      <c r="K120">
        <f ca="1"/>
        <v>0</v>
      </c>
      <c r="L120">
        <f ca="1"/>
        <v>2.2983794670497417</v>
      </c>
    </row>
    <row r="121" spans="2:12" x14ac:dyDescent="0.35">
      <c r="B121">
        <v>0.111</v>
      </c>
      <c r="C121">
        <f ca="1"/>
        <v>-0.10636080274481319</v>
      </c>
      <c r="D121">
        <f ca="1"/>
        <v>1</v>
      </c>
      <c r="E121">
        <f ca="1"/>
        <v>97.678163207060763</v>
      </c>
      <c r="F121" s="10">
        <f ca="1"/>
        <v>0</v>
      </c>
      <c r="G121" s="7">
        <f ca="1"/>
        <v>0</v>
      </c>
      <c r="H121" s="10">
        <f ca="1"/>
        <v>-91.357271660465713</v>
      </c>
      <c r="I121" s="7">
        <f ca="1"/>
        <v>1</v>
      </c>
      <c r="J121">
        <f ca="1"/>
        <v>6.3208915465950497</v>
      </c>
      <c r="K121">
        <f ca="1"/>
        <v>0</v>
      </c>
      <c r="L121">
        <f ca="1"/>
        <v>2.3218367929392372</v>
      </c>
    </row>
    <row r="122" spans="2:12" x14ac:dyDescent="0.35">
      <c r="B122">
        <v>0.112</v>
      </c>
      <c r="C122">
        <f ca="1"/>
        <v>-0.10329987201319531</v>
      </c>
      <c r="D122">
        <f ca="1"/>
        <v>1</v>
      </c>
      <c r="E122">
        <f ca="1"/>
        <v>97.736023992597225</v>
      </c>
      <c r="F122" s="10">
        <f ca="1"/>
        <v>0</v>
      </c>
      <c r="G122" s="7">
        <f ca="1"/>
        <v>0</v>
      </c>
      <c r="H122" s="10">
        <f ca="1"/>
        <v>-91.357271660465713</v>
      </c>
      <c r="I122" s="7">
        <f ca="1"/>
        <v>1</v>
      </c>
      <c r="J122">
        <f ca="1"/>
        <v>6.378752332131512</v>
      </c>
      <c r="K122">
        <f ca="1"/>
        <v>0</v>
      </c>
      <c r="L122">
        <f ca="1"/>
        <v>2.2639760074027748</v>
      </c>
    </row>
    <row r="123" spans="2:12" x14ac:dyDescent="0.35">
      <c r="B123">
        <v>0.113</v>
      </c>
      <c r="C123">
        <f ca="1"/>
        <v>-0.11007660966269622</v>
      </c>
      <c r="D123">
        <f ca="1"/>
        <v>1</v>
      </c>
      <c r="E123">
        <f ca="1"/>
        <v>97.601695388847858</v>
      </c>
      <c r="F123" s="10">
        <f ca="1"/>
        <v>0</v>
      </c>
      <c r="G123" s="7">
        <f ca="1"/>
        <v>0</v>
      </c>
      <c r="H123" s="10">
        <f ca="1"/>
        <v>-91.357271660465713</v>
      </c>
      <c r="I123" s="7">
        <f ca="1"/>
        <v>1</v>
      </c>
      <c r="J123">
        <f ca="1"/>
        <v>6.2444237283821451</v>
      </c>
      <c r="K123">
        <f ca="1"/>
        <v>0</v>
      </c>
      <c r="L123">
        <f ca="1"/>
        <v>2.3983046111521418</v>
      </c>
    </row>
    <row r="124" spans="2:12" x14ac:dyDescent="0.35">
      <c r="B124">
        <v>0.114</v>
      </c>
      <c r="C124">
        <f ca="1"/>
        <v>-0.12040708973504342</v>
      </c>
      <c r="D124">
        <f ca="1"/>
        <v>1</v>
      </c>
      <c r="E124">
        <f ca="1"/>
        <v>97.398301104855207</v>
      </c>
      <c r="F124" s="10">
        <f ca="1"/>
        <v>0</v>
      </c>
      <c r="G124" s="7">
        <f ca="1"/>
        <v>0</v>
      </c>
      <c r="H124" s="10">
        <f ca="1"/>
        <v>-91.357271660465713</v>
      </c>
      <c r="I124" s="7">
        <f ca="1"/>
        <v>1</v>
      </c>
      <c r="J124">
        <f ca="1"/>
        <v>6.0410294443894941</v>
      </c>
      <c r="K124">
        <f ca="1"/>
        <v>0</v>
      </c>
      <c r="L124">
        <f ca="1"/>
        <v>2.6016988951447928</v>
      </c>
    </row>
    <row r="125" spans="2:12" x14ac:dyDescent="0.35">
      <c r="B125">
        <v>0.115</v>
      </c>
      <c r="C125">
        <f ca="1"/>
        <v>-0.14881834940571462</v>
      </c>
      <c r="D125">
        <f ca="1"/>
        <v>1</v>
      </c>
      <c r="E125">
        <f ca="1"/>
        <v>96.844491934328076</v>
      </c>
      <c r="F125" s="10">
        <f ca="1"/>
        <v>0</v>
      </c>
      <c r="G125" s="7">
        <f ca="1"/>
        <v>0</v>
      </c>
      <c r="H125" s="10">
        <f ca="1"/>
        <v>-91.357271660465713</v>
      </c>
      <c r="I125" s="7">
        <f ca="1"/>
        <v>1</v>
      </c>
      <c r="J125">
        <f ca="1"/>
        <v>5.4872202738623628</v>
      </c>
      <c r="K125">
        <f ca="1"/>
        <v>0</v>
      </c>
      <c r="L125">
        <f ca="1"/>
        <v>3.1555080656719241</v>
      </c>
    </row>
    <row r="126" spans="2:12" x14ac:dyDescent="0.35">
      <c r="B126">
        <v>0.11600000000000001</v>
      </c>
      <c r="C126">
        <f ca="1"/>
        <v>-7.3212714679423932E-2</v>
      </c>
      <c r="D126">
        <f ca="1"/>
        <v>1</v>
      </c>
      <c r="E126">
        <f ca="1"/>
        <v>98.318051100063897</v>
      </c>
      <c r="F126" s="10">
        <f ca="1"/>
        <v>0</v>
      </c>
      <c r="G126" s="7">
        <f ca="1"/>
        <v>0</v>
      </c>
      <c r="H126" s="10">
        <f ca="1"/>
        <v>-91.357271660465713</v>
      </c>
      <c r="I126" s="7">
        <f ca="1"/>
        <v>1</v>
      </c>
      <c r="J126">
        <f ca="1"/>
        <v>6.9607794395981841</v>
      </c>
      <c r="K126">
        <f ca="1"/>
        <v>0</v>
      </c>
      <c r="L126">
        <f ca="1"/>
        <v>1.6819488999361027</v>
      </c>
    </row>
    <row r="127" spans="2:12" x14ac:dyDescent="0.35">
      <c r="B127">
        <v>0.11700000000000001</v>
      </c>
      <c r="C127">
        <f ca="1"/>
        <v>-0.13574125805688519</v>
      </c>
      <c r="D127">
        <f ca="1"/>
        <v>1</v>
      </c>
      <c r="E127">
        <f ca="1"/>
        <v>97.094228458147725</v>
      </c>
      <c r="F127" s="10">
        <f ca="1"/>
        <v>0</v>
      </c>
      <c r="G127" s="7">
        <f ca="1"/>
        <v>0</v>
      </c>
      <c r="H127" s="10">
        <f ca="1"/>
        <v>-91.357271660465713</v>
      </c>
      <c r="I127" s="7">
        <f ca="1"/>
        <v>1</v>
      </c>
      <c r="J127">
        <f ca="1"/>
        <v>5.7369567976820122</v>
      </c>
      <c r="K127">
        <f ca="1"/>
        <v>0</v>
      </c>
      <c r="L127">
        <f ca="1"/>
        <v>2.9057715418522747</v>
      </c>
    </row>
    <row r="128" spans="2:12" x14ac:dyDescent="0.35">
      <c r="B128">
        <v>0.11800000000000001</v>
      </c>
      <c r="C128">
        <f ca="1"/>
        <v>-0.18285156071448905</v>
      </c>
      <c r="D128">
        <f ca="1"/>
        <v>1</v>
      </c>
      <c r="E128">
        <f ca="1"/>
        <v>96.181773382772974</v>
      </c>
      <c r="F128" s="10">
        <f ca="1"/>
        <v>0</v>
      </c>
      <c r="G128" s="7">
        <f ca="1"/>
        <v>0</v>
      </c>
      <c r="H128" s="10">
        <f ca="1"/>
        <v>-91.357271660465713</v>
      </c>
      <c r="I128" s="7">
        <f ca="1"/>
        <v>1</v>
      </c>
      <c r="J128">
        <f ca="1"/>
        <v>4.8245017223072608</v>
      </c>
      <c r="K128">
        <f ca="1"/>
        <v>0</v>
      </c>
      <c r="L128">
        <f ca="1"/>
        <v>3.8182266172270261</v>
      </c>
    </row>
    <row r="129" spans="2:12" x14ac:dyDescent="0.35">
      <c r="B129">
        <v>0.11900000000000001</v>
      </c>
      <c r="C129">
        <f ca="1"/>
        <v>-0.16402078137948573</v>
      </c>
      <c r="D129">
        <f ca="1"/>
        <v>1</v>
      </c>
      <c r="E129">
        <f ca="1"/>
        <v>96.542761033266331</v>
      </c>
      <c r="F129" s="10">
        <f ca="1"/>
        <v>0</v>
      </c>
      <c r="G129" s="7">
        <f ca="1"/>
        <v>0</v>
      </c>
      <c r="H129" s="10">
        <f ca="1"/>
        <v>-91.357271660465713</v>
      </c>
      <c r="I129" s="7">
        <f ca="1"/>
        <v>1</v>
      </c>
      <c r="J129">
        <f ca="1"/>
        <v>5.1854893728006175</v>
      </c>
      <c r="K129">
        <f ca="1"/>
        <v>0</v>
      </c>
      <c r="L129">
        <f ca="1"/>
        <v>3.4572389667336694</v>
      </c>
    </row>
    <row r="130" spans="2:12" x14ac:dyDescent="0.35">
      <c r="B130">
        <v>0.12</v>
      </c>
      <c r="C130">
        <f ca="1"/>
        <v>-0.19642797107061188</v>
      </c>
      <c r="D130">
        <f ca="1"/>
        <v>1</v>
      </c>
      <c r="E130">
        <f ca="1"/>
        <v>95.917130217698443</v>
      </c>
      <c r="F130" s="10">
        <f ca="1"/>
        <v>0</v>
      </c>
      <c r="G130" s="7">
        <f ca="1"/>
        <v>0</v>
      </c>
      <c r="H130" s="10">
        <f ca="1"/>
        <v>-91.357271660465713</v>
      </c>
      <c r="I130" s="7">
        <f ca="1"/>
        <v>1</v>
      </c>
      <c r="J130">
        <f ca="1"/>
        <v>4.5598585572327295</v>
      </c>
      <c r="K130">
        <f ca="1"/>
        <v>0</v>
      </c>
      <c r="L130">
        <f ca="1"/>
        <v>4.0828697823015574</v>
      </c>
    </row>
    <row r="131" spans="2:12" x14ac:dyDescent="0.35">
      <c r="B131">
        <v>0.121</v>
      </c>
      <c r="C131">
        <f ca="1"/>
        <v>-0.15104027699346573</v>
      </c>
      <c r="D131">
        <f ca="1"/>
        <v>1</v>
      </c>
      <c r="E131">
        <f ca="1"/>
        <v>96.78984972671158</v>
      </c>
      <c r="F131" s="10">
        <f ca="1"/>
        <v>0</v>
      </c>
      <c r="G131" s="7">
        <f ca="1"/>
        <v>0</v>
      </c>
      <c r="H131" s="10">
        <f ca="1"/>
        <v>-91.357271660465713</v>
      </c>
      <c r="I131" s="7">
        <f ca="1"/>
        <v>1</v>
      </c>
      <c r="J131">
        <f ca="1"/>
        <v>5.4325780662458669</v>
      </c>
      <c r="K131">
        <f ca="1"/>
        <v>0</v>
      </c>
      <c r="L131">
        <f ca="1"/>
        <v>3.21015027328842</v>
      </c>
    </row>
    <row r="132" spans="2:12" x14ac:dyDescent="0.35">
      <c r="B132">
        <v>0.122</v>
      </c>
      <c r="C132">
        <f ca="1"/>
        <v>-0.16001258995465273</v>
      </c>
      <c r="D132">
        <f ca="1"/>
        <v>1</v>
      </c>
      <c r="E132">
        <f ca="1"/>
        <v>96.614387398129139</v>
      </c>
      <c r="F132" s="10">
        <f ca="1"/>
        <v>0</v>
      </c>
      <c r="G132" s="7">
        <f ca="1"/>
        <v>0</v>
      </c>
      <c r="H132" s="10">
        <f ca="1"/>
        <v>-91.357271660465713</v>
      </c>
      <c r="I132" s="7">
        <f ca="1"/>
        <v>1</v>
      </c>
      <c r="J132">
        <f ca="1"/>
        <v>5.2571157376634261</v>
      </c>
      <c r="K132">
        <f ca="1"/>
        <v>0</v>
      </c>
      <c r="L132">
        <f ca="1"/>
        <v>3.3856126018708608</v>
      </c>
    </row>
    <row r="133" spans="2:12" x14ac:dyDescent="0.35">
      <c r="B133">
        <v>0.123</v>
      </c>
      <c r="C133">
        <f ca="1"/>
        <v>-0.13323729842822776</v>
      </c>
      <c r="D133">
        <f ca="1"/>
        <v>1</v>
      </c>
      <c r="E133">
        <f ca="1"/>
        <v>97.131208196725808</v>
      </c>
      <c r="F133" s="10">
        <f ca="1"/>
        <v>0</v>
      </c>
      <c r="G133" s="7">
        <f ca="1"/>
        <v>0</v>
      </c>
      <c r="H133" s="10">
        <f ca="1"/>
        <v>-91.357271660465713</v>
      </c>
      <c r="I133" s="7">
        <f ca="1"/>
        <v>1</v>
      </c>
      <c r="J133">
        <f ca="1"/>
        <v>5.773936536260095</v>
      </c>
      <c r="K133">
        <f ca="1"/>
        <v>0</v>
      </c>
      <c r="L133">
        <f ca="1"/>
        <v>2.8687918032741919</v>
      </c>
    </row>
    <row r="134" spans="2:12" x14ac:dyDescent="0.35">
      <c r="B134">
        <v>0.124</v>
      </c>
      <c r="C134">
        <f ca="1"/>
        <v>-0.11767641677012257</v>
      </c>
      <c r="D134">
        <f ca="1"/>
        <v>1</v>
      </c>
      <c r="E134">
        <f ca="1"/>
        <v>97.432019861442882</v>
      </c>
      <c r="F134" s="10">
        <f ca="1"/>
        <v>0</v>
      </c>
      <c r="G134" s="7">
        <f ca="1"/>
        <v>0</v>
      </c>
      <c r="H134" s="10">
        <f ca="1"/>
        <v>-91.357271660465713</v>
      </c>
      <c r="I134" s="7">
        <f ca="1"/>
        <v>1</v>
      </c>
      <c r="J134">
        <f ca="1"/>
        <v>6.0747482009771687</v>
      </c>
      <c r="K134">
        <f ca="1"/>
        <v>0</v>
      </c>
      <c r="L134">
        <f ca="1"/>
        <v>2.5679801385571182</v>
      </c>
    </row>
    <row r="135" spans="2:12" x14ac:dyDescent="0.35">
      <c r="B135">
        <v>0.125</v>
      </c>
      <c r="C135">
        <f ca="1"/>
        <v>-8.1059131939105772E-2</v>
      </c>
      <c r="D135">
        <f ca="1"/>
        <v>1</v>
      </c>
      <c r="E135">
        <f ca="1"/>
        <v>98.146215298827713</v>
      </c>
      <c r="F135" s="10">
        <f ca="1"/>
        <v>0</v>
      </c>
      <c r="G135" s="7">
        <f ca="1"/>
        <v>0</v>
      </c>
      <c r="H135" s="10">
        <f ca="1"/>
        <v>-91.357271660465713</v>
      </c>
      <c r="I135" s="7">
        <f ca="1"/>
        <v>1</v>
      </c>
      <c r="J135">
        <f ca="1"/>
        <v>6.7889436383619994</v>
      </c>
      <c r="K135">
        <f ca="1"/>
        <v>0</v>
      </c>
      <c r="L135">
        <f ca="1"/>
        <v>1.8537847011722874</v>
      </c>
    </row>
    <row r="136" spans="2:12" x14ac:dyDescent="0.35">
      <c r="B136">
        <v>0.126</v>
      </c>
      <c r="C136">
        <f ca="1"/>
        <v>-0.12135548381119529</v>
      </c>
      <c r="D136">
        <f ca="1"/>
        <v>1</v>
      </c>
      <c r="E136">
        <f ca="1"/>
        <v>97.356460107969738</v>
      </c>
      <c r="F136" s="10">
        <f ca="1"/>
        <v>0</v>
      </c>
      <c r="G136" s="7">
        <f ca="1"/>
        <v>0</v>
      </c>
      <c r="H136" s="10">
        <f ca="1"/>
        <v>-91.357271660465713</v>
      </c>
      <c r="I136" s="7">
        <f ca="1"/>
        <v>1</v>
      </c>
      <c r="J136">
        <f ca="1"/>
        <v>5.9991884475040251</v>
      </c>
      <c r="K136">
        <f ca="1"/>
        <v>0</v>
      </c>
      <c r="L136">
        <f ca="1"/>
        <v>2.6435398920302617</v>
      </c>
    </row>
    <row r="137" spans="2:12" x14ac:dyDescent="0.35">
      <c r="B137">
        <v>0.127</v>
      </c>
      <c r="C137">
        <f ca="1"/>
        <v>-0.14317437825291562</v>
      </c>
      <c r="D137">
        <f ca="1"/>
        <v>1</v>
      </c>
      <c r="E137">
        <f ca="1"/>
        <v>96.930605022760105</v>
      </c>
      <c r="F137" s="10">
        <f ca="1"/>
        <v>0</v>
      </c>
      <c r="G137" s="7">
        <f ca="1"/>
        <v>0</v>
      </c>
      <c r="H137" s="10">
        <f ca="1"/>
        <v>-91.357271660465713</v>
      </c>
      <c r="I137" s="7">
        <f ca="1"/>
        <v>1</v>
      </c>
      <c r="J137">
        <f ca="1"/>
        <v>5.5733333622943917</v>
      </c>
      <c r="K137">
        <f ca="1"/>
        <v>0</v>
      </c>
      <c r="L137">
        <f ca="1"/>
        <v>3.0693949772398952</v>
      </c>
    </row>
    <row r="138" spans="2:12" x14ac:dyDescent="0.35">
      <c r="B138">
        <v>0.128</v>
      </c>
      <c r="C138">
        <f ca="1"/>
        <v>-0.10824526461467948</v>
      </c>
      <c r="D138">
        <f ca="1"/>
        <v>1</v>
      </c>
      <c r="E138">
        <f ca="1"/>
        <v>97.608163570854529</v>
      </c>
      <c r="F138" s="10">
        <f ca="1"/>
        <v>0</v>
      </c>
      <c r="G138" s="7">
        <f ca="1"/>
        <v>0</v>
      </c>
      <c r="H138" s="10">
        <f ca="1"/>
        <v>-91.357271660465713</v>
      </c>
      <c r="I138" s="7">
        <f ca="1"/>
        <v>1</v>
      </c>
      <c r="J138">
        <f ca="1"/>
        <v>6.2508919103888161</v>
      </c>
      <c r="K138">
        <f ca="1"/>
        <v>0</v>
      </c>
      <c r="L138">
        <f ca="1"/>
        <v>2.3918364291454708</v>
      </c>
    </row>
    <row r="139" spans="2:12" x14ac:dyDescent="0.35">
      <c r="B139">
        <v>0.129</v>
      </c>
      <c r="C139">
        <f ca="1"/>
        <v>-8.4657370762588974E-2</v>
      </c>
      <c r="D139">
        <f ca="1"/>
        <v>1</v>
      </c>
      <c r="E139">
        <f ca="1"/>
        <v>98.067764267926691</v>
      </c>
      <c r="F139" s="10">
        <f ca="1"/>
        <v>0</v>
      </c>
      <c r="G139" s="7">
        <f ca="1"/>
        <v>0</v>
      </c>
      <c r="H139" s="10">
        <f ca="1"/>
        <v>-91.357271660465713</v>
      </c>
      <c r="I139" s="7">
        <f ca="1"/>
        <v>1</v>
      </c>
      <c r="J139">
        <f ca="1"/>
        <v>6.7104926074609779</v>
      </c>
      <c r="K139">
        <f ca="1"/>
        <v>0</v>
      </c>
      <c r="L139">
        <f ca="1"/>
        <v>1.932235732073309</v>
      </c>
    </row>
    <row r="140" spans="2:12" x14ac:dyDescent="0.35">
      <c r="B140">
        <v>0.13</v>
      </c>
      <c r="C140">
        <f ca="1"/>
        <v>-9.3081144465593652E-2</v>
      </c>
      <c r="D140">
        <f ca="1"/>
        <v>1</v>
      </c>
      <c r="E140">
        <f ca="1"/>
        <v>97.900725202663921</v>
      </c>
      <c r="F140" s="10">
        <f ca="1"/>
        <v>0</v>
      </c>
      <c r="G140" s="7">
        <f ca="1"/>
        <v>0</v>
      </c>
      <c r="H140" s="10">
        <f ca="1"/>
        <v>-91.357271660465713</v>
      </c>
      <c r="I140" s="7">
        <f ca="1"/>
        <v>1</v>
      </c>
      <c r="J140">
        <f ca="1"/>
        <v>6.5434535421982076</v>
      </c>
      <c r="K140">
        <f ca="1"/>
        <v>0</v>
      </c>
      <c r="L140">
        <f ca="1"/>
        <v>2.0992747973360792</v>
      </c>
    </row>
    <row r="141" spans="2:12" x14ac:dyDescent="0.35">
      <c r="B141">
        <v>0.13100000000000001</v>
      </c>
      <c r="C141">
        <f ca="1"/>
        <v>-9.6179723190683727E-2</v>
      </c>
      <c r="D141">
        <f ca="1"/>
        <v>1</v>
      </c>
      <c r="E141">
        <f ca="1"/>
        <v>97.838116595294196</v>
      </c>
      <c r="F141" s="10">
        <f ca="1"/>
        <v>0</v>
      </c>
      <c r="G141" s="7">
        <f ca="1"/>
        <v>0</v>
      </c>
      <c r="H141" s="10">
        <f ca="1"/>
        <v>-91.357271660465713</v>
      </c>
      <c r="I141" s="7">
        <f ca="1"/>
        <v>1</v>
      </c>
      <c r="J141">
        <f ca="1"/>
        <v>6.4808449348284825</v>
      </c>
      <c r="K141">
        <f ca="1"/>
        <v>0</v>
      </c>
      <c r="L141">
        <f ca="1"/>
        <v>2.1618834047058044</v>
      </c>
    </row>
    <row r="142" spans="2:12" x14ac:dyDescent="0.35">
      <c r="B142">
        <v>0.13200000000000001</v>
      </c>
      <c r="C142">
        <f ca="1"/>
        <v>-7.0593723420469226E-2</v>
      </c>
      <c r="D142">
        <f ca="1"/>
        <v>1</v>
      </c>
      <c r="E142">
        <f ca="1"/>
        <v>98.338090188893858</v>
      </c>
      <c r="F142" s="10">
        <f ca="1"/>
        <v>0</v>
      </c>
      <c r="G142" s="7">
        <f ca="1"/>
        <v>0</v>
      </c>
      <c r="H142" s="10">
        <f ca="1"/>
        <v>-91.357271660465713</v>
      </c>
      <c r="I142" s="7">
        <f ca="1"/>
        <v>1</v>
      </c>
      <c r="J142">
        <f ca="1"/>
        <v>6.980818528428145</v>
      </c>
      <c r="K142">
        <f ca="1"/>
        <v>0</v>
      </c>
      <c r="L142">
        <f ca="1"/>
        <v>1.6619098111061419</v>
      </c>
    </row>
    <row r="143" spans="2:12" x14ac:dyDescent="0.35">
      <c r="B143">
        <v>0.13300000000000001</v>
      </c>
      <c r="C143">
        <f ca="1"/>
        <v>-0.10687940536070484</v>
      </c>
      <c r="D143">
        <f ca="1"/>
        <v>1</v>
      </c>
      <c r="E143">
        <f ca="1"/>
        <v>97.625068020837986</v>
      </c>
      <c r="F143" s="10">
        <f ca="1"/>
        <v>0</v>
      </c>
      <c r="G143" s="7">
        <f ca="1"/>
        <v>0</v>
      </c>
      <c r="H143">
        <f ca="1"/>
        <v>-91.357271660465713</v>
      </c>
      <c r="I143" s="7">
        <f ca="1"/>
        <v>1</v>
      </c>
      <c r="J143">
        <f ca="1"/>
        <v>6.2677963603722731</v>
      </c>
      <c r="K143">
        <f ca="1"/>
        <v>0</v>
      </c>
      <c r="L143">
        <f ca="1"/>
        <v>2.3749319791620138</v>
      </c>
    </row>
    <row r="144" spans="2:12" x14ac:dyDescent="0.35">
      <c r="B144">
        <v>0.13400000000000001</v>
      </c>
      <c r="C144">
        <f ca="1"/>
        <v>-7.2405174897590005E-2</v>
      </c>
      <c r="D144">
        <f ca="1"/>
        <v>1</v>
      </c>
      <c r="E144">
        <f ca="1"/>
        <v>98.298537685867799</v>
      </c>
      <c r="F144" s="10">
        <f ca="1"/>
        <v>0</v>
      </c>
      <c r="G144" s="7">
        <f ca="1"/>
        <v>0</v>
      </c>
      <c r="H144">
        <f ca="1"/>
        <v>-91.357271660465713</v>
      </c>
      <c r="I144" s="7">
        <f ca="1"/>
        <v>1</v>
      </c>
      <c r="J144">
        <f ca="1"/>
        <v>6.9412660254020864</v>
      </c>
      <c r="K144">
        <f ca="1"/>
        <v>0</v>
      </c>
      <c r="L144">
        <f ca="1"/>
        <v>1.7014623141322005</v>
      </c>
    </row>
    <row r="145" spans="2:12" x14ac:dyDescent="0.35">
      <c r="B145">
        <v>0.13500000000000001</v>
      </c>
      <c r="C145">
        <f ca="1"/>
        <v>-8.6268552003274421E-2</v>
      </c>
      <c r="D145">
        <f ca="1"/>
        <v>1</v>
      </c>
      <c r="E145">
        <f ca="1"/>
        <v>98.024404736078651</v>
      </c>
      <c r="F145" s="10">
        <f ca="1"/>
        <v>0</v>
      </c>
      <c r="G145" s="7">
        <f ca="1"/>
        <v>0</v>
      </c>
      <c r="H145">
        <f ca="1"/>
        <v>-91.357271660465713</v>
      </c>
      <c r="I145" s="7">
        <f ca="1"/>
        <v>1</v>
      </c>
      <c r="J145">
        <f ca="1"/>
        <v>6.6671330756129379</v>
      </c>
      <c r="K145">
        <f ca="1"/>
        <v>0</v>
      </c>
      <c r="L145">
        <f ca="1"/>
        <v>1.975595263921349</v>
      </c>
    </row>
    <row r="146" spans="2:12" x14ac:dyDescent="0.35">
      <c r="B146">
        <v>0.13600000000000001</v>
      </c>
      <c r="C146">
        <f ca="1"/>
        <v>-9.5848921675738927E-2</v>
      </c>
      <c r="D146">
        <f ca="1"/>
        <v>1</v>
      </c>
      <c r="E146">
        <f ca="1"/>
        <v>97.834805839090279</v>
      </c>
      <c r="F146" s="10">
        <f ca="1"/>
        <v>0</v>
      </c>
      <c r="G146" s="7">
        <f ca="1"/>
        <v>0</v>
      </c>
      <c r="H146">
        <f ca="1"/>
        <v>-91.357271660465713</v>
      </c>
      <c r="I146" s="7">
        <f ca="1"/>
        <v>1</v>
      </c>
      <c r="J146">
        <f ca="1"/>
        <v>6.4775341786245662</v>
      </c>
      <c r="K146">
        <f ca="1"/>
        <v>0</v>
      </c>
      <c r="L146">
        <f ca="1"/>
        <v>2.1651941609097207</v>
      </c>
    </row>
    <row r="147" spans="2:12" x14ac:dyDescent="0.35">
      <c r="B147">
        <v>0.13700000000000001</v>
      </c>
      <c r="C147">
        <f ca="1"/>
        <v>-5.9285075678908339E-2</v>
      </c>
      <c r="D147">
        <f ca="1"/>
        <v>1</v>
      </c>
      <c r="E147">
        <f ca="1"/>
        <v>98.550900480454303</v>
      </c>
      <c r="F147" s="10">
        <f ca="1"/>
        <v>0</v>
      </c>
      <c r="G147" s="7">
        <f ca="1"/>
        <v>0</v>
      </c>
      <c r="H147">
        <f ca="1"/>
        <v>-91.357271660465713</v>
      </c>
      <c r="I147" s="7">
        <f ca="1"/>
        <v>1</v>
      </c>
      <c r="J147">
        <f ca="1"/>
        <v>7.1936288199885894</v>
      </c>
      <c r="K147">
        <f ca="1"/>
        <v>0</v>
      </c>
      <c r="L147">
        <f ca="1"/>
        <v>1.4490995195456975</v>
      </c>
    </row>
    <row r="148" spans="2:12" x14ac:dyDescent="0.35">
      <c r="B148">
        <v>0.13800000000000001</v>
      </c>
      <c r="C148">
        <f ca="1"/>
        <v>-1.5268441988735691E-2</v>
      </c>
      <c r="D148">
        <f ca="1"/>
        <v>1</v>
      </c>
      <c r="E148">
        <f ca="1"/>
        <v>99.420317838674009</v>
      </c>
      <c r="F148" s="10">
        <f ca="1"/>
        <v>0</v>
      </c>
      <c r="G148" s="7">
        <f ca="1"/>
        <v>0</v>
      </c>
      <c r="H148">
        <f ca="1"/>
        <v>-91.357271660465713</v>
      </c>
      <c r="I148" s="7">
        <f ca="1"/>
        <v>1</v>
      </c>
      <c r="J148">
        <f ca="1"/>
        <v>8.0630461782082961</v>
      </c>
      <c r="K148">
        <f ca="1"/>
        <v>0</v>
      </c>
      <c r="L148">
        <f ca="1"/>
        <v>0.57968216132599082</v>
      </c>
    </row>
    <row r="149" spans="2:12" x14ac:dyDescent="0.35">
      <c r="B149">
        <v>0.13900000000000001</v>
      </c>
      <c r="C149">
        <f ca="1"/>
        <v>-1.9670643875418326E-2</v>
      </c>
      <c r="D149">
        <f ca="1"/>
        <v>1</v>
      </c>
      <c r="E149">
        <f ca="1"/>
        <v>99.330836062712422</v>
      </c>
      <c r="F149" s="10">
        <f ca="1"/>
        <v>0</v>
      </c>
      <c r="G149" s="7">
        <f ca="1"/>
        <v>0</v>
      </c>
      <c r="H149">
        <f ca="1"/>
        <v>-91.357271660465713</v>
      </c>
      <c r="I149" s="7">
        <f ca="1"/>
        <v>1</v>
      </c>
      <c r="J149">
        <f ca="1"/>
        <v>7.9735644022467085</v>
      </c>
      <c r="K149">
        <f ca="1"/>
        <v>0</v>
      </c>
      <c r="L149">
        <f ca="1"/>
        <v>0.66916393728757839</v>
      </c>
    </row>
    <row r="150" spans="2:12" x14ac:dyDescent="0.35">
      <c r="B150">
        <v>0.14000000000000001</v>
      </c>
      <c r="C150">
        <f ca="1"/>
        <v>-4.1563602043712226E-2</v>
      </c>
      <c r="D150">
        <f ca="1"/>
        <v>1</v>
      </c>
      <c r="E150">
        <f ca="1"/>
        <v>98.894879777968399</v>
      </c>
      <c r="F150" s="10">
        <f ca="1"/>
        <v>0</v>
      </c>
      <c r="G150" s="7">
        <f ca="1"/>
        <v>0</v>
      </c>
      <c r="H150">
        <f ca="1"/>
        <v>-91.357271660465713</v>
      </c>
      <c r="I150" s="7">
        <f ca="1"/>
        <v>1</v>
      </c>
      <c r="J150">
        <f ca="1"/>
        <v>7.5376081175026854</v>
      </c>
      <c r="K150">
        <f ca="1"/>
        <v>0</v>
      </c>
      <c r="L150">
        <f ca="1"/>
        <v>1.1051202220316014</v>
      </c>
    </row>
    <row r="151" spans="2:12" x14ac:dyDescent="0.35">
      <c r="B151">
        <v>0.14100000000000001</v>
      </c>
      <c r="C151">
        <f ca="1"/>
        <v>-5.8909668393798895E-2</v>
      </c>
      <c r="D151">
        <f ca="1"/>
        <v>1</v>
      </c>
      <c r="E151">
        <f ca="1"/>
        <v>98.550415754806835</v>
      </c>
      <c r="F151" s="10">
        <f ca="1"/>
        <v>0</v>
      </c>
      <c r="G151" s="7">
        <f ca="1"/>
        <v>0</v>
      </c>
      <c r="H151">
        <f ca="1"/>
        <v>-91.357271660465713</v>
      </c>
      <c r="I151" s="7">
        <f ca="1"/>
        <v>1</v>
      </c>
      <c r="J151">
        <f ca="1"/>
        <v>7.1931440943411218</v>
      </c>
      <c r="K151">
        <f ca="1"/>
        <v>0</v>
      </c>
      <c r="L151">
        <f ca="1"/>
        <v>1.4495842451931651</v>
      </c>
    </row>
    <row r="152" spans="2:12" x14ac:dyDescent="0.35">
      <c r="B152">
        <v>0.14200000000000002</v>
      </c>
      <c r="C152">
        <f ca="1"/>
        <v>-8.5194578714095456E-2</v>
      </c>
      <c r="D152">
        <f ca="1"/>
        <v>1</v>
      </c>
      <c r="E152">
        <f ca="1"/>
        <v>98.031736712083344</v>
      </c>
      <c r="F152" s="10">
        <f ca="1"/>
        <v>0</v>
      </c>
      <c r="G152" s="7">
        <f ca="1"/>
        <v>0</v>
      </c>
      <c r="H152">
        <f ca="1"/>
        <v>-91.357271660465713</v>
      </c>
      <c r="I152" s="7">
        <f ca="1"/>
        <v>1</v>
      </c>
      <c r="J152">
        <f ca="1"/>
        <v>6.6744650516176307</v>
      </c>
      <c r="K152">
        <f ca="1"/>
        <v>0</v>
      </c>
      <c r="L152">
        <f ca="1"/>
        <v>1.9682632879166562</v>
      </c>
    </row>
    <row r="153" spans="2:12" x14ac:dyDescent="0.35">
      <c r="B153">
        <v>0.14300000000000002</v>
      </c>
      <c r="C153">
        <f ca="1"/>
        <v>-5.0404087449521198E-2</v>
      </c>
      <c r="D153">
        <f ca="1"/>
        <v>1</v>
      </c>
      <c r="E153">
        <f ca="1"/>
        <v>98.714255486577329</v>
      </c>
      <c r="F153" s="10">
        <f ca="1"/>
        <v>0</v>
      </c>
      <c r="G153" s="7">
        <f ca="1"/>
        <v>0</v>
      </c>
      <c r="H153">
        <f ca="1"/>
        <v>-91.357271660465713</v>
      </c>
      <c r="I153" s="7">
        <f ca="1"/>
        <v>1</v>
      </c>
      <c r="J153">
        <f ca="1"/>
        <v>7.3569838261116161</v>
      </c>
      <c r="K153">
        <f ca="1"/>
        <v>0</v>
      </c>
      <c r="L153">
        <f ca="1"/>
        <v>1.2857445134226708</v>
      </c>
    </row>
    <row r="154" spans="2:12" x14ac:dyDescent="0.35">
      <c r="B154">
        <v>0.14400000000000002</v>
      </c>
      <c r="C154">
        <f ca="1"/>
        <v>-6.9700190549165597E-2</v>
      </c>
      <c r="D154">
        <f ca="1"/>
        <v>1</v>
      </c>
      <c r="E154">
        <f ca="1"/>
        <v>98.332062895184151</v>
      </c>
      <c r="F154" s="10">
        <f ca="1"/>
        <v>0</v>
      </c>
      <c r="G154" s="7">
        <f ca="1"/>
        <v>0</v>
      </c>
      <c r="H154">
        <f ca="1"/>
        <v>-91.357271660465713</v>
      </c>
      <c r="I154" s="7">
        <f ca="1"/>
        <v>1</v>
      </c>
      <c r="J154">
        <f ca="1"/>
        <v>6.9747912347184382</v>
      </c>
      <c r="K154">
        <f ca="1"/>
        <v>0</v>
      </c>
      <c r="L154">
        <f ca="1"/>
        <v>1.6679371048158487</v>
      </c>
    </row>
    <row r="155" spans="2:12" x14ac:dyDescent="0.35">
      <c r="B155">
        <v>0.14499999999999999</v>
      </c>
      <c r="C155">
        <f ca="1"/>
        <v>-8.2059557382746048E-2</v>
      </c>
      <c r="D155">
        <f ca="1"/>
        <v>1</v>
      </c>
      <c r="E155">
        <f ca="1"/>
        <v>98.087336886307355</v>
      </c>
      <c r="F155" s="10">
        <f ca="1"/>
        <v>0</v>
      </c>
      <c r="G155" s="7">
        <f ca="1"/>
        <v>0</v>
      </c>
      <c r="H155">
        <f ca="1"/>
        <v>-91.357271660465713</v>
      </c>
      <c r="I155" s="7">
        <f ca="1"/>
        <v>1</v>
      </c>
      <c r="J155">
        <f ca="1"/>
        <v>6.730065225841642</v>
      </c>
      <c r="K155">
        <f ca="1"/>
        <v>0</v>
      </c>
      <c r="L155">
        <f ca="1"/>
        <v>1.9126631136926449</v>
      </c>
    </row>
    <row r="156" spans="2:12" x14ac:dyDescent="0.35">
      <c r="B156">
        <v>0.14599999999999999</v>
      </c>
      <c r="C156">
        <f ca="1"/>
        <v>-5.0772792184357977E-2</v>
      </c>
      <c r="D156">
        <f ca="1"/>
        <v>1</v>
      </c>
      <c r="E156">
        <f ca="1"/>
        <v>98.701054231363244</v>
      </c>
      <c r="F156" s="10">
        <f ca="1"/>
        <v>0</v>
      </c>
      <c r="G156" s="7">
        <f ca="1"/>
        <v>0</v>
      </c>
      <c r="H156">
        <f ca="1"/>
        <v>-91.357271660465713</v>
      </c>
      <c r="I156" s="7">
        <f ca="1"/>
        <v>1</v>
      </c>
      <c r="J156">
        <f ca="1"/>
        <v>7.3437825708975311</v>
      </c>
      <c r="K156">
        <f ca="1"/>
        <v>0</v>
      </c>
      <c r="L156">
        <f ca="1"/>
        <v>1.2989457686367558</v>
      </c>
    </row>
    <row r="157" spans="2:12" x14ac:dyDescent="0.35">
      <c r="B157">
        <v>0.14699999999999999</v>
      </c>
      <c r="C157">
        <f ca="1"/>
        <v>-6.9664962648105955E-2</v>
      </c>
      <c r="D157">
        <f ca="1"/>
        <v>1</v>
      </c>
      <c r="E157">
        <f ca="1"/>
        <v>98.326855915714475</v>
      </c>
      <c r="F157" s="10">
        <f ca="1"/>
        <v>0</v>
      </c>
      <c r="G157" s="7">
        <f ca="1"/>
        <v>0</v>
      </c>
      <c r="H157">
        <f ca="1"/>
        <v>-91.357271660465713</v>
      </c>
      <c r="I157" s="7">
        <f ca="1"/>
        <v>1</v>
      </c>
      <c r="J157">
        <f ca="1"/>
        <v>6.9695842552487619</v>
      </c>
      <c r="K157">
        <f ca="1"/>
        <v>0</v>
      </c>
      <c r="L157">
        <f ca="1"/>
        <v>1.673144084285525</v>
      </c>
    </row>
    <row r="158" spans="2:12" x14ac:dyDescent="0.35">
      <c r="B158">
        <v>0.14799999999999999</v>
      </c>
      <c r="C158">
        <f ca="1"/>
        <v>-4.4807154176374722E-2</v>
      </c>
      <c r="D158">
        <f ca="1"/>
        <v>1</v>
      </c>
      <c r="E158">
        <f ca="1"/>
        <v>98.81493478809179</v>
      </c>
      <c r="F158" s="10">
        <f ca="1"/>
        <v>0</v>
      </c>
      <c r="G158" s="7">
        <f ca="1"/>
        <v>0</v>
      </c>
      <c r="H158">
        <f ca="1"/>
        <v>-91.357271660465713</v>
      </c>
      <c r="I158" s="7">
        <f ca="1"/>
        <v>1</v>
      </c>
      <c r="J158">
        <f ca="1"/>
        <v>7.457663127626077</v>
      </c>
      <c r="K158">
        <f ca="1"/>
        <v>0</v>
      </c>
      <c r="L158">
        <f ca="1"/>
        <v>1.1850652119082099</v>
      </c>
    </row>
    <row r="159" spans="2:12" x14ac:dyDescent="0.35">
      <c r="B159">
        <v>0.14899999999999999</v>
      </c>
      <c r="C159">
        <f ca="1"/>
        <v>-6.6391813503136637E-2</v>
      </c>
      <c r="D159">
        <f ca="1"/>
        <v>1</v>
      </c>
      <c r="E159">
        <f ca="1"/>
        <v>98.387309110616755</v>
      </c>
      <c r="F159" s="10">
        <f ca="1"/>
        <v>0</v>
      </c>
      <c r="G159" s="7">
        <f ca="1"/>
        <v>0</v>
      </c>
      <c r="H159">
        <f ca="1"/>
        <v>-91.357271660465713</v>
      </c>
      <c r="I159" s="7">
        <f ca="1"/>
        <v>1</v>
      </c>
      <c r="J159">
        <f ca="1"/>
        <v>7.0300374501510419</v>
      </c>
      <c r="K159">
        <f ca="1"/>
        <v>0</v>
      </c>
      <c r="L159">
        <f ca="1"/>
        <v>1.612690889383245</v>
      </c>
    </row>
    <row r="160" spans="2:12" x14ac:dyDescent="0.35">
      <c r="B160">
        <v>0.15</v>
      </c>
      <c r="C160">
        <f ca="1"/>
        <v>-8.2558536627753143E-2</v>
      </c>
      <c r="D160">
        <f ca="1"/>
        <v>1</v>
      </c>
      <c r="E160">
        <f ca="1"/>
        <v>98.067741401171332</v>
      </c>
      <c r="F160" s="10">
        <f ca="1"/>
        <v>0</v>
      </c>
      <c r="G160" s="7">
        <f ca="1"/>
        <v>0</v>
      </c>
      <c r="H160">
        <f ca="1"/>
        <v>-91.357271660465713</v>
      </c>
      <c r="I160" s="7">
        <f ca="1"/>
        <v>1</v>
      </c>
      <c r="J160">
        <f ca="1"/>
        <v>6.7104697407056193</v>
      </c>
      <c r="K160">
        <f ca="1"/>
        <v>0</v>
      </c>
      <c r="L160">
        <f ca="1"/>
        <v>1.9322585988286676</v>
      </c>
    </row>
    <row r="161" spans="2:12" x14ac:dyDescent="0.35">
      <c r="B161">
        <v>0.151</v>
      </c>
      <c r="C161">
        <f ca="1"/>
        <v>-8.0735681266090681E-2</v>
      </c>
      <c r="D161">
        <f ca="1"/>
        <v>1</v>
      </c>
      <c r="E161">
        <f ca="1"/>
        <v>98.1015385304093</v>
      </c>
      <c r="F161" s="10">
        <f ca="1"/>
        <v>0</v>
      </c>
      <c r="G161" s="7">
        <f ca="1"/>
        <v>0</v>
      </c>
      <c r="H161">
        <f ca="1"/>
        <v>-91.357271660465713</v>
      </c>
      <c r="I161" s="7">
        <f ca="1"/>
        <v>1</v>
      </c>
      <c r="J161">
        <f ca="1"/>
        <v>6.744266869943587</v>
      </c>
      <c r="K161">
        <f ca="1"/>
        <v>0</v>
      </c>
      <c r="L161">
        <f ca="1"/>
        <v>1.8984614695906998</v>
      </c>
    </row>
    <row r="162" spans="2:12" x14ac:dyDescent="0.35">
      <c r="B162">
        <v>0.152</v>
      </c>
      <c r="C162">
        <f ca="1"/>
        <v>-7.2968906600125047E-2</v>
      </c>
      <c r="D162">
        <f ca="1"/>
        <v>1</v>
      </c>
      <c r="E162">
        <f ca="1"/>
        <v>98.252078394494873</v>
      </c>
      <c r="F162" s="10">
        <f ca="1"/>
        <v>0</v>
      </c>
      <c r="G162" s="7">
        <f ca="1"/>
        <v>0</v>
      </c>
      <c r="H162">
        <f ca="1"/>
        <v>-91.357271660465713</v>
      </c>
      <c r="I162" s="7">
        <f ca="1"/>
        <v>1</v>
      </c>
      <c r="J162">
        <f ca="1"/>
        <v>6.8948067340291601</v>
      </c>
      <c r="K162">
        <f ca="1"/>
        <v>0</v>
      </c>
      <c r="L162">
        <f ca="1"/>
        <v>1.7479216055051268</v>
      </c>
    </row>
    <row r="163" spans="2:12" x14ac:dyDescent="0.35">
      <c r="B163">
        <v>0.153</v>
      </c>
      <c r="C163">
        <f ca="1"/>
        <v>-8.7679336383613873E-2</v>
      </c>
      <c r="D163">
        <f ca="1"/>
        <v>1</v>
      </c>
      <c r="E163">
        <f ca="1"/>
        <v>97.961477897168464</v>
      </c>
      <c r="F163" s="10">
        <f ca="1"/>
        <v>0</v>
      </c>
      <c r="G163" s="7">
        <f ca="1"/>
        <v>0</v>
      </c>
      <c r="H163">
        <f ca="1"/>
        <v>-91.357271660465713</v>
      </c>
      <c r="I163" s="7">
        <f ca="1"/>
        <v>1</v>
      </c>
      <c r="J163">
        <f ca="1"/>
        <v>6.6042062367027512</v>
      </c>
      <c r="K163">
        <f ca="1"/>
        <v>0</v>
      </c>
      <c r="L163">
        <f ca="1"/>
        <v>2.0385221028315357</v>
      </c>
    </row>
    <row r="164" spans="2:12" x14ac:dyDescent="0.35">
      <c r="B164">
        <v>0.154</v>
      </c>
      <c r="C164">
        <f ca="1"/>
        <v>-4.2904396589159455E-2</v>
      </c>
      <c r="D164">
        <f ca="1"/>
        <v>1</v>
      </c>
      <c r="E164">
        <f ca="1"/>
        <v>98.840684523717542</v>
      </c>
      <c r="F164" s="10">
        <f ca="1"/>
        <v>0</v>
      </c>
      <c r="G164" s="7">
        <f ca="1"/>
        <v>0</v>
      </c>
      <c r="H164">
        <f ca="1"/>
        <v>-91.357271660465713</v>
      </c>
      <c r="I164" s="7">
        <f ca="1"/>
        <v>1</v>
      </c>
      <c r="J164">
        <f ca="1"/>
        <v>7.4834128632518286</v>
      </c>
      <c r="K164">
        <f ca="1"/>
        <v>0</v>
      </c>
      <c r="L164">
        <f ca="1"/>
        <v>1.1593154762824582</v>
      </c>
    </row>
    <row r="165" spans="2:12" x14ac:dyDescent="0.35">
      <c r="B165">
        <v>0.155</v>
      </c>
      <c r="C165">
        <f ca="1"/>
        <v>-9.7568987917482711E-3</v>
      </c>
      <c r="D165">
        <f ca="1"/>
        <v>1</v>
      </c>
      <c r="E165">
        <f ca="1"/>
        <v>99.496135700528058</v>
      </c>
      <c r="F165" s="10">
        <f ca="1"/>
        <v>0</v>
      </c>
      <c r="G165" s="7">
        <f ca="1"/>
        <v>0</v>
      </c>
      <c r="H165">
        <f ca="1"/>
        <v>-91.357271660465713</v>
      </c>
      <c r="I165">
        <f ca="1"/>
        <v>1</v>
      </c>
      <c r="J165">
        <f ca="1"/>
        <v>8.1388640400623444</v>
      </c>
      <c r="K165">
        <f ca="1"/>
        <v>0</v>
      </c>
      <c r="L165">
        <f ca="1"/>
        <v>0.50386429947194245</v>
      </c>
    </row>
    <row r="166" spans="2:12" x14ac:dyDescent="0.35">
      <c r="B166">
        <v>0.156</v>
      </c>
      <c r="C166">
        <f ca="1"/>
        <v>-3.0847891686889405E-3</v>
      </c>
      <c r="D166">
        <f ca="1"/>
        <v>1</v>
      </c>
      <c r="E166">
        <f ca="1"/>
        <v>99.627001590362909</v>
      </c>
      <c r="F166" s="10">
        <f ca="1"/>
        <v>0</v>
      </c>
      <c r="G166" s="7">
        <f ca="1"/>
        <v>0</v>
      </c>
      <c r="H166">
        <f ca="1"/>
        <v>-91.357271660465713</v>
      </c>
      <c r="I166">
        <f ca="1"/>
        <v>1</v>
      </c>
      <c r="J166">
        <f ca="1"/>
        <v>8.2697299298971956</v>
      </c>
      <c r="K166">
        <f ca="1"/>
        <v>0</v>
      </c>
      <c r="L166">
        <f ca="1"/>
        <v>0.3729984096370913</v>
      </c>
    </row>
    <row r="167" spans="2:12" x14ac:dyDescent="0.35">
      <c r="B167">
        <v>0.157</v>
      </c>
      <c r="C167">
        <f ca="1"/>
        <v>-2.3256498776162184E-2</v>
      </c>
      <c r="D167">
        <f ca="1"/>
        <v>1</v>
      </c>
      <c r="E167">
        <f ca="1"/>
        <v>99.223897374637531</v>
      </c>
      <c r="F167" s="10">
        <f ca="1"/>
        <v>0</v>
      </c>
      <c r="G167" s="7">
        <f ca="1"/>
        <v>0</v>
      </c>
      <c r="H167">
        <f ca="1"/>
        <v>-91.357271660465713</v>
      </c>
      <c r="I167">
        <f ca="1"/>
        <v>1</v>
      </c>
      <c r="J167">
        <f ca="1"/>
        <v>7.8666257141718177</v>
      </c>
      <c r="K167">
        <f ca="1"/>
        <v>0</v>
      </c>
      <c r="L167">
        <f ca="1"/>
        <v>0.77610262536246921</v>
      </c>
    </row>
    <row r="168" spans="2:12" x14ac:dyDescent="0.35">
      <c r="B168">
        <v>0.158</v>
      </c>
      <c r="C168">
        <f ca="1"/>
        <v>-1.1770900141366107E-3</v>
      </c>
      <c r="D168">
        <f ca="1"/>
        <v>1</v>
      </c>
      <c r="E168">
        <f ca="1"/>
        <v>99.661033991019551</v>
      </c>
      <c r="F168" s="10">
        <f ca="1"/>
        <v>0</v>
      </c>
      <c r="G168" s="7">
        <f ca="1"/>
        <v>0</v>
      </c>
      <c r="H168">
        <f ca="1"/>
        <v>-91.357271660465713</v>
      </c>
      <c r="I168">
        <f ca="1"/>
        <v>1</v>
      </c>
      <c r="J168">
        <f ca="1"/>
        <v>8.3037623305538375</v>
      </c>
      <c r="K168">
        <f ca="1"/>
        <v>0</v>
      </c>
      <c r="L168">
        <f ca="1"/>
        <v>0.33896600898044937</v>
      </c>
    </row>
    <row r="169" spans="2:12" x14ac:dyDescent="0.35">
      <c r="B169">
        <v>0.159</v>
      </c>
      <c r="C169">
        <f ca="1"/>
        <v>2.5579043201156941E-2</v>
      </c>
      <c r="D169">
        <f ca="1"/>
        <v>1</v>
      </c>
      <c r="E169">
        <f ca="1"/>
        <v>100.19376835273897</v>
      </c>
      <c r="F169" s="10">
        <f ca="1"/>
        <v>100.19376835273897</v>
      </c>
      <c r="G169" s="7">
        <f ca="1"/>
        <v>-1</v>
      </c>
      <c r="H169">
        <f ca="1"/>
        <v>8.8364966922732577</v>
      </c>
      <c r="I169">
        <f ca="1"/>
        <v>0</v>
      </c>
      <c r="J169">
        <f ca="1"/>
        <v>8.8364966922732577</v>
      </c>
      <c r="K169">
        <f ca="1"/>
        <v>0</v>
      </c>
      <c r="L169">
        <f ca="1"/>
        <v>0</v>
      </c>
    </row>
    <row r="170" spans="2:12" x14ac:dyDescent="0.35">
      <c r="B170">
        <v>0.16</v>
      </c>
      <c r="C170">
        <f ca="1"/>
        <v>-1.4864077508572965E-2</v>
      </c>
      <c r="D170">
        <f ca="1"/>
        <v>1</v>
      </c>
      <c r="E170">
        <f ca="1"/>
        <v>99.384619718318049</v>
      </c>
      <c r="F170" s="10">
        <f ca="1"/>
        <v>-99.384619718318049</v>
      </c>
      <c r="G170" s="7">
        <f ca="1"/>
        <v>1</v>
      </c>
      <c r="H170">
        <f ca="1"/>
        <v>-90.548123026044792</v>
      </c>
      <c r="I170">
        <f ca="1"/>
        <v>1</v>
      </c>
      <c r="J170">
        <f ca="1"/>
        <v>8.8364966922732577</v>
      </c>
      <c r="K170">
        <f ca="1"/>
        <v>0</v>
      </c>
      <c r="L170">
        <f ca="1"/>
        <v>0.61538028168195069</v>
      </c>
    </row>
    <row r="171" spans="2:12" x14ac:dyDescent="0.35">
      <c r="B171">
        <v>0.161</v>
      </c>
      <c r="C171">
        <f ca="1"/>
        <v>-3.1962970911705441E-3</v>
      </c>
      <c r="D171">
        <f ca="1"/>
        <v>1</v>
      </c>
      <c r="E171">
        <f ca="1"/>
        <v>99.614817795273709</v>
      </c>
      <c r="F171" s="10">
        <f ca="1"/>
        <v>0</v>
      </c>
      <c r="G171" s="7">
        <f ca="1"/>
        <v>0</v>
      </c>
      <c r="H171">
        <f ca="1"/>
        <v>-90.548123026044792</v>
      </c>
      <c r="I171">
        <f ca="1"/>
        <v>1</v>
      </c>
      <c r="J171">
        <f ca="1"/>
        <v>9.066694769228917</v>
      </c>
      <c r="K171">
        <f ca="1"/>
        <v>0</v>
      </c>
      <c r="L171">
        <f ca="1"/>
        <v>0.38518220472629139</v>
      </c>
    </row>
    <row r="172" spans="2:12" x14ac:dyDescent="0.35">
      <c r="B172">
        <v>0.16200000000000001</v>
      </c>
      <c r="C172">
        <f ca="1"/>
        <v>1.9863675643680242E-2</v>
      </c>
      <c r="D172">
        <f ca="1"/>
        <v>1</v>
      </c>
      <c r="E172">
        <f ca="1"/>
        <v>100.07330036447001</v>
      </c>
      <c r="F172" s="10">
        <f ca="1"/>
        <v>100.07330036447001</v>
      </c>
      <c r="G172" s="7">
        <f ca="1"/>
        <v>-1</v>
      </c>
      <c r="H172">
        <f ca="1"/>
        <v>9.5251773384252232</v>
      </c>
      <c r="I172">
        <f ca="1"/>
        <v>0</v>
      </c>
      <c r="J172">
        <f ca="1"/>
        <v>9.5251773384252232</v>
      </c>
      <c r="K172">
        <f ca="1"/>
        <v>0</v>
      </c>
      <c r="L172">
        <f ca="1"/>
        <v>0</v>
      </c>
    </row>
    <row r="173" spans="2:12" x14ac:dyDescent="0.35">
      <c r="B173">
        <v>0.16300000000000001</v>
      </c>
      <c r="C173">
        <f ca="1"/>
        <v>4.0001675875692033E-2</v>
      </c>
      <c r="D173">
        <f ca="1"/>
        <v>1</v>
      </c>
      <c r="E173">
        <f ca="1"/>
        <v>100.47515883381533</v>
      </c>
      <c r="F173" s="10">
        <f ca="1"/>
        <v>0</v>
      </c>
      <c r="G173" s="7">
        <f ca="1"/>
        <v>0</v>
      </c>
      <c r="H173">
        <f ca="1"/>
        <v>9.5251773384252232</v>
      </c>
      <c r="I173">
        <f ca="1"/>
        <v>0</v>
      </c>
      <c r="J173">
        <f ca="1"/>
        <v>9.5251773384252232</v>
      </c>
      <c r="K173">
        <f ca="1"/>
        <v>0</v>
      </c>
      <c r="L173">
        <f ca="1"/>
        <v>0</v>
      </c>
    </row>
    <row r="174" spans="2:12" x14ac:dyDescent="0.35">
      <c r="B174">
        <v>0.16400000000000001</v>
      </c>
      <c r="C174">
        <f ca="1"/>
        <v>1.3676140698818392E-2</v>
      </c>
      <c r="D174">
        <f ca="1"/>
        <v>1</v>
      </c>
      <c r="E174">
        <f ca="1"/>
        <v>99.94553765010113</v>
      </c>
      <c r="F174" s="10">
        <f ca="1"/>
        <v>-99.94553765010113</v>
      </c>
      <c r="G174" s="7">
        <f ca="1"/>
        <v>1</v>
      </c>
      <c r="H174">
        <f ca="1"/>
        <v>-90.420360311675907</v>
      </c>
      <c r="I174">
        <f ca="1"/>
        <v>1</v>
      </c>
      <c r="J174">
        <f ca="1"/>
        <v>9.5251773384252232</v>
      </c>
      <c r="K174">
        <f ca="1"/>
        <v>0</v>
      </c>
      <c r="L174">
        <f ca="1"/>
        <v>5.4462349898869888E-2</v>
      </c>
    </row>
    <row r="175" spans="2:12" x14ac:dyDescent="0.35">
      <c r="B175">
        <v>0.16500000000000001</v>
      </c>
      <c r="C175">
        <f ca="1"/>
        <v>1.4421990362059153E-2</v>
      </c>
      <c r="D175">
        <f ca="1"/>
        <v>1</v>
      </c>
      <c r="E175">
        <f ca="1"/>
        <v>99.958448442293005</v>
      </c>
      <c r="F175" s="10">
        <f ca="1"/>
        <v>0</v>
      </c>
      <c r="G175" s="7">
        <f ca="1"/>
        <v>0</v>
      </c>
      <c r="H175">
        <f ca="1"/>
        <v>-90.420360311675907</v>
      </c>
      <c r="I175">
        <f ca="1"/>
        <v>1</v>
      </c>
      <c r="J175">
        <f ca="1"/>
        <v>9.5380881306170977</v>
      </c>
      <c r="K175">
        <f ca="1"/>
        <v>0</v>
      </c>
      <c r="L175">
        <f ca="1"/>
        <v>4.1551557706995368E-2</v>
      </c>
    </row>
    <row r="176" spans="2:12" x14ac:dyDescent="0.35">
      <c r="B176">
        <v>0.16600000000000001</v>
      </c>
      <c r="C176">
        <f ca="1"/>
        <v>1.6133466364457595E-2</v>
      </c>
      <c r="D176">
        <f ca="1"/>
        <v>1</v>
      </c>
      <c r="E176">
        <f ca="1"/>
        <v>99.990669762582883</v>
      </c>
      <c r="F176" s="10">
        <f ca="1"/>
        <v>0</v>
      </c>
      <c r="G176" s="7">
        <f ca="1"/>
        <v>0</v>
      </c>
      <c r="H176">
        <f ca="1"/>
        <v>-90.420360311675907</v>
      </c>
      <c r="I176">
        <f ca="1"/>
        <v>1</v>
      </c>
      <c r="J176">
        <f ca="1"/>
        <v>9.5703094509069757</v>
      </c>
      <c r="K176">
        <f ca="1"/>
        <v>0</v>
      </c>
      <c r="L176">
        <f ca="1"/>
        <v>9.3302374171173597E-3</v>
      </c>
    </row>
    <row r="177" spans="2:12" x14ac:dyDescent="0.35">
      <c r="B177">
        <v>0.16700000000000001</v>
      </c>
      <c r="C177">
        <f ca="1"/>
        <v>3.5869476608549292E-2</v>
      </c>
      <c r="D177">
        <f ca="1"/>
        <v>1</v>
      </c>
      <c r="E177">
        <f ca="1"/>
        <v>100.38412540996349</v>
      </c>
      <c r="F177" s="10">
        <f ca="1"/>
        <v>100.38412540996349</v>
      </c>
      <c r="G177" s="7">
        <f ca="1"/>
        <v>-1</v>
      </c>
      <c r="H177">
        <f ca="1"/>
        <v>9.9637650982875812</v>
      </c>
      <c r="I177">
        <f ca="1"/>
        <v>0</v>
      </c>
      <c r="J177">
        <f ca="1"/>
        <v>9.9637650982875812</v>
      </c>
      <c r="K177">
        <f ca="1"/>
        <v>0</v>
      </c>
      <c r="L177">
        <f ca="1"/>
        <v>0</v>
      </c>
    </row>
    <row r="178" spans="2:12" x14ac:dyDescent="0.35">
      <c r="B178">
        <v>0.16800000000000001</v>
      </c>
      <c r="C178">
        <f ca="1"/>
        <v>2.7213155727959376E-2</v>
      </c>
      <c r="D178">
        <f ca="1"/>
        <v>1</v>
      </c>
      <c r="E178">
        <f ca="1"/>
        <v>100.20848013281378</v>
      </c>
      <c r="F178" s="10">
        <f ca="1"/>
        <v>0</v>
      </c>
      <c r="G178" s="7">
        <f ca="1"/>
        <v>0</v>
      </c>
      <c r="H178">
        <f ca="1"/>
        <v>9.9637650982875812</v>
      </c>
      <c r="I178">
        <f ca="1"/>
        <v>0</v>
      </c>
      <c r="J178">
        <f ca="1"/>
        <v>9.9637650982875812</v>
      </c>
      <c r="K178">
        <f ca="1"/>
        <v>0</v>
      </c>
      <c r="L178">
        <f ca="1"/>
        <v>0</v>
      </c>
    </row>
    <row r="179" spans="2:12" x14ac:dyDescent="0.35">
      <c r="B179">
        <v>0.16900000000000001</v>
      </c>
      <c r="C179">
        <f ca="1"/>
        <v>5.5485996579068018E-2</v>
      </c>
      <c r="D179">
        <f ca="1"/>
        <v>1</v>
      </c>
      <c r="E179">
        <f ca="1"/>
        <v>100.77470536463129</v>
      </c>
      <c r="F179" s="10">
        <f ca="1"/>
        <v>0</v>
      </c>
      <c r="G179" s="7">
        <f ca="1"/>
        <v>0</v>
      </c>
      <c r="H179">
        <f ca="1"/>
        <v>9.9637650982875812</v>
      </c>
      <c r="I179">
        <f ca="1"/>
        <v>0</v>
      </c>
      <c r="J179">
        <f ca="1"/>
        <v>9.9637650982875812</v>
      </c>
      <c r="K179">
        <f ca="1"/>
        <v>0</v>
      </c>
      <c r="L179">
        <f ca="1"/>
        <v>0</v>
      </c>
    </row>
    <row r="180" spans="2:12" x14ac:dyDescent="0.35">
      <c r="B180">
        <v>0.17</v>
      </c>
      <c r="C180">
        <f ca="1"/>
        <v>4.2474668738992208E-2</v>
      </c>
      <c r="D180">
        <f ca="1"/>
        <v>1</v>
      </c>
      <c r="E180">
        <f ca="1"/>
        <v>100.51079349935297</v>
      </c>
      <c r="F180" s="10">
        <f ca="1"/>
        <v>0</v>
      </c>
      <c r="G180" s="7">
        <f ca="1"/>
        <v>0</v>
      </c>
      <c r="H180">
        <f ca="1"/>
        <v>9.9637650982875812</v>
      </c>
      <c r="I180">
        <f ca="1"/>
        <v>0</v>
      </c>
      <c r="J180">
        <f ca="1"/>
        <v>9.9637650982875812</v>
      </c>
      <c r="K180">
        <f ca="1"/>
        <v>0</v>
      </c>
      <c r="L180">
        <f ca="1"/>
        <v>0</v>
      </c>
    </row>
    <row r="181" spans="2:12" x14ac:dyDescent="0.35">
      <c r="B181">
        <v>0.17100000000000001</v>
      </c>
      <c r="C181">
        <f ca="1"/>
        <v>4.3675768280911874E-2</v>
      </c>
      <c r="D181">
        <f ca="1"/>
        <v>1</v>
      </c>
      <c r="E181">
        <f ca="1"/>
        <v>100.53293041449423</v>
      </c>
      <c r="F181" s="10">
        <f ca="1"/>
        <v>0</v>
      </c>
      <c r="G181" s="7">
        <f ca="1"/>
        <v>0</v>
      </c>
      <c r="H181">
        <f ca="1"/>
        <v>9.9637650982875812</v>
      </c>
      <c r="I181">
        <f ca="1"/>
        <v>0</v>
      </c>
      <c r="J181">
        <f ca="1"/>
        <v>9.9637650982875812</v>
      </c>
      <c r="K181">
        <f ca="1"/>
        <v>0</v>
      </c>
      <c r="L181">
        <f ca="1"/>
        <v>0</v>
      </c>
    </row>
    <row r="182" spans="2:12" x14ac:dyDescent="0.35">
      <c r="B182">
        <v>0.17200000000000001</v>
      </c>
      <c r="C182">
        <f ca="1"/>
        <v>7.9024172466008319E-2</v>
      </c>
      <c r="D182">
        <f ca="1"/>
        <v>1</v>
      </c>
      <c r="E182">
        <f ca="1"/>
        <v>101.24415951104015</v>
      </c>
      <c r="F182" s="10">
        <f ca="1"/>
        <v>0</v>
      </c>
      <c r="G182" s="7">
        <f ca="1"/>
        <v>0</v>
      </c>
      <c r="H182">
        <f ca="1"/>
        <v>9.9637650982875812</v>
      </c>
      <c r="I182">
        <f ca="1"/>
        <v>0</v>
      </c>
      <c r="J182">
        <f ca="1"/>
        <v>9.9637650982875812</v>
      </c>
      <c r="K182">
        <f ca="1"/>
        <v>0</v>
      </c>
      <c r="L182">
        <f ca="1"/>
        <v>0</v>
      </c>
    </row>
    <row r="183" spans="2:12" x14ac:dyDescent="0.35">
      <c r="B183">
        <v>0.17300000000000001</v>
      </c>
      <c r="C183">
        <f ca="1"/>
        <v>6.47434353580566E-2</v>
      </c>
      <c r="D183">
        <f ca="1"/>
        <v>1</v>
      </c>
      <c r="E183">
        <f ca="1"/>
        <v>100.95338473871338</v>
      </c>
      <c r="F183" s="10">
        <f ca="1"/>
        <v>0</v>
      </c>
      <c r="G183" s="7">
        <f ca="1"/>
        <v>0</v>
      </c>
      <c r="H183">
        <f ca="1"/>
        <v>9.9637650982875812</v>
      </c>
      <c r="I183">
        <f ca="1"/>
        <v>0</v>
      </c>
      <c r="J183">
        <f ca="1"/>
        <v>9.9637650982875812</v>
      </c>
      <c r="K183">
        <f ca="1"/>
        <v>0</v>
      </c>
      <c r="L183">
        <f ca="1"/>
        <v>0</v>
      </c>
    </row>
    <row r="184" spans="2:12" x14ac:dyDescent="0.35">
      <c r="B184">
        <v>0.17400000000000002</v>
      </c>
      <c r="C184">
        <f ca="1"/>
        <v>8.8418138536329946E-2</v>
      </c>
      <c r="D184">
        <f ca="1"/>
        <v>1</v>
      </c>
      <c r="E184">
        <f ca="1"/>
        <v>101.43049785084676</v>
      </c>
      <c r="F184" s="10">
        <f ca="1"/>
        <v>0</v>
      </c>
      <c r="G184" s="7">
        <f ca="1"/>
        <v>0</v>
      </c>
      <c r="H184">
        <f ca="1"/>
        <v>9.9637650982875812</v>
      </c>
      <c r="I184">
        <f ca="1"/>
        <v>0</v>
      </c>
      <c r="J184">
        <f ca="1"/>
        <v>9.9637650982875812</v>
      </c>
      <c r="K184">
        <f ca="1"/>
        <v>0</v>
      </c>
      <c r="L184">
        <f ca="1"/>
        <v>0</v>
      </c>
    </row>
    <row r="185" spans="2:12" x14ac:dyDescent="0.35">
      <c r="B185">
        <v>0.17500000000000002</v>
      </c>
      <c r="C185">
        <f ca="1"/>
        <v>2.966390314321795E-2</v>
      </c>
      <c r="D185">
        <f ca="1"/>
        <v>1</v>
      </c>
      <c r="E185">
        <f ca="1"/>
        <v>100.2435742240601</v>
      </c>
      <c r="F185" s="10">
        <f ca="1"/>
        <v>0</v>
      </c>
      <c r="G185" s="7">
        <f ca="1"/>
        <v>0</v>
      </c>
      <c r="H185">
        <f ca="1"/>
        <v>9.9637650982875812</v>
      </c>
      <c r="I185">
        <f ca="1"/>
        <v>0</v>
      </c>
      <c r="J185">
        <f ca="1"/>
        <v>9.9637650982875812</v>
      </c>
      <c r="K185">
        <f ca="1"/>
        <v>0</v>
      </c>
      <c r="L185">
        <f ca="1"/>
        <v>0</v>
      </c>
    </row>
    <row r="186" spans="2:12" x14ac:dyDescent="0.35">
      <c r="B186">
        <v>0.17599999999999999</v>
      </c>
      <c r="C186">
        <f ca="1"/>
        <v>7.1036086993376962E-2</v>
      </c>
      <c r="D186">
        <f ca="1"/>
        <v>1</v>
      </c>
      <c r="E186">
        <f ca="1"/>
        <v>101.07445296942295</v>
      </c>
      <c r="F186" s="10">
        <f ca="1"/>
        <v>0</v>
      </c>
      <c r="G186" s="7">
        <f ca="1"/>
        <v>0</v>
      </c>
      <c r="H186">
        <f ca="1"/>
        <v>9.9637650982875812</v>
      </c>
      <c r="I186">
        <f ca="1"/>
        <v>0</v>
      </c>
      <c r="J186">
        <f ca="1"/>
        <v>9.9637650982875812</v>
      </c>
      <c r="K186">
        <f ca="1"/>
        <v>0</v>
      </c>
      <c r="L186">
        <f ca="1"/>
        <v>0</v>
      </c>
    </row>
    <row r="187" spans="2:12" x14ac:dyDescent="0.35">
      <c r="B187">
        <v>0.17699999999999999</v>
      </c>
      <c r="C187">
        <f ca="1"/>
        <v>3.4132846834646277E-2</v>
      </c>
      <c r="D187">
        <f ca="1"/>
        <v>1</v>
      </c>
      <c r="E187">
        <f ca="1"/>
        <v>100.32919760575632</v>
      </c>
      <c r="F187">
        <f ca="1"/>
        <v>0</v>
      </c>
      <c r="G187" s="7">
        <f ca="1"/>
        <v>0</v>
      </c>
      <c r="H187">
        <f ca="1"/>
        <v>9.9637650982875812</v>
      </c>
      <c r="I187">
        <f ca="1"/>
        <v>0</v>
      </c>
      <c r="J187">
        <f ca="1"/>
        <v>9.9637650982875812</v>
      </c>
      <c r="K187">
        <f ca="1"/>
        <v>0</v>
      </c>
      <c r="L187">
        <f ca="1"/>
        <v>0</v>
      </c>
    </row>
    <row r="188" spans="2:12" x14ac:dyDescent="0.35">
      <c r="B188">
        <v>0.17799999999999999</v>
      </c>
      <c r="C188">
        <f ca="1"/>
        <v>1.8963600354158831E-2</v>
      </c>
      <c r="D188">
        <f ca="1"/>
        <v>1</v>
      </c>
      <c r="E188">
        <f ca="1"/>
        <v>100.02327471522483</v>
      </c>
      <c r="F188">
        <f ca="1"/>
        <v>0</v>
      </c>
      <c r="G188" s="7">
        <f ca="1"/>
        <v>0</v>
      </c>
      <c r="H188">
        <f ca="1"/>
        <v>9.9637650982875812</v>
      </c>
      <c r="I188">
        <f ca="1"/>
        <v>0</v>
      </c>
      <c r="J188">
        <f ca="1"/>
        <v>9.9637650982875812</v>
      </c>
      <c r="K188">
        <f ca="1"/>
        <v>0</v>
      </c>
      <c r="L188">
        <f ca="1"/>
        <v>0</v>
      </c>
    </row>
    <row r="189" spans="2:12" x14ac:dyDescent="0.35">
      <c r="B189">
        <v>0.17899999999999999</v>
      </c>
      <c r="C189">
        <f ca="1"/>
        <v>1.0539654079606751E-2</v>
      </c>
      <c r="D189">
        <f ca="1"/>
        <v>1</v>
      </c>
      <c r="E189">
        <f ca="1"/>
        <v>99.852901377829909</v>
      </c>
      <c r="F189">
        <f ca="1"/>
        <v>-99.852901377829909</v>
      </c>
      <c r="G189" s="7">
        <f ca="1"/>
        <v>1</v>
      </c>
      <c r="H189">
        <f ca="1"/>
        <v>-89.889136279542328</v>
      </c>
      <c r="I189">
        <f ca="1"/>
        <v>1</v>
      </c>
      <c r="J189">
        <f ca="1"/>
        <v>9.9637650982875812</v>
      </c>
      <c r="K189">
        <f ca="1"/>
        <v>0</v>
      </c>
      <c r="L189">
        <f ca="1"/>
        <v>0.14709862217009118</v>
      </c>
    </row>
    <row r="190" spans="2:12" x14ac:dyDescent="0.35">
      <c r="B190">
        <v>0.18</v>
      </c>
      <c r="C190">
        <f ca="1"/>
        <v>4.2406328116516068E-2</v>
      </c>
      <c r="D190">
        <f ca="1"/>
        <v>1</v>
      </c>
      <c r="E190">
        <f ca="1"/>
        <v>100.4893198408143</v>
      </c>
      <c r="F190">
        <f ca="1"/>
        <v>100.4893198408143</v>
      </c>
      <c r="G190" s="7">
        <f ca="1"/>
        <v>-1</v>
      </c>
      <c r="H190">
        <f ca="1"/>
        <v>10.600183561271976</v>
      </c>
      <c r="I190">
        <f ca="1"/>
        <v>0</v>
      </c>
      <c r="J190">
        <f ca="1"/>
        <v>10.600183561271976</v>
      </c>
      <c r="K190">
        <f ca="1"/>
        <v>0</v>
      </c>
      <c r="L190">
        <f ca="1"/>
        <v>0</v>
      </c>
    </row>
    <row r="191" spans="2:12" x14ac:dyDescent="0.35">
      <c r="B191">
        <v>0.18099999999999999</v>
      </c>
      <c r="C191">
        <f ca="1"/>
        <v>5.7556481255455788E-2</v>
      </c>
      <c r="D191">
        <f ca="1"/>
        <v>1</v>
      </c>
      <c r="E191">
        <f ca="1"/>
        <v>100.79225145930511</v>
      </c>
      <c r="F191">
        <f ca="1"/>
        <v>0</v>
      </c>
      <c r="G191" s="7">
        <f ca="1"/>
        <v>0</v>
      </c>
      <c r="H191">
        <f ca="1"/>
        <v>10.600183561271976</v>
      </c>
      <c r="I191">
        <f ca="1"/>
        <v>0</v>
      </c>
      <c r="J191">
        <f ca="1"/>
        <v>10.600183561271976</v>
      </c>
      <c r="K191">
        <f ca="1"/>
        <v>0</v>
      </c>
      <c r="L191">
        <f ca="1"/>
        <v>0</v>
      </c>
    </row>
    <row r="192" spans="2:12" x14ac:dyDescent="0.35">
      <c r="B192">
        <v>0.182</v>
      </c>
      <c r="C192">
        <f ca="1"/>
        <v>4.5079114753386745E-2</v>
      </c>
      <c r="D192">
        <f ca="1"/>
        <v>1</v>
      </c>
      <c r="E192">
        <f ca="1"/>
        <v>100.5390298614787</v>
      </c>
      <c r="F192">
        <f ca="1"/>
        <v>0</v>
      </c>
      <c r="G192" s="7">
        <f ca="1"/>
        <v>0</v>
      </c>
      <c r="H192">
        <f ca="1"/>
        <v>10.600183561271976</v>
      </c>
      <c r="I192">
        <f ca="1"/>
        <v>0</v>
      </c>
      <c r="J192">
        <f ca="1"/>
        <v>10.600183561271976</v>
      </c>
      <c r="K192">
        <f ca="1"/>
        <v>0</v>
      </c>
      <c r="L192">
        <f ca="1"/>
        <v>0</v>
      </c>
    </row>
    <row r="193" spans="2:12" x14ac:dyDescent="0.35">
      <c r="B193">
        <v>0.183</v>
      </c>
      <c r="C193">
        <f ca="1"/>
        <v>5.2567467837724396E-2</v>
      </c>
      <c r="D193">
        <f ca="1"/>
        <v>1</v>
      </c>
      <c r="E193">
        <f ca="1"/>
        <v>100.68770324984963</v>
      </c>
      <c r="F193">
        <f ca="1"/>
        <v>0</v>
      </c>
      <c r="G193" s="7">
        <f ca="1"/>
        <v>0</v>
      </c>
      <c r="H193">
        <f ca="1"/>
        <v>10.600183561271976</v>
      </c>
      <c r="I193">
        <f ca="1"/>
        <v>0</v>
      </c>
      <c r="J193">
        <f ca="1"/>
        <v>10.600183561271976</v>
      </c>
      <c r="K193">
        <f ca="1"/>
        <v>0</v>
      </c>
      <c r="L193">
        <f ca="1"/>
        <v>0</v>
      </c>
    </row>
    <row r="194" spans="2:12" x14ac:dyDescent="0.35">
      <c r="B194">
        <v>0.184</v>
      </c>
      <c r="C194">
        <f ca="1"/>
        <v>7.0980617147735514E-2</v>
      </c>
      <c r="D194">
        <f ca="1"/>
        <v>1</v>
      </c>
      <c r="E194">
        <f ca="1"/>
        <v>101.05716121938619</v>
      </c>
      <c r="F194">
        <f ca="1"/>
        <v>0</v>
      </c>
      <c r="G194" s="7">
        <f ca="1"/>
        <v>0</v>
      </c>
      <c r="H194">
        <f ca="1"/>
        <v>10.600183561271976</v>
      </c>
      <c r="I194">
        <f ca="1"/>
        <v>0</v>
      </c>
      <c r="J194">
        <f ca="1"/>
        <v>10.600183561271976</v>
      </c>
      <c r="K194">
        <f ca="1"/>
        <v>0</v>
      </c>
      <c r="L194">
        <f ca="1"/>
        <v>0</v>
      </c>
    </row>
    <row r="195" spans="2:12" x14ac:dyDescent="0.35">
      <c r="B195">
        <v>0.185</v>
      </c>
      <c r="C195">
        <f ca="1"/>
        <v>2.9296770215585063E-2</v>
      </c>
      <c r="D195">
        <f ca="1"/>
        <v>1</v>
      </c>
      <c r="E195">
        <f ca="1"/>
        <v>100.21616871270747</v>
      </c>
      <c r="F195">
        <f ca="1"/>
        <v>0</v>
      </c>
      <c r="G195" s="7">
        <f ca="1"/>
        <v>0</v>
      </c>
      <c r="H195">
        <f ca="1"/>
        <v>10.600183561271976</v>
      </c>
      <c r="I195">
        <f ca="1"/>
        <v>0</v>
      </c>
      <c r="J195">
        <f ca="1"/>
        <v>10.600183561271976</v>
      </c>
      <c r="K195">
        <f ca="1"/>
        <v>0</v>
      </c>
      <c r="L195">
        <f ca="1"/>
        <v>0</v>
      </c>
    </row>
    <row r="196" spans="2:12" x14ac:dyDescent="0.35">
      <c r="B196">
        <v>0.186</v>
      </c>
      <c r="C196">
        <f ca="1"/>
        <v>4.0542549419116891E-2</v>
      </c>
      <c r="D196">
        <f ca="1"/>
        <v>1</v>
      </c>
      <c r="E196">
        <f ca="1"/>
        <v>100.43981534951909</v>
      </c>
      <c r="F196">
        <f ca="1"/>
        <v>0</v>
      </c>
      <c r="G196" s="7">
        <f ca="1"/>
        <v>0</v>
      </c>
      <c r="H196">
        <f ca="1"/>
        <v>10.600183561271976</v>
      </c>
      <c r="I196">
        <f ca="1"/>
        <v>0</v>
      </c>
      <c r="J196">
        <f ca="1"/>
        <v>10.600183561271976</v>
      </c>
      <c r="K196">
        <f ca="1"/>
        <v>0</v>
      </c>
      <c r="L196">
        <f ca="1"/>
        <v>0</v>
      </c>
    </row>
    <row r="197" spans="2:12" x14ac:dyDescent="0.35">
      <c r="B197">
        <v>0.187</v>
      </c>
      <c r="C197">
        <f ca="1"/>
        <v>7.9624399284108693E-2</v>
      </c>
      <c r="D197">
        <f ca="1"/>
        <v>1</v>
      </c>
      <c r="E197">
        <f ca="1"/>
        <v>101.2259417943602</v>
      </c>
      <c r="F197">
        <f ca="1"/>
        <v>0</v>
      </c>
      <c r="G197" s="7">
        <f ca="1"/>
        <v>0</v>
      </c>
      <c r="H197">
        <f ca="1"/>
        <v>10.600183561271976</v>
      </c>
      <c r="I197">
        <f ca="1"/>
        <v>0</v>
      </c>
      <c r="J197">
        <f ca="1"/>
        <v>10.600183561271976</v>
      </c>
      <c r="K197">
        <f ca="1"/>
        <v>0</v>
      </c>
      <c r="L197">
        <f ca="1"/>
        <v>0</v>
      </c>
    </row>
    <row r="198" spans="2:12" x14ac:dyDescent="0.35">
      <c r="B198">
        <v>0.188</v>
      </c>
      <c r="C198">
        <f ca="1"/>
        <v>7.9435990667162198E-2</v>
      </c>
      <c r="D198">
        <f ca="1"/>
        <v>1</v>
      </c>
      <c r="E198">
        <f ca="1"/>
        <v>101.22010307598109</v>
      </c>
      <c r="F198">
        <f ca="1"/>
        <v>0</v>
      </c>
      <c r="G198" s="7">
        <f ca="1"/>
        <v>0</v>
      </c>
      <c r="H198">
        <f ca="1"/>
        <v>10.600183561271976</v>
      </c>
      <c r="I198">
        <f ca="1"/>
        <v>0</v>
      </c>
      <c r="J198">
        <f ca="1"/>
        <v>10.600183561271976</v>
      </c>
      <c r="K198">
        <f ca="1"/>
        <v>0</v>
      </c>
      <c r="L198">
        <f ca="1"/>
        <v>0</v>
      </c>
    </row>
    <row r="199" spans="2:12" x14ac:dyDescent="0.35">
      <c r="B199">
        <v>0.189</v>
      </c>
      <c r="C199">
        <f ca="1"/>
        <v>7.7718522487418562E-3</v>
      </c>
      <c r="D199">
        <f ca="1"/>
        <v>1</v>
      </c>
      <c r="E199">
        <f ca="1"/>
        <v>99.777684532680226</v>
      </c>
      <c r="F199">
        <f ca="1"/>
        <v>-99.777684532680226</v>
      </c>
      <c r="G199" s="7">
        <f ca="1"/>
        <v>1</v>
      </c>
      <c r="H199">
        <f ca="1"/>
        <v>-89.17750097140825</v>
      </c>
      <c r="I199">
        <f ca="1"/>
        <v>1</v>
      </c>
      <c r="J199">
        <f ca="1"/>
        <v>10.600183561271976</v>
      </c>
      <c r="K199">
        <f ca="1"/>
        <v>0</v>
      </c>
      <c r="L199">
        <f ca="1"/>
        <v>0.22231546731977403</v>
      </c>
    </row>
    <row r="200" spans="2:12" x14ac:dyDescent="0.35">
      <c r="B200">
        <v>0.19</v>
      </c>
      <c r="C200">
        <f ca="1"/>
        <v>3.4510148765993509E-2</v>
      </c>
      <c r="D200">
        <f ca="1"/>
        <v>1</v>
      </c>
      <c r="E200">
        <f ca="1"/>
        <v>100.310684602628</v>
      </c>
      <c r="F200">
        <f ca="1"/>
        <v>100.310684602628</v>
      </c>
      <c r="G200" s="7">
        <f ca="1"/>
        <v>-1</v>
      </c>
      <c r="H200">
        <f ca="1"/>
        <v>11.133183631219751</v>
      </c>
      <c r="I200">
        <f ca="1"/>
        <v>0</v>
      </c>
      <c r="J200">
        <f ca="1"/>
        <v>11.133183631219751</v>
      </c>
      <c r="K200">
        <f ca="1"/>
        <v>0</v>
      </c>
      <c r="L200">
        <f ca="1"/>
        <v>0</v>
      </c>
    </row>
    <row r="201" spans="2:12" x14ac:dyDescent="0.35">
      <c r="B201">
        <v>0.191</v>
      </c>
      <c r="C201">
        <f ca="1"/>
        <v>2.2299504282625726E-3</v>
      </c>
      <c r="D201">
        <f ca="1"/>
        <v>1</v>
      </c>
      <c r="E201">
        <f ca="1"/>
        <v>99.663167566091033</v>
      </c>
      <c r="F201">
        <f ca="1"/>
        <v>-99.663167566091033</v>
      </c>
      <c r="G201" s="7">
        <f ca="1"/>
        <v>1</v>
      </c>
      <c r="H201">
        <f ca="1"/>
        <v>-88.529983934871282</v>
      </c>
      <c r="I201">
        <f ca="1"/>
        <v>1</v>
      </c>
      <c r="J201">
        <f ca="1"/>
        <v>11.133183631219751</v>
      </c>
      <c r="K201">
        <f ca="1"/>
        <v>0</v>
      </c>
      <c r="L201">
        <f ca="1"/>
        <v>0.33683243390896678</v>
      </c>
    </row>
    <row r="202" spans="2:12" x14ac:dyDescent="0.35">
      <c r="B202">
        <v>0.192</v>
      </c>
      <c r="C202">
        <f ca="1"/>
        <v>3.1802895435190347E-3</v>
      </c>
      <c r="D202">
        <f ca="1"/>
        <v>1</v>
      </c>
      <c r="E202">
        <f ca="1"/>
        <v>99.680118505401211</v>
      </c>
      <c r="F202">
        <f ca="1"/>
        <v>0</v>
      </c>
      <c r="G202" s="7">
        <f ca="1"/>
        <v>0</v>
      </c>
      <c r="H202">
        <f ca="1"/>
        <v>-88.529983934871282</v>
      </c>
      <c r="I202">
        <f ca="1"/>
        <v>1</v>
      </c>
      <c r="J202">
        <f ca="1"/>
        <v>11.150134570529929</v>
      </c>
      <c r="K202">
        <f ca="1"/>
        <v>0</v>
      </c>
      <c r="L202">
        <f ca="1"/>
        <v>0.31988149459878912</v>
      </c>
    </row>
    <row r="203" spans="2:12" x14ac:dyDescent="0.35">
      <c r="B203">
        <v>0.193</v>
      </c>
      <c r="C203">
        <f ca="1"/>
        <v>-2.5763156555940071E-2</v>
      </c>
      <c r="D203">
        <f ca="1"/>
        <v>1</v>
      </c>
      <c r="E203">
        <f ca="1"/>
        <v>99.102786071251941</v>
      </c>
      <c r="F203">
        <f ca="1"/>
        <v>0</v>
      </c>
      <c r="G203" s="7">
        <f ca="1"/>
        <v>0</v>
      </c>
      <c r="H203">
        <f ca="1"/>
        <v>-88.529983934871282</v>
      </c>
      <c r="I203">
        <f ca="1"/>
        <v>1</v>
      </c>
      <c r="J203">
        <f ca="1"/>
        <v>10.572802136380659</v>
      </c>
      <c r="K203">
        <f ca="1"/>
        <v>0</v>
      </c>
      <c r="L203">
        <f ca="1"/>
        <v>0.89721392874805872</v>
      </c>
    </row>
    <row r="204" spans="2:12" x14ac:dyDescent="0.35">
      <c r="B204">
        <v>0.19400000000000001</v>
      </c>
      <c r="C204">
        <f ca="1"/>
        <v>-7.1812360534241157E-2</v>
      </c>
      <c r="D204">
        <f ca="1"/>
        <v>1</v>
      </c>
      <c r="E204">
        <f ca="1"/>
        <v>98.192291457314766</v>
      </c>
      <c r="F204">
        <f ca="1"/>
        <v>0</v>
      </c>
      <c r="G204" s="7">
        <f ca="1"/>
        <v>0</v>
      </c>
      <c r="H204">
        <f ca="1"/>
        <v>-88.529983934871282</v>
      </c>
      <c r="I204">
        <f ca="1"/>
        <v>1</v>
      </c>
      <c r="J204">
        <f ca="1"/>
        <v>9.6623075224434842</v>
      </c>
      <c r="K204">
        <f ca="1"/>
        <v>0</v>
      </c>
      <c r="L204">
        <f ca="1"/>
        <v>1.8077085426852335</v>
      </c>
    </row>
    <row r="205" spans="2:12" x14ac:dyDescent="0.35">
      <c r="B205">
        <v>0.19500000000000001</v>
      </c>
      <c r="C205">
        <f ca="1"/>
        <v>-8.3820113916045255E-2</v>
      </c>
      <c r="D205">
        <f ca="1"/>
        <v>1</v>
      </c>
      <c r="E205">
        <f ca="1"/>
        <v>97.954801510545082</v>
      </c>
      <c r="F205">
        <f ca="1"/>
        <v>0</v>
      </c>
      <c r="G205" s="7">
        <f ca="1"/>
        <v>0</v>
      </c>
      <c r="H205">
        <f ca="1"/>
        <v>-88.529983934871282</v>
      </c>
      <c r="I205">
        <f ca="1"/>
        <v>1</v>
      </c>
      <c r="J205">
        <f ca="1"/>
        <v>9.4248175756737993</v>
      </c>
      <c r="K205">
        <f ca="1"/>
        <v>0</v>
      </c>
      <c r="L205">
        <f ca="1"/>
        <v>2.0451984894549184</v>
      </c>
    </row>
    <row r="206" spans="2:12" x14ac:dyDescent="0.35">
      <c r="B206">
        <v>0.19600000000000001</v>
      </c>
      <c r="C206">
        <f ca="1"/>
        <v>8.700240362486733E-3</v>
      </c>
      <c r="D206">
        <f ca="1"/>
        <v>1</v>
      </c>
      <c r="E206">
        <f ca="1"/>
        <v>99.782242244204994</v>
      </c>
      <c r="F206">
        <f ca="1"/>
        <v>0</v>
      </c>
      <c r="G206" s="7">
        <f ca="1"/>
        <v>0</v>
      </c>
      <c r="H206">
        <f ca="1"/>
        <v>-88.529983934871282</v>
      </c>
      <c r="I206">
        <f ca="1"/>
        <v>1</v>
      </c>
      <c r="J206">
        <f ca="1"/>
        <v>11.252258309333712</v>
      </c>
      <c r="K206">
        <f ca="1"/>
        <v>0</v>
      </c>
      <c r="L206">
        <f ca="1"/>
        <v>0.21775775579500589</v>
      </c>
    </row>
    <row r="207" spans="2:12" x14ac:dyDescent="0.35">
      <c r="B207">
        <v>0.19700000000000001</v>
      </c>
      <c r="C207">
        <f ca="1"/>
        <v>4.7999611128737553E-2</v>
      </c>
      <c r="D207">
        <f ca="1"/>
        <v>1</v>
      </c>
      <c r="E207">
        <f ca="1"/>
        <v>100.56759698473596</v>
      </c>
      <c r="F207">
        <f ca="1"/>
        <v>100.56759698473596</v>
      </c>
      <c r="G207" s="7">
        <f ca="1"/>
        <v>-1</v>
      </c>
      <c r="H207">
        <f ca="1"/>
        <v>12.037613049864675</v>
      </c>
      <c r="I207">
        <f ca="1"/>
        <v>0</v>
      </c>
      <c r="J207">
        <f ca="1"/>
        <v>12.037613049864675</v>
      </c>
      <c r="K207">
        <f ca="1"/>
        <v>0</v>
      </c>
      <c r="L207">
        <f ca="1"/>
        <v>0</v>
      </c>
    </row>
    <row r="208" spans="2:12" x14ac:dyDescent="0.35">
      <c r="B208">
        <v>0.19800000000000001</v>
      </c>
      <c r="C208">
        <f ca="1"/>
        <v>4.1691838132444911E-2</v>
      </c>
      <c r="D208">
        <f ca="1"/>
        <v>1</v>
      </c>
      <c r="E208">
        <f ca="1"/>
        <v>100.43879666823108</v>
      </c>
      <c r="F208">
        <f ca="1"/>
        <v>0</v>
      </c>
      <c r="G208" s="7">
        <f ca="1"/>
        <v>0</v>
      </c>
      <c r="H208">
        <f ca="1"/>
        <v>12.037613049864675</v>
      </c>
      <c r="I208">
        <f ca="1"/>
        <v>0</v>
      </c>
      <c r="J208">
        <f ca="1"/>
        <v>12.037613049864675</v>
      </c>
      <c r="K208">
        <f ca="1"/>
        <v>0</v>
      </c>
      <c r="L208">
        <f ca="1"/>
        <v>0</v>
      </c>
    </row>
    <row r="209" spans="2:12" x14ac:dyDescent="0.35">
      <c r="B209">
        <v>0.19900000000000001</v>
      </c>
      <c r="C209">
        <f ca="1"/>
        <v>3.9260320628298824E-2</v>
      </c>
      <c r="D209">
        <f ca="1"/>
        <v>1</v>
      </c>
      <c r="E209">
        <f ca="1"/>
        <v>100.38795702508956</v>
      </c>
      <c r="F209">
        <f ca="1"/>
        <v>0</v>
      </c>
      <c r="G209">
        <f ca="1"/>
        <v>0</v>
      </c>
      <c r="H209">
        <f ca="1"/>
        <v>12.037613049864675</v>
      </c>
      <c r="I209">
        <f ca="1"/>
        <v>0</v>
      </c>
      <c r="J209">
        <f ca="1"/>
        <v>12.037613049864675</v>
      </c>
      <c r="K209">
        <f ca="1"/>
        <v>0</v>
      </c>
      <c r="L209">
        <f ca="1"/>
        <v>0</v>
      </c>
    </row>
    <row r="210" spans="2:12" x14ac:dyDescent="0.35">
      <c r="B210">
        <v>0.2</v>
      </c>
      <c r="C210">
        <f ca="1"/>
        <v>5.4383675495599915E-2</v>
      </c>
      <c r="D210">
        <f ca="1"/>
        <v>1</v>
      </c>
      <c r="E210">
        <f ca="1"/>
        <v>100.69004341347834</v>
      </c>
      <c r="F210">
        <f ca="1"/>
        <v>0</v>
      </c>
      <c r="G210">
        <f ca="1"/>
        <v>0</v>
      </c>
      <c r="H210">
        <f ca="1"/>
        <v>12.037613049864675</v>
      </c>
      <c r="I210">
        <f ca="1"/>
        <v>0</v>
      </c>
      <c r="J210">
        <f ca="1"/>
        <v>12.037613049864675</v>
      </c>
      <c r="K210">
        <f ca="1"/>
        <v>0</v>
      </c>
      <c r="L210">
        <f ca="1"/>
        <v>0</v>
      </c>
    </row>
    <row r="211" spans="2:12" x14ac:dyDescent="0.35">
      <c r="B211">
        <v>0.20100000000000001</v>
      </c>
      <c r="C211">
        <f ca="1"/>
        <v>-1.143642225827031E-2</v>
      </c>
      <c r="D211">
        <f ca="1"/>
        <v>1</v>
      </c>
      <c r="E211">
        <f ca="1"/>
        <v>99.371256471355423</v>
      </c>
      <c r="F211">
        <f ca="1"/>
        <v>-99.371256471355423</v>
      </c>
      <c r="G211">
        <f ca="1"/>
        <v>1</v>
      </c>
      <c r="H211">
        <f ca="1"/>
        <v>-87.333643421490748</v>
      </c>
      <c r="I211">
        <f ca="1"/>
        <v>1</v>
      </c>
      <c r="J211">
        <f ca="1"/>
        <v>12.037613049864675</v>
      </c>
      <c r="K211">
        <f ca="1"/>
        <v>0</v>
      </c>
      <c r="L211">
        <f ca="1"/>
        <v>0.62874352864457705</v>
      </c>
    </row>
    <row r="212" spans="2:12" x14ac:dyDescent="0.35">
      <c r="B212">
        <v>0.20200000000000001</v>
      </c>
      <c r="C212">
        <f ca="1"/>
        <v>1.5048247331957337E-2</v>
      </c>
      <c r="D212">
        <f ca="1"/>
        <v>1</v>
      </c>
      <c r="E212">
        <f ca="1"/>
        <v>99.897018009524231</v>
      </c>
      <c r="F212">
        <f ca="1"/>
        <v>0</v>
      </c>
      <c r="G212">
        <f ca="1"/>
        <v>0</v>
      </c>
      <c r="H212">
        <f ca="1"/>
        <v>-87.333643421490748</v>
      </c>
      <c r="I212">
        <f ca="1"/>
        <v>1</v>
      </c>
      <c r="J212">
        <f ca="1"/>
        <v>12.563374588033483</v>
      </c>
      <c r="K212">
        <f ca="1"/>
        <v>0</v>
      </c>
      <c r="L212">
        <f ca="1"/>
        <v>0.10298199047576873</v>
      </c>
    </row>
    <row r="213" spans="2:12" x14ac:dyDescent="0.35">
      <c r="B213">
        <v>0.20300000000000001</v>
      </c>
      <c r="C213">
        <f ca="1"/>
        <v>1.6833866547463973E-2</v>
      </c>
      <c r="D213">
        <f ca="1"/>
        <v>1</v>
      </c>
      <c r="E213">
        <f ca="1"/>
        <v>99.930701353560153</v>
      </c>
      <c r="F213">
        <f ca="1"/>
        <v>0</v>
      </c>
      <c r="G213">
        <f ca="1"/>
        <v>0</v>
      </c>
      <c r="H213">
        <f ca="1"/>
        <v>-87.333643421490748</v>
      </c>
      <c r="I213">
        <f ca="1"/>
        <v>1</v>
      </c>
      <c r="J213">
        <f ca="1"/>
        <v>12.597057932069404</v>
      </c>
      <c r="K213">
        <f ca="1"/>
        <v>0</v>
      </c>
      <c r="L213">
        <f ca="1"/>
        <v>6.9298646439847289E-2</v>
      </c>
    </row>
    <row r="214" spans="2:12" x14ac:dyDescent="0.35">
      <c r="B214">
        <v>0.20400000000000001</v>
      </c>
      <c r="C214">
        <f ca="1"/>
        <v>-5.2304387111038582E-2</v>
      </c>
      <c r="D214">
        <f ca="1"/>
        <v>1</v>
      </c>
      <c r="E214">
        <f ca="1"/>
        <v>98.556433057969599</v>
      </c>
      <c r="F214">
        <f ca="1"/>
        <v>0</v>
      </c>
      <c r="G214">
        <f ca="1"/>
        <v>0</v>
      </c>
      <c r="H214">
        <f ca="1"/>
        <v>-87.333643421490748</v>
      </c>
      <c r="I214">
        <f ca="1"/>
        <v>1</v>
      </c>
      <c r="J214">
        <f ca="1"/>
        <v>11.222789636478851</v>
      </c>
      <c r="K214">
        <f ca="1"/>
        <v>0</v>
      </c>
      <c r="L214">
        <f ca="1"/>
        <v>1.4435669420304009</v>
      </c>
    </row>
    <row r="215" spans="2:12" x14ac:dyDescent="0.35">
      <c r="B215">
        <v>0.20500000000000002</v>
      </c>
      <c r="C215">
        <f ca="1"/>
        <v>-1.7621253613580246E-2</v>
      </c>
      <c r="D215">
        <f ca="1"/>
        <v>1</v>
      </c>
      <c r="E215">
        <f ca="1"/>
        <v>99.240474015213806</v>
      </c>
      <c r="F215">
        <f ca="1"/>
        <v>0</v>
      </c>
      <c r="G215">
        <f ca="1"/>
        <v>0</v>
      </c>
      <c r="H215">
        <f ca="1"/>
        <v>-87.333643421490748</v>
      </c>
      <c r="I215">
        <f ca="1"/>
        <v>1</v>
      </c>
      <c r="J215">
        <f ca="1"/>
        <v>11.906830593723058</v>
      </c>
      <c r="K215">
        <f ca="1"/>
        <v>0</v>
      </c>
      <c r="L215">
        <f ca="1"/>
        <v>0.75952598478619393</v>
      </c>
    </row>
    <row r="216" spans="2:12" x14ac:dyDescent="0.35">
      <c r="B216">
        <v>0.20600000000000002</v>
      </c>
      <c r="C216">
        <f ca="1"/>
        <v>-3.1997375229408584E-2</v>
      </c>
      <c r="D216">
        <f ca="1"/>
        <v>1</v>
      </c>
      <c r="E216">
        <f ca="1"/>
        <v>98.953566112784159</v>
      </c>
      <c r="F216">
        <f ca="1"/>
        <v>0</v>
      </c>
      <c r="G216">
        <f ca="1"/>
        <v>0</v>
      </c>
      <c r="H216">
        <f ca="1"/>
        <v>-87.333643421490748</v>
      </c>
      <c r="I216">
        <f ca="1"/>
        <v>1</v>
      </c>
      <c r="J216">
        <f ca="1"/>
        <v>11.619922691293411</v>
      </c>
      <c r="K216">
        <f ca="1"/>
        <v>0</v>
      </c>
      <c r="L216">
        <f ca="1"/>
        <v>1.0464338872158407</v>
      </c>
    </row>
    <row r="217" spans="2:12" x14ac:dyDescent="0.35">
      <c r="B217">
        <v>0.20700000000000002</v>
      </c>
      <c r="C217">
        <f ca="1"/>
        <v>-2.2593983179307706E-2</v>
      </c>
      <c r="D217">
        <f ca="1"/>
        <v>1</v>
      </c>
      <c r="E217">
        <f ca="1"/>
        <v>99.137858277900932</v>
      </c>
      <c r="F217">
        <f ca="1"/>
        <v>0</v>
      </c>
      <c r="G217">
        <f ca="1"/>
        <v>0</v>
      </c>
      <c r="H217">
        <f ca="1"/>
        <v>-87.333643421490748</v>
      </c>
      <c r="I217">
        <f ca="1"/>
        <v>1</v>
      </c>
      <c r="J217">
        <f ca="1"/>
        <v>11.804214856410184</v>
      </c>
      <c r="K217">
        <f ca="1"/>
        <v>0</v>
      </c>
      <c r="L217">
        <f ca="1"/>
        <v>0.86214172209906792</v>
      </c>
    </row>
    <row r="218" spans="2:12" x14ac:dyDescent="0.35">
      <c r="B218">
        <v>0.20800000000000002</v>
      </c>
      <c r="C218">
        <f ca="1"/>
        <v>-6.7668609303527583E-2</v>
      </c>
      <c r="D218">
        <f ca="1"/>
        <v>1</v>
      </c>
      <c r="E218">
        <f ca="1"/>
        <v>98.246189288292797</v>
      </c>
      <c r="F218">
        <f ca="1"/>
        <v>0</v>
      </c>
      <c r="G218">
        <f ca="1"/>
        <v>0</v>
      </c>
      <c r="H218">
        <f ca="1"/>
        <v>-87.333643421490748</v>
      </c>
      <c r="I218">
        <f ca="1"/>
        <v>1</v>
      </c>
      <c r="J218">
        <f ca="1"/>
        <v>10.912545866802049</v>
      </c>
      <c r="K218">
        <f ca="1"/>
        <v>0</v>
      </c>
      <c r="L218">
        <f ca="1"/>
        <v>1.753810711707203</v>
      </c>
    </row>
    <row r="219" spans="2:12" x14ac:dyDescent="0.35">
      <c r="B219">
        <v>0.20899999999999999</v>
      </c>
      <c r="C219">
        <f ca="1"/>
        <v>-7.1168657448134304E-2</v>
      </c>
      <c r="D219">
        <f ca="1"/>
        <v>1</v>
      </c>
      <c r="E219">
        <f ca="1"/>
        <v>98.175476545982946</v>
      </c>
      <c r="F219">
        <f ca="1"/>
        <v>0</v>
      </c>
      <c r="G219">
        <f ca="1"/>
        <v>0</v>
      </c>
      <c r="H219">
        <f ca="1"/>
        <v>-87.333643421490748</v>
      </c>
      <c r="I219">
        <f ca="1"/>
        <v>1</v>
      </c>
      <c r="J219">
        <f ca="1"/>
        <v>10.841833124492197</v>
      </c>
      <c r="K219">
        <f ca="1"/>
        <v>0</v>
      </c>
      <c r="L219">
        <f ca="1"/>
        <v>1.8245234540170543</v>
      </c>
    </row>
    <row r="220" spans="2:12" x14ac:dyDescent="0.35">
      <c r="B220">
        <v>0.21</v>
      </c>
      <c r="C220">
        <f ca="1"/>
        <v>-9.2700958853648069E-2</v>
      </c>
      <c r="D220">
        <f ca="1"/>
        <v>1</v>
      </c>
      <c r="E220">
        <f ca="1"/>
        <v>97.751641759433838</v>
      </c>
      <c r="F220">
        <f ca="1"/>
        <v>0</v>
      </c>
      <c r="G220">
        <f ca="1"/>
        <v>0</v>
      </c>
      <c r="H220">
        <f ca="1"/>
        <v>-87.333643421490748</v>
      </c>
      <c r="I220">
        <f ca="1"/>
        <v>1</v>
      </c>
      <c r="J220">
        <f ca="1"/>
        <v>10.417998337943089</v>
      </c>
      <c r="K220">
        <f ca="1"/>
        <v>0</v>
      </c>
      <c r="L220">
        <f ca="1"/>
        <v>2.2483582405661622</v>
      </c>
    </row>
    <row r="221" spans="2:12" x14ac:dyDescent="0.35">
      <c r="B221">
        <v>0.21099999999999999</v>
      </c>
      <c r="C221">
        <f ca="1"/>
        <v>-8.6500189184698525E-2</v>
      </c>
      <c r="D221">
        <f ca="1"/>
        <v>1</v>
      </c>
      <c r="E221">
        <f ca="1"/>
        <v>97.870986604395597</v>
      </c>
      <c r="F221">
        <f ca="1"/>
        <v>0</v>
      </c>
      <c r="G221">
        <f ca="1"/>
        <v>0</v>
      </c>
      <c r="H221">
        <f ca="1"/>
        <v>-87.333643421490748</v>
      </c>
      <c r="I221">
        <f ca="1"/>
        <v>1</v>
      </c>
      <c r="J221">
        <f ca="1"/>
        <v>10.537343182904849</v>
      </c>
      <c r="K221">
        <f ca="1"/>
        <v>0</v>
      </c>
      <c r="L221">
        <f ca="1"/>
        <v>2.1290133956044031</v>
      </c>
    </row>
    <row r="222" spans="2:12" x14ac:dyDescent="0.35">
      <c r="B222">
        <v>0.21199999999999999</v>
      </c>
      <c r="C222">
        <f ca="1"/>
        <v>-4.4039277579000044E-2</v>
      </c>
      <c r="D222">
        <f ca="1"/>
        <v>1</v>
      </c>
      <c r="E222">
        <f ca="1"/>
        <v>98.703689873013573</v>
      </c>
      <c r="F222">
        <f ca="1"/>
        <v>0</v>
      </c>
      <c r="G222">
        <f ca="1"/>
        <v>0</v>
      </c>
      <c r="H222">
        <f ca="1"/>
        <v>-87.333643421490748</v>
      </c>
      <c r="I222">
        <f ca="1"/>
        <v>1</v>
      </c>
      <c r="J222">
        <f ca="1"/>
        <v>11.370046451522825</v>
      </c>
      <c r="K222">
        <f ca="1"/>
        <v>0</v>
      </c>
      <c r="L222">
        <f ca="1"/>
        <v>1.2963101269864268</v>
      </c>
    </row>
    <row r="223" spans="2:12" x14ac:dyDescent="0.35">
      <c r="B223">
        <v>0.21299999999999999</v>
      </c>
      <c r="C223">
        <f ca="1"/>
        <v>-6.4682275893388014E-2</v>
      </c>
      <c r="D223">
        <f ca="1"/>
        <v>1</v>
      </c>
      <c r="E223">
        <f ca="1"/>
        <v>98.295055993747354</v>
      </c>
      <c r="F223">
        <f ca="1"/>
        <v>0</v>
      </c>
      <c r="G223">
        <f ca="1"/>
        <v>0</v>
      </c>
      <c r="H223">
        <f ca="1"/>
        <v>-87.333643421490748</v>
      </c>
      <c r="I223">
        <f ca="1"/>
        <v>1</v>
      </c>
      <c r="J223">
        <f ca="1"/>
        <v>10.961412572256606</v>
      </c>
      <c r="K223">
        <f ca="1"/>
        <v>0</v>
      </c>
      <c r="L223">
        <f ca="1"/>
        <v>1.7049440062526457</v>
      </c>
    </row>
    <row r="224" spans="2:12" x14ac:dyDescent="0.35">
      <c r="B224">
        <v>0.214</v>
      </c>
      <c r="C224">
        <f ca="1"/>
        <v>-6.0183679656793138E-2</v>
      </c>
      <c r="D224">
        <f ca="1"/>
        <v>1</v>
      </c>
      <c r="E224">
        <f ca="1"/>
        <v>98.381566093141899</v>
      </c>
      <c r="F224">
        <f ca="1"/>
        <v>0</v>
      </c>
      <c r="G224">
        <f ca="1"/>
        <v>0</v>
      </c>
      <c r="H224">
        <f ca="1"/>
        <v>-87.333643421490748</v>
      </c>
      <c r="I224">
        <f ca="1"/>
        <v>1</v>
      </c>
      <c r="J224">
        <f ca="1"/>
        <v>11.04792267165115</v>
      </c>
      <c r="K224">
        <f ca="1"/>
        <v>0</v>
      </c>
      <c r="L224">
        <f ca="1"/>
        <v>1.6184339068581011</v>
      </c>
    </row>
    <row r="225" spans="2:12" x14ac:dyDescent="0.35">
      <c r="B225">
        <v>0.215</v>
      </c>
      <c r="C225">
        <f ca="1"/>
        <v>-2.4531416686619748E-2</v>
      </c>
      <c r="D225">
        <f ca="1"/>
        <v>1</v>
      </c>
      <c r="E225">
        <f ca="1"/>
        <v>99.083596474045692</v>
      </c>
      <c r="F225">
        <f ca="1"/>
        <v>0</v>
      </c>
      <c r="G225">
        <f ca="1"/>
        <v>0</v>
      </c>
      <c r="H225">
        <f ca="1"/>
        <v>-87.333643421490748</v>
      </c>
      <c r="I225">
        <f ca="1"/>
        <v>1</v>
      </c>
      <c r="J225">
        <f ca="1"/>
        <v>11.749953052554943</v>
      </c>
      <c r="K225">
        <f ca="1"/>
        <v>0</v>
      </c>
      <c r="L225">
        <f ca="1"/>
        <v>0.91640352595430841</v>
      </c>
    </row>
    <row r="226" spans="2:12" x14ac:dyDescent="0.35">
      <c r="B226">
        <v>0.216</v>
      </c>
      <c r="C226">
        <f ca="1"/>
        <v>-5.4619938955591626E-2</v>
      </c>
      <c r="D226">
        <f ca="1"/>
        <v>1</v>
      </c>
      <c r="E226">
        <f ca="1"/>
        <v>98.48716136364078</v>
      </c>
      <c r="F226">
        <f ca="1"/>
        <v>0</v>
      </c>
      <c r="G226">
        <f ca="1"/>
        <v>0</v>
      </c>
      <c r="H226">
        <f ca="1"/>
        <v>-87.333643421490748</v>
      </c>
      <c r="I226">
        <f ca="1"/>
        <v>1</v>
      </c>
      <c r="J226">
        <f ca="1"/>
        <v>11.153517942150032</v>
      </c>
      <c r="K226">
        <f ca="1"/>
        <v>0</v>
      </c>
      <c r="L226">
        <f ca="1"/>
        <v>1.5128386363592199</v>
      </c>
    </row>
    <row r="227" spans="2:12" x14ac:dyDescent="0.35">
      <c r="B227">
        <v>0.217</v>
      </c>
      <c r="C227">
        <f ca="1"/>
        <v>-6.7724068460355016E-2</v>
      </c>
      <c r="D227">
        <f ca="1"/>
        <v>1</v>
      </c>
      <c r="E227">
        <f ca="1"/>
        <v>98.227417037725999</v>
      </c>
      <c r="F227">
        <f ca="1"/>
        <v>0</v>
      </c>
      <c r="G227">
        <f ca="1"/>
        <v>0</v>
      </c>
      <c r="H227">
        <f ca="1"/>
        <v>-87.333643421490748</v>
      </c>
      <c r="I227">
        <f ca="1"/>
        <v>1</v>
      </c>
      <c r="J227">
        <f ca="1"/>
        <v>10.893773616235251</v>
      </c>
      <c r="K227">
        <f ca="1"/>
        <v>0</v>
      </c>
      <c r="L227">
        <f ca="1"/>
        <v>1.7725829622740008</v>
      </c>
    </row>
    <row r="228" spans="2:12" x14ac:dyDescent="0.35">
      <c r="B228">
        <v>0.218</v>
      </c>
      <c r="C228">
        <f ca="1"/>
        <v>-1.6898018716341306E-2</v>
      </c>
      <c r="D228">
        <f ca="1"/>
        <v>1</v>
      </c>
      <c r="E228">
        <f ca="1"/>
        <v>99.22902698701246</v>
      </c>
      <c r="F228">
        <f ca="1"/>
        <v>0</v>
      </c>
      <c r="G228">
        <f ca="1"/>
        <v>0</v>
      </c>
      <c r="H228">
        <f ca="1"/>
        <v>-87.333643421490748</v>
      </c>
      <c r="I228">
        <f ca="1"/>
        <v>1</v>
      </c>
      <c r="J228">
        <f ca="1"/>
        <v>11.895383565521712</v>
      </c>
      <c r="K228">
        <f ca="1"/>
        <v>0</v>
      </c>
      <c r="L228">
        <f ca="1"/>
        <v>0.77097301298753962</v>
      </c>
    </row>
    <row r="229" spans="2:12" x14ac:dyDescent="0.35">
      <c r="B229">
        <v>0.219</v>
      </c>
      <c r="C229">
        <f ca="1"/>
        <v>-1.6583428976720611E-2</v>
      </c>
      <c r="D229">
        <f ca="1"/>
        <v>1</v>
      </c>
      <c r="E229">
        <f ca="1"/>
        <v>99.233285784614026</v>
      </c>
      <c r="F229">
        <f ca="1"/>
        <v>0</v>
      </c>
      <c r="G229">
        <f ca="1"/>
        <v>0</v>
      </c>
      <c r="H229">
        <f ca="1"/>
        <v>-87.333643421490748</v>
      </c>
      <c r="I229">
        <f ca="1"/>
        <v>1</v>
      </c>
      <c r="J229">
        <f ca="1"/>
        <v>11.899642363123277</v>
      </c>
      <c r="K229">
        <f ca="1"/>
        <v>0</v>
      </c>
      <c r="L229">
        <f ca="1"/>
        <v>0.76671421538597428</v>
      </c>
    </row>
    <row r="230" spans="2:12" x14ac:dyDescent="0.35">
      <c r="B230">
        <v>0.22</v>
      </c>
      <c r="C230">
        <f ca="1"/>
        <v>-7.0728586287985215E-2</v>
      </c>
      <c r="D230">
        <f ca="1"/>
        <v>1</v>
      </c>
      <c r="E230">
        <f ca="1"/>
        <v>98.162519635397885</v>
      </c>
      <c r="F230">
        <f ca="1"/>
        <v>0</v>
      </c>
      <c r="G230">
        <f ca="1"/>
        <v>0</v>
      </c>
      <c r="H230">
        <f ca="1"/>
        <v>-87.333643421490748</v>
      </c>
      <c r="I230">
        <f ca="1"/>
        <v>1</v>
      </c>
      <c r="J230">
        <f ca="1"/>
        <v>10.828876213907137</v>
      </c>
      <c r="K230">
        <f ca="1"/>
        <v>0</v>
      </c>
      <c r="L230">
        <f ca="1"/>
        <v>1.8374803646021149</v>
      </c>
    </row>
    <row r="231" spans="2:12" x14ac:dyDescent="0.35">
      <c r="B231">
        <v>0.221</v>
      </c>
      <c r="C231">
        <f ca="1"/>
        <v>-0.12690913936156695</v>
      </c>
      <c r="D231">
        <f ca="1"/>
        <v>1</v>
      </c>
      <c r="E231">
        <f ca="1"/>
        <v>97.063786786171605</v>
      </c>
      <c r="F231">
        <f ca="1"/>
        <v>0</v>
      </c>
      <c r="G231">
        <f ca="1"/>
        <v>0</v>
      </c>
      <c r="H231">
        <f ca="1"/>
        <v>-87.333643421490748</v>
      </c>
      <c r="I231">
        <f ca="1"/>
        <v>1</v>
      </c>
      <c r="J231">
        <f ca="1"/>
        <v>9.7301433646808562</v>
      </c>
      <c r="K231">
        <f ca="1"/>
        <v>0</v>
      </c>
      <c r="L231">
        <f ca="1"/>
        <v>2.9362132138283954</v>
      </c>
    </row>
    <row r="232" spans="2:12" x14ac:dyDescent="0.35">
      <c r="B232">
        <v>0.222</v>
      </c>
      <c r="C232">
        <f ca="1"/>
        <v>-0.11511297340559869</v>
      </c>
      <c r="D232">
        <f ca="1"/>
        <v>1</v>
      </c>
      <c r="E232">
        <f ca="1"/>
        <v>97.291107392179654</v>
      </c>
      <c r="F232">
        <f ca="1"/>
        <v>0</v>
      </c>
      <c r="G232">
        <f ca="1"/>
        <v>0</v>
      </c>
      <c r="H232">
        <f ca="1"/>
        <v>-87.333643421490748</v>
      </c>
      <c r="I232">
        <f ca="1"/>
        <v>1</v>
      </c>
      <c r="J232">
        <f ca="1"/>
        <v>9.9574639706889059</v>
      </c>
      <c r="K232">
        <f ca="1"/>
        <v>0</v>
      </c>
      <c r="L232">
        <f ca="1"/>
        <v>2.7088926078203457</v>
      </c>
    </row>
    <row r="233" spans="2:12" x14ac:dyDescent="0.35">
      <c r="B233">
        <v>0.223</v>
      </c>
      <c r="C233">
        <f ca="1"/>
        <v>-0.16285688042251489</v>
      </c>
      <c r="D233">
        <f ca="1"/>
        <v>1</v>
      </c>
      <c r="E233">
        <f ca="1"/>
        <v>96.364589943954186</v>
      </c>
      <c r="F233">
        <f ca="1"/>
        <v>0</v>
      </c>
      <c r="G233">
        <f ca="1"/>
        <v>0</v>
      </c>
      <c r="H233">
        <f ca="1"/>
        <v>-87.333643421490748</v>
      </c>
      <c r="I233">
        <f ca="1"/>
        <v>1</v>
      </c>
      <c r="J233">
        <f ca="1"/>
        <v>9.030946522463438</v>
      </c>
      <c r="K233">
        <f ca="1"/>
        <v>0</v>
      </c>
      <c r="L233">
        <f ca="1"/>
        <v>3.6354100560458136</v>
      </c>
    </row>
    <row r="234" spans="2:12" x14ac:dyDescent="0.35">
      <c r="B234">
        <v>0.224</v>
      </c>
      <c r="C234">
        <f ca="1"/>
        <v>-0.15088213063760519</v>
      </c>
      <c r="D234">
        <f ca="1"/>
        <v>1</v>
      </c>
      <c r="E234">
        <f ca="1"/>
        <v>96.593723004772713</v>
      </c>
      <c r="F234">
        <f ca="1"/>
        <v>0</v>
      </c>
      <c r="G234">
        <f ca="1"/>
        <v>0</v>
      </c>
      <c r="H234">
        <f ca="1"/>
        <v>-87.333643421490748</v>
      </c>
      <c r="I234">
        <f ca="1"/>
        <v>1</v>
      </c>
      <c r="J234">
        <f ca="1"/>
        <v>9.2600795832819642</v>
      </c>
      <c r="K234">
        <f ca="1"/>
        <v>0</v>
      </c>
      <c r="L234">
        <f ca="1"/>
        <v>3.4062769952272873</v>
      </c>
    </row>
    <row r="235" spans="2:12" x14ac:dyDescent="0.35">
      <c r="B235">
        <v>0.22500000000000001</v>
      </c>
      <c r="C235">
        <f ca="1"/>
        <v>-0.17786101955930794</v>
      </c>
      <c r="D235">
        <f ca="1"/>
        <v>1</v>
      </c>
      <c r="E235">
        <f ca="1"/>
        <v>96.072006890077304</v>
      </c>
      <c r="F235">
        <f ca="1"/>
        <v>0</v>
      </c>
      <c r="G235">
        <f ca="1"/>
        <v>0</v>
      </c>
      <c r="H235">
        <f ca="1"/>
        <v>-87.333643421490748</v>
      </c>
      <c r="I235">
        <f ca="1"/>
        <v>1</v>
      </c>
      <c r="J235">
        <f ca="1"/>
        <v>8.7383634685865559</v>
      </c>
      <c r="K235">
        <f ca="1"/>
        <v>0</v>
      </c>
      <c r="L235">
        <f ca="1"/>
        <v>3.9279931099226957</v>
      </c>
    </row>
    <row r="236" spans="2:12" x14ac:dyDescent="0.35">
      <c r="B236">
        <v>0.22600000000000001</v>
      </c>
      <c r="C236">
        <f ca="1"/>
        <v>-0.22550792514707796</v>
      </c>
      <c r="D236">
        <f ca="1"/>
        <v>1</v>
      </c>
      <c r="E236">
        <f ca="1"/>
        <v>95.158945207102036</v>
      </c>
      <c r="F236">
        <f ca="1"/>
        <v>0</v>
      </c>
      <c r="G236">
        <f ca="1"/>
        <v>0</v>
      </c>
      <c r="H236">
        <f ca="1"/>
        <v>-87.333643421490748</v>
      </c>
      <c r="I236">
        <f ca="1"/>
        <v>1</v>
      </c>
      <c r="J236">
        <f ca="1"/>
        <v>7.8253017856112876</v>
      </c>
      <c r="K236">
        <f ca="1"/>
        <v>0</v>
      </c>
      <c r="L236">
        <f ca="1"/>
        <v>4.8410547928979639</v>
      </c>
    </row>
    <row r="237" spans="2:12" x14ac:dyDescent="0.35">
      <c r="B237">
        <v>0.22700000000000001</v>
      </c>
      <c r="C237">
        <f ca="1"/>
        <v>-0.22735568333139364</v>
      </c>
      <c r="D237">
        <f ca="1"/>
        <v>1</v>
      </c>
      <c r="E237">
        <f ca="1"/>
        <v>95.121883103504686</v>
      </c>
      <c r="F237">
        <f ca="1"/>
        <v>0</v>
      </c>
      <c r="G237">
        <f ca="1"/>
        <v>0</v>
      </c>
      <c r="H237">
        <f ca="1"/>
        <v>-87.333643421490748</v>
      </c>
      <c r="I237">
        <f ca="1"/>
        <v>1</v>
      </c>
      <c r="J237">
        <f ca="1"/>
        <v>7.7882396820139377</v>
      </c>
      <c r="K237">
        <f ca="1"/>
        <v>0</v>
      </c>
      <c r="L237">
        <f ca="1"/>
        <v>4.8781168964953139</v>
      </c>
    </row>
    <row r="238" spans="2:12" x14ac:dyDescent="0.35">
      <c r="B238">
        <v>0.22800000000000001</v>
      </c>
      <c r="C238">
        <f ca="1"/>
        <v>-0.24603853931331229</v>
      </c>
      <c r="D238">
        <f ca="1"/>
        <v>1</v>
      </c>
      <c r="E238">
        <f ca="1"/>
        <v>94.765221309432548</v>
      </c>
      <c r="F238">
        <f ca="1"/>
        <v>0</v>
      </c>
      <c r="G238">
        <f ca="1"/>
        <v>0</v>
      </c>
      <c r="H238">
        <f ca="1"/>
        <v>-87.333643421490748</v>
      </c>
      <c r="I238">
        <f ca="1"/>
        <v>1</v>
      </c>
      <c r="J238">
        <f ca="1"/>
        <v>7.4315778879417991</v>
      </c>
      <c r="K238">
        <f ca="1"/>
        <v>0</v>
      </c>
      <c r="L238">
        <f ca="1"/>
        <v>5.2347786905674525</v>
      </c>
    </row>
    <row r="239" spans="2:12" x14ac:dyDescent="0.35">
      <c r="B239">
        <v>0.22900000000000001</v>
      </c>
      <c r="C239">
        <f ca="1"/>
        <v>-0.25300017043427214</v>
      </c>
      <c r="D239">
        <f ca="1"/>
        <v>1</v>
      </c>
      <c r="E239">
        <f ca="1"/>
        <v>94.631476370209754</v>
      </c>
      <c r="F239">
        <f ca="1"/>
        <v>0</v>
      </c>
      <c r="G239">
        <f ca="1"/>
        <v>0</v>
      </c>
      <c r="H239">
        <f ca="1"/>
        <v>-87.333643421490748</v>
      </c>
      <c r="I239">
        <f ca="1"/>
        <v>1</v>
      </c>
      <c r="J239">
        <f ca="1"/>
        <v>7.2978329487190052</v>
      </c>
      <c r="K239">
        <f ca="1"/>
        <v>0</v>
      </c>
      <c r="L239">
        <f ca="1"/>
        <v>5.3685236297902463</v>
      </c>
    </row>
    <row r="240" spans="2:12" x14ac:dyDescent="0.35">
      <c r="B240">
        <v>0.23</v>
      </c>
      <c r="C240">
        <f ca="1"/>
        <v>-0.25374964295672148</v>
      </c>
      <c r="D240">
        <f ca="1"/>
        <v>1</v>
      </c>
      <c r="E240">
        <f ca="1"/>
        <v>94.615400368073566</v>
      </c>
      <c r="F240">
        <f ca="1"/>
        <v>0</v>
      </c>
      <c r="G240">
        <f ca="1"/>
        <v>0</v>
      </c>
      <c r="H240">
        <f ca="1"/>
        <v>-87.333643421490748</v>
      </c>
      <c r="I240">
        <f ca="1"/>
        <v>1</v>
      </c>
      <c r="J240">
        <f ca="1"/>
        <v>7.2817569465828171</v>
      </c>
      <c r="K240">
        <f ca="1"/>
        <v>0</v>
      </c>
      <c r="L240">
        <f ca="1"/>
        <v>5.3845996319264344</v>
      </c>
    </row>
    <row r="241" spans="2:12" x14ac:dyDescent="0.35">
      <c r="B241">
        <v>0.23100000000000001</v>
      </c>
      <c r="C241">
        <f ca="1"/>
        <v>-0.26590677624950237</v>
      </c>
      <c r="D241">
        <f ca="1"/>
        <v>1</v>
      </c>
      <c r="E241">
        <f ca="1"/>
        <v>94.383741716411066</v>
      </c>
      <c r="F241">
        <f ca="1"/>
        <v>0</v>
      </c>
      <c r="G241">
        <f ca="1"/>
        <v>0</v>
      </c>
      <c r="H241">
        <f ca="1"/>
        <v>-87.333643421490748</v>
      </c>
      <c r="I241">
        <f ca="1"/>
        <v>1</v>
      </c>
      <c r="J241">
        <f ca="1"/>
        <v>7.0500982949203177</v>
      </c>
      <c r="K241">
        <f ca="1"/>
        <v>0</v>
      </c>
      <c r="L241">
        <f ca="1"/>
        <v>5.6162582835889339</v>
      </c>
    </row>
    <row r="242" spans="2:12" x14ac:dyDescent="0.35">
      <c r="B242">
        <v>0.23200000000000001</v>
      </c>
      <c r="C242">
        <f ca="1"/>
        <v>-0.31338080969278881</v>
      </c>
      <c r="D242">
        <f ca="1"/>
        <v>1</v>
      </c>
      <c r="E242">
        <f ca="1"/>
        <v>93.489957494436112</v>
      </c>
      <c r="F242">
        <f ca="1"/>
        <v>0</v>
      </c>
      <c r="G242">
        <f ca="1"/>
        <v>0</v>
      </c>
      <c r="H242">
        <f ca="1"/>
        <v>-87.333643421490748</v>
      </c>
      <c r="I242">
        <f ca="1"/>
        <v>1</v>
      </c>
      <c r="J242">
        <f ca="1"/>
        <v>6.1563140729453636</v>
      </c>
      <c r="K242">
        <f ca="1"/>
        <v>0</v>
      </c>
      <c r="L242">
        <f ca="1"/>
        <v>6.510042505563888</v>
      </c>
    </row>
    <row r="243" spans="2:12" x14ac:dyDescent="0.35">
      <c r="B243">
        <v>0.23300000000000001</v>
      </c>
      <c r="C243">
        <f ca="1"/>
        <v>-0.29120559740715873</v>
      </c>
      <c r="D243">
        <f ca="1"/>
        <v>1</v>
      </c>
      <c r="E243">
        <f ca="1"/>
        <v>93.903632149706198</v>
      </c>
      <c r="F243">
        <f ca="1"/>
        <v>0</v>
      </c>
      <c r="G243">
        <f ca="1"/>
        <v>0</v>
      </c>
      <c r="H243">
        <f ca="1"/>
        <v>-87.333643421490748</v>
      </c>
      <c r="I243">
        <f ca="1"/>
        <v>1</v>
      </c>
      <c r="J243">
        <f ca="1"/>
        <v>6.5699887282154492</v>
      </c>
      <c r="K243">
        <f ca="1"/>
        <v>0</v>
      </c>
      <c r="L243">
        <f ca="1"/>
        <v>6.0963678502938023</v>
      </c>
    </row>
    <row r="244" spans="2:12" x14ac:dyDescent="0.35">
      <c r="B244">
        <v>0.23400000000000001</v>
      </c>
      <c r="C244">
        <f ca="1"/>
        <v>-0.24127527556369321</v>
      </c>
      <c r="D244">
        <f ca="1"/>
        <v>1</v>
      </c>
      <c r="E244">
        <f ca="1"/>
        <v>94.844160691538988</v>
      </c>
      <c r="F244">
        <f ca="1"/>
        <v>0</v>
      </c>
      <c r="G244">
        <f ca="1"/>
        <v>0</v>
      </c>
      <c r="H244">
        <f ca="1"/>
        <v>-87.333643421490748</v>
      </c>
      <c r="I244">
        <f ca="1"/>
        <v>1</v>
      </c>
      <c r="J244">
        <f ca="1"/>
        <v>7.5105172700482399</v>
      </c>
      <c r="K244">
        <f ca="1"/>
        <v>0</v>
      </c>
      <c r="L244">
        <f ca="1"/>
        <v>5.1558393084610117</v>
      </c>
    </row>
    <row r="245" spans="2:12" x14ac:dyDescent="0.35">
      <c r="B245">
        <v>0.23500000000000001</v>
      </c>
      <c r="C245">
        <f ca="1"/>
        <v>-0.30745723978049366</v>
      </c>
      <c r="D245">
        <f ca="1"/>
        <v>1</v>
      </c>
      <c r="E245">
        <f ca="1"/>
        <v>93.595166110559845</v>
      </c>
      <c r="F245">
        <f ca="1"/>
        <v>0</v>
      </c>
      <c r="G245">
        <f ca="1"/>
        <v>0</v>
      </c>
      <c r="H245">
        <f ca="1"/>
        <v>-87.333643421490748</v>
      </c>
      <c r="I245">
        <f ca="1"/>
        <v>1</v>
      </c>
      <c r="J245">
        <f ca="1"/>
        <v>6.2615226890690963</v>
      </c>
      <c r="K245">
        <f ca="1"/>
        <v>0</v>
      </c>
      <c r="L245">
        <f ca="1"/>
        <v>6.4048338894401553</v>
      </c>
    </row>
    <row r="246" spans="2:12" x14ac:dyDescent="0.35">
      <c r="B246">
        <v>0.23600000000000002</v>
      </c>
      <c r="C246">
        <f ca="1"/>
        <v>-0.28341682507803639</v>
      </c>
      <c r="D246">
        <f ca="1"/>
        <v>1</v>
      </c>
      <c r="E246">
        <f ca="1"/>
        <v>94.044382112246367</v>
      </c>
      <c r="F246">
        <f ca="1"/>
        <v>0</v>
      </c>
      <c r="G246">
        <f ca="1"/>
        <v>0</v>
      </c>
      <c r="H246">
        <f ca="1"/>
        <v>-87.333643421490748</v>
      </c>
      <c r="I246">
        <f ca="1"/>
        <v>1</v>
      </c>
      <c r="J246">
        <f ca="1"/>
        <v>6.710738690755619</v>
      </c>
      <c r="K246">
        <f ca="1"/>
        <v>0</v>
      </c>
      <c r="L246">
        <f ca="1"/>
        <v>5.9556178877536325</v>
      </c>
    </row>
    <row r="247" spans="2:12" x14ac:dyDescent="0.35">
      <c r="B247">
        <v>0.23700000000000002</v>
      </c>
      <c r="C247">
        <f ca="1"/>
        <v>-0.30796963975571467</v>
      </c>
      <c r="D247">
        <f ca="1"/>
        <v>1</v>
      </c>
      <c r="E247">
        <f ca="1"/>
        <v>93.581831621727758</v>
      </c>
      <c r="F247">
        <f ca="1"/>
        <v>0</v>
      </c>
      <c r="G247">
        <f ca="1"/>
        <v>0</v>
      </c>
      <c r="H247">
        <f ca="1"/>
        <v>-87.333643421490748</v>
      </c>
      <c r="I247">
        <f ca="1"/>
        <v>1</v>
      </c>
      <c r="J247">
        <f ca="1"/>
        <v>6.2481882002370099</v>
      </c>
      <c r="K247">
        <f ca="1"/>
        <v>0</v>
      </c>
      <c r="L247">
        <f ca="1"/>
        <v>6.4181683782722416</v>
      </c>
    </row>
    <row r="248" spans="2:12" x14ac:dyDescent="0.35">
      <c r="B248">
        <v>0.23800000000000002</v>
      </c>
      <c r="C248">
        <f ca="1"/>
        <v>-0.32812935579927283</v>
      </c>
      <c r="D248">
        <f ca="1"/>
        <v>1</v>
      </c>
      <c r="E248">
        <f ca="1"/>
        <v>93.203410542740471</v>
      </c>
      <c r="F248">
        <f ca="1"/>
        <v>0</v>
      </c>
      <c r="G248">
        <f ca="1"/>
        <v>0</v>
      </c>
      <c r="H248">
        <f ca="1"/>
        <v>-87.333643421490748</v>
      </c>
      <c r="I248">
        <f ca="1"/>
        <v>1</v>
      </c>
      <c r="J248">
        <f ca="1"/>
        <v>5.8697671212497227</v>
      </c>
      <c r="K248">
        <f ca="1"/>
        <v>0</v>
      </c>
      <c r="L248">
        <f ca="1"/>
        <v>6.7965894572595289</v>
      </c>
    </row>
    <row r="249" spans="2:12" x14ac:dyDescent="0.35">
      <c r="B249">
        <v>0.23900000000000002</v>
      </c>
      <c r="C249">
        <f ca="1"/>
        <v>-0.33918620798395455</v>
      </c>
      <c r="D249">
        <f ca="1"/>
        <v>1</v>
      </c>
      <c r="E249">
        <f ca="1"/>
        <v>92.995671065892182</v>
      </c>
      <c r="F249">
        <f ca="1"/>
        <v>0</v>
      </c>
      <c r="G249">
        <f ca="1"/>
        <v>0</v>
      </c>
      <c r="H249">
        <f ca="1"/>
        <v>-87.333643421490748</v>
      </c>
      <c r="I249">
        <f ca="1"/>
        <v>1</v>
      </c>
      <c r="J249">
        <f ca="1"/>
        <v>5.6620276444014337</v>
      </c>
      <c r="K249">
        <f ca="1"/>
        <v>0</v>
      </c>
      <c r="L249">
        <f ca="1"/>
        <v>7.0043289341078179</v>
      </c>
    </row>
    <row r="250" spans="2:12" x14ac:dyDescent="0.35">
      <c r="B250">
        <v>0.24</v>
      </c>
      <c r="C250">
        <f ca="1"/>
        <v>-0.29580002357720114</v>
      </c>
      <c r="D250">
        <f ca="1"/>
        <v>1</v>
      </c>
      <c r="E250">
        <f ca="1"/>
        <v>93.804251605784131</v>
      </c>
      <c r="F250">
        <f ca="1"/>
        <v>0</v>
      </c>
      <c r="G250">
        <f ca="1"/>
        <v>0</v>
      </c>
      <c r="H250">
        <f ca="1"/>
        <v>-87.333643421490748</v>
      </c>
      <c r="I250">
        <f ca="1"/>
        <v>1</v>
      </c>
      <c r="J250">
        <f ca="1"/>
        <v>6.4706081842933827</v>
      </c>
      <c r="K250">
        <f ca="1"/>
        <v>0</v>
      </c>
      <c r="L250">
        <f ca="1"/>
        <v>6.1957483942158689</v>
      </c>
    </row>
    <row r="251" spans="2:12" x14ac:dyDescent="0.35">
      <c r="B251">
        <v>0.24099999999999999</v>
      </c>
      <c r="C251">
        <f ca="1"/>
        <v>-0.2929844285969217</v>
      </c>
      <c r="D251">
        <f ca="1"/>
        <v>1</v>
      </c>
      <c r="E251">
        <f ca="1"/>
        <v>93.855212314353793</v>
      </c>
      <c r="F251">
        <f ca="1"/>
        <v>0</v>
      </c>
      <c r="G251">
        <f ca="1"/>
        <v>0</v>
      </c>
      <c r="H251">
        <f ca="1"/>
        <v>-87.333643421490748</v>
      </c>
      <c r="I251">
        <f ca="1"/>
        <v>1</v>
      </c>
      <c r="J251">
        <f ca="1"/>
        <v>6.5215688928630442</v>
      </c>
      <c r="K251">
        <f ca="1"/>
        <v>0</v>
      </c>
      <c r="L251">
        <f ca="1"/>
        <v>6.1447876856462074</v>
      </c>
    </row>
    <row r="252" spans="2:12" x14ac:dyDescent="0.35">
      <c r="B252">
        <v>0.24199999999999999</v>
      </c>
      <c r="C252">
        <f ca="1"/>
        <v>-0.34287341646959812</v>
      </c>
      <c r="D252">
        <f ca="1"/>
        <v>1</v>
      </c>
      <c r="E252">
        <f ca="1"/>
        <v>92.921542000863795</v>
      </c>
      <c r="F252">
        <f ca="1"/>
        <v>0</v>
      </c>
      <c r="G252">
        <f ca="1"/>
        <v>0</v>
      </c>
      <c r="H252">
        <f ca="1"/>
        <v>-87.333643421490748</v>
      </c>
      <c r="I252">
        <f ca="1"/>
        <v>1</v>
      </c>
      <c r="J252">
        <f ca="1"/>
        <v>5.5878985793730465</v>
      </c>
      <c r="K252">
        <f ca="1"/>
        <v>0</v>
      </c>
      <c r="L252">
        <f ca="1"/>
        <v>7.0784579991362051</v>
      </c>
    </row>
    <row r="253" spans="2:12" x14ac:dyDescent="0.35">
      <c r="B253">
        <v>0.24299999999999999</v>
      </c>
      <c r="C253">
        <f ca="1"/>
        <v>-0.35141915840822957</v>
      </c>
      <c r="D253">
        <f ca="1"/>
        <v>1</v>
      </c>
      <c r="E253">
        <f ca="1"/>
        <v>92.761005701868925</v>
      </c>
      <c r="F253">
        <f ca="1"/>
        <v>0</v>
      </c>
      <c r="G253">
        <f ca="1"/>
        <v>0</v>
      </c>
      <c r="H253">
        <f ca="1"/>
        <v>-87.333643421490748</v>
      </c>
      <c r="I253">
        <f ca="1"/>
        <v>1</v>
      </c>
      <c r="J253">
        <f ca="1"/>
        <v>5.4273622803781763</v>
      </c>
      <c r="K253">
        <f ca="1"/>
        <v>0</v>
      </c>
      <c r="L253">
        <f ca="1"/>
        <v>7.2389942981310753</v>
      </c>
    </row>
    <row r="254" spans="2:12" x14ac:dyDescent="0.35">
      <c r="B254">
        <v>0.24399999999999999</v>
      </c>
      <c r="C254">
        <f ca="1"/>
        <v>-0.3249174157105188</v>
      </c>
      <c r="D254">
        <f ca="1"/>
        <v>1</v>
      </c>
      <c r="E254">
        <f ca="1"/>
        <v>93.252111606940218</v>
      </c>
      <c r="F254">
        <f ca="1"/>
        <v>0</v>
      </c>
      <c r="G254">
        <f ca="1"/>
        <v>0</v>
      </c>
      <c r="H254">
        <f ca="1"/>
        <v>-87.333643421490748</v>
      </c>
      <c r="I254">
        <f ca="1"/>
        <v>1</v>
      </c>
      <c r="J254">
        <f ca="1"/>
        <v>5.9184681854494698</v>
      </c>
      <c r="K254">
        <f ca="1"/>
        <v>0</v>
      </c>
      <c r="L254">
        <f ca="1"/>
        <v>6.7478883930597817</v>
      </c>
    </row>
    <row r="255" spans="2:12" x14ac:dyDescent="0.35">
      <c r="B255">
        <v>0.245</v>
      </c>
      <c r="C255">
        <f ca="1"/>
        <v>-0.31961264367680348</v>
      </c>
      <c r="D255">
        <f ca="1"/>
        <v>1</v>
      </c>
      <c r="E255">
        <f ca="1"/>
        <v>93.349233344335829</v>
      </c>
      <c r="F255">
        <f ca="1"/>
        <v>0</v>
      </c>
      <c r="G255">
        <f ca="1"/>
        <v>0</v>
      </c>
      <c r="H255">
        <f ca="1"/>
        <v>-87.333643421490748</v>
      </c>
      <c r="I255">
        <f ca="1"/>
        <v>1</v>
      </c>
      <c r="J255">
        <f ca="1"/>
        <v>6.0155899228450807</v>
      </c>
      <c r="K255">
        <f ca="1"/>
        <v>0</v>
      </c>
      <c r="L255">
        <f ca="1"/>
        <v>6.6507666556641709</v>
      </c>
    </row>
    <row r="256" spans="2:12" x14ac:dyDescent="0.35">
      <c r="B256">
        <v>0.246</v>
      </c>
      <c r="C256">
        <f ca="1"/>
        <v>-0.28638264022208304</v>
      </c>
      <c r="D256">
        <f ca="1"/>
        <v>1</v>
      </c>
      <c r="E256">
        <f ca="1"/>
        <v>93.969819159485453</v>
      </c>
      <c r="F256">
        <f ca="1"/>
        <v>0</v>
      </c>
      <c r="G256">
        <f ca="1"/>
        <v>0</v>
      </c>
      <c r="H256">
        <f ca="1"/>
        <v>-87.333643421490748</v>
      </c>
      <c r="I256">
        <f ca="1"/>
        <v>1</v>
      </c>
      <c r="J256">
        <f ca="1"/>
        <v>6.6361757379947051</v>
      </c>
      <c r="K256">
        <f ca="1"/>
        <v>0</v>
      </c>
      <c r="L256">
        <f ca="1"/>
        <v>6.0301808405145465</v>
      </c>
    </row>
    <row r="257" spans="2:12" x14ac:dyDescent="0.35">
      <c r="B257">
        <v>0.247</v>
      </c>
      <c r="C257">
        <f ca="1"/>
        <v>-0.32181282300869513</v>
      </c>
      <c r="D257">
        <f ca="1"/>
        <v>1</v>
      </c>
      <c r="E257">
        <f ca="1"/>
        <v>93.304433117949671</v>
      </c>
      <c r="F257">
        <f ca="1"/>
        <v>0</v>
      </c>
      <c r="G257">
        <f ca="1"/>
        <v>0</v>
      </c>
      <c r="H257">
        <f ca="1"/>
        <v>-87.333643421490748</v>
      </c>
      <c r="I257">
        <f ca="1"/>
        <v>1</v>
      </c>
      <c r="J257">
        <f ca="1"/>
        <v>5.9707896964589224</v>
      </c>
      <c r="K257">
        <f ca="1"/>
        <v>0</v>
      </c>
      <c r="L257">
        <f ca="1"/>
        <v>6.6955668820503291</v>
      </c>
    </row>
    <row r="258" spans="2:12" x14ac:dyDescent="0.35">
      <c r="B258">
        <v>0.248</v>
      </c>
      <c r="C258">
        <f ca="1"/>
        <v>-0.36815815402201518</v>
      </c>
      <c r="D258">
        <f ca="1"/>
        <v>1</v>
      </c>
      <c r="E258">
        <f ca="1"/>
        <v>92.441735094516488</v>
      </c>
      <c r="F258">
        <f ca="1"/>
        <v>0</v>
      </c>
      <c r="G258">
        <f ca="1"/>
        <v>0</v>
      </c>
      <c r="H258">
        <f ca="1"/>
        <v>-87.333643421490748</v>
      </c>
      <c r="I258">
        <f ca="1"/>
        <v>1</v>
      </c>
      <c r="J258">
        <f ca="1"/>
        <v>5.10809167302574</v>
      </c>
      <c r="K258">
        <f ca="1"/>
        <v>0</v>
      </c>
      <c r="L258">
        <f ca="1"/>
        <v>7.5582649054835116</v>
      </c>
    </row>
    <row r="259" spans="2:12" x14ac:dyDescent="0.35">
      <c r="B259">
        <v>0.249</v>
      </c>
      <c r="C259">
        <f ca="1"/>
        <v>-0.41928196799314271</v>
      </c>
      <c r="D259">
        <f ca="1"/>
        <v>1</v>
      </c>
      <c r="E259">
        <f ca="1"/>
        <v>91.499526041108354</v>
      </c>
      <c r="F259">
        <f ca="1"/>
        <v>0</v>
      </c>
      <c r="G259">
        <f ca="1"/>
        <v>0</v>
      </c>
      <c r="H259">
        <f ca="1"/>
        <v>-87.333643421490748</v>
      </c>
      <c r="I259">
        <f ca="1"/>
        <v>1</v>
      </c>
      <c r="J259">
        <f ca="1"/>
        <v>4.1658826196176051</v>
      </c>
      <c r="K259">
        <f ca="1"/>
        <v>0</v>
      </c>
      <c r="L259">
        <f ca="1"/>
        <v>8.5004739588916465</v>
      </c>
    </row>
    <row r="260" spans="2:12" x14ac:dyDescent="0.35">
      <c r="B260">
        <v>0.25</v>
      </c>
      <c r="C260">
        <f ca="1"/>
        <v>-0.42707294535338047</v>
      </c>
      <c r="D260">
        <f ca="1"/>
        <v>1</v>
      </c>
      <c r="E260">
        <f ca="1"/>
        <v>91.355235792472968</v>
      </c>
      <c r="F260">
        <f ca="1"/>
        <v>87.333643421490748</v>
      </c>
      <c r="G260">
        <f ca="1"/>
        <v>-1</v>
      </c>
      <c r="H260">
        <f ca="1"/>
        <v>0</v>
      </c>
      <c r="I260">
        <f ca="1"/>
        <v>1</v>
      </c>
      <c r="J260">
        <f ca="1"/>
        <v>91.355235792472968</v>
      </c>
      <c r="K260">
        <f ca="1"/>
        <v>4.0215923709822192</v>
      </c>
      <c r="L260">
        <f ca="1"/>
        <v>8.6447642075270323</v>
      </c>
    </row>
  </sheetData>
  <mergeCells count="3">
    <mergeCell ref="D8:E8"/>
    <mergeCell ref="F8:G8"/>
    <mergeCell ref="H8:I8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22</vt:i4>
      </vt:variant>
    </vt:vector>
  </HeadingPairs>
  <TitlesOfParts>
    <vt:vector size="25" baseType="lpstr">
      <vt:lpstr>Elementary</vt:lpstr>
      <vt:lpstr>Simulation</vt:lpstr>
      <vt:lpstr>Simulation (2)</vt:lpstr>
      <vt:lpstr>'Simulation (2)'!dt</vt:lpstr>
      <vt:lpstr>dt</vt:lpstr>
      <vt:lpstr>'Simulation (2)'!error</vt:lpstr>
      <vt:lpstr>error</vt:lpstr>
      <vt:lpstr>'Simulation (2)'!f</vt:lpstr>
      <vt:lpstr>f</vt:lpstr>
      <vt:lpstr>'Simulation (2)'!hedge</vt:lpstr>
      <vt:lpstr>hedge</vt:lpstr>
      <vt:lpstr>'Simulation (2)'!k</vt:lpstr>
      <vt:lpstr>k</vt:lpstr>
      <vt:lpstr>'Simulation (2)'!last</vt:lpstr>
      <vt:lpstr>last</vt:lpstr>
      <vt:lpstr>'Simulation (2)'!mu</vt:lpstr>
      <vt:lpstr>mu</vt:lpstr>
      <vt:lpstr>'Simulation (2)'!payoff</vt:lpstr>
      <vt:lpstr>payoff</vt:lpstr>
      <vt:lpstr>'Simulation (2)'!put</vt:lpstr>
      <vt:lpstr>put</vt:lpstr>
      <vt:lpstr>'Simulation (2)'!sigma</vt:lpstr>
      <vt:lpstr>sigma</vt:lpstr>
      <vt:lpstr>'Simulation (2)'!t</vt:lpstr>
      <vt:lpstr>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Enhua Zhu</cp:lastModifiedBy>
  <dcterms:created xsi:type="dcterms:W3CDTF">2026-02-23T20:58:14Z</dcterms:created>
  <dcterms:modified xsi:type="dcterms:W3CDTF">2026-03-02T05:47:37Z</dcterms:modified>
</cp:coreProperties>
</file>