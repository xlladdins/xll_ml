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ith\source\repos\xlladdins\xll_ml\xlsx\"/>
    </mc:Choice>
  </mc:AlternateContent>
  <xr:revisionPtr revIDLastSave="0" documentId="13_ncr:1_{7551AFB7-D92E-4629-9F05-2C66FD27A635}" xr6:coauthVersionLast="47" xr6:coauthVersionMax="47" xr10:uidLastSave="{00000000-0000-0000-0000-000000000000}"/>
  <bookViews>
    <workbookView xWindow="-98" yWindow="-98" windowWidth="22276" windowHeight="13996" activeTab="1" xr2:uid="{5E38A752-04D7-4C78-952F-E31FCF3159F7}"/>
  </bookViews>
  <sheets>
    <sheet name="Elementary" sheetId="1" r:id="rId1"/>
    <sheet name="Simulation" sheetId="4" r:id="rId2"/>
  </sheets>
  <definedNames>
    <definedName name="_M">_xlfn.ANCHORARRAY(Simulation!$H$10)</definedName>
    <definedName name="_N">_xlfn.ANCHORARRAY(Simulation!$I$10)</definedName>
    <definedName name="A">_xlfn.ANCHORARRAY(Simulation!$K$10)</definedName>
    <definedName name="ad">_xlfn.LAMBDA(_xlpm.x, _xlfn.VSTACK(_xlfn.TAKE(_xlpm.x,1), _xlfn.DROP(_xlpm.x,1) - _xlfn.DROP(_xlpm.x,-1)))</definedName>
    <definedName name="B_">_xlfn.ANCHORARRAY(Simulation!$C$10)</definedName>
    <definedName name="co">_xlfn.LAMBDA(_xlpm.x,_xlfn.LET(_xlpm.x_,_xlfn.DROP(_xlpm.x,-1),_xlfn.VSTACK(_xlpm.x_, -SUM(_xlpm.x_))))</definedName>
    <definedName name="dt">Simulation!$C$6</definedName>
    <definedName name="error">Simulation!$G$6</definedName>
    <definedName name="f">Simulation!$C$3</definedName>
    <definedName name="hedge">Simulation!$G$5</definedName>
    <definedName name="k">Simulation!$C$7</definedName>
    <definedName name="last">Simulation!$G$3</definedName>
    <definedName name="M">_xlfn.ANCHORARRAY(Simulation!$F$10)</definedName>
    <definedName name="mu">Simulation!$C$2</definedName>
    <definedName name="N">_xlfn.ANCHORARRAY(Simulation!$G$10)</definedName>
    <definedName name="payoff">Simulation!$G$4</definedName>
    <definedName name="put">Simulation!$G$2</definedName>
    <definedName name="R_">_xlfn.ANCHORARRAY(Simulation!$D$10)</definedName>
    <definedName name="S_">_xlfn.ANCHORARRAY(Simulation!$E$10)</definedName>
    <definedName name="sigma">Simulation!$C$4</definedName>
    <definedName name="t">Simulation!$C$5</definedName>
    <definedName name="t_">_xlfn.ANCHORARRAY(Simulation!$B$10)</definedName>
    <definedName name="V">_xlfn.ANCHORARRAY(Simulation!$J$10)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6" i="4" l="1"/>
  <c r="P3" i="4" a="1"/>
  <c r="P3" i="4" s="1"/>
  <c r="O3" i="4" a="1"/>
  <c r="O3" i="4" s="1"/>
  <c r="H4" i="1"/>
  <c r="F5" i="1"/>
  <c r="D5" i="1"/>
  <c r="D4" i="1"/>
  <c r="K2" i="4" a="1"/>
  <c r="J2" i="4" a="1"/>
  <c r="G2" i="4" a="1"/>
  <c r="I2" i="4" a="1"/>
  <c r="B1" i="4" a="1"/>
  <c r="B10" i="4" a="1"/>
  <c r="B1" i="4" l="1"/>
  <c r="N21" i="4"/>
  <c r="P20" i="4"/>
  <c r="K2" i="4"/>
  <c r="J2" i="4"/>
  <c r="I2" i="4"/>
  <c r="G2" i="4"/>
  <c r="B10" i="4"/>
  <c r="K5" i="1"/>
  <c r="E4" i="1"/>
  <c r="C10" i="4" a="1"/>
  <c r="M14" i="4" l="1"/>
  <c r="C10" i="4"/>
  <c r="L2" i="4"/>
  <c r="M2" i="4" s="1"/>
  <c r="G4" i="1"/>
  <c r="E5" i="1"/>
  <c r="J5" i="1" s="1"/>
  <c r="L5" i="1" s="1"/>
  <c r="J4" i="1"/>
  <c r="M20" i="4" a="1"/>
  <c r="M21" i="4" l="1"/>
  <c r="M20" i="4"/>
  <c r="E10" i="4" a="1"/>
  <c r="D10" i="4" a="1"/>
  <c r="D10" i="4" s="1"/>
  <c r="G5" i="1" a="1"/>
  <c r="G5" i="1" s="1"/>
  <c r="I5" i="1" s="1"/>
  <c r="I4" i="1"/>
  <c r="M16" i="4" a="1"/>
  <c r="O20" i="4" a="1"/>
  <c r="M16" i="4" l="1"/>
  <c r="N14" i="4"/>
  <c r="O20" i="4"/>
  <c r="O21" i="4"/>
  <c r="E10" i="4"/>
  <c r="I10" i="4" a="1"/>
  <c r="N16" i="4" l="1"/>
  <c r="I10" i="4"/>
  <c r="L10" i="4" a="1"/>
  <c r="L10" i="4" s="1"/>
  <c r="G3" i="4" a="1"/>
  <c r="G3" i="4" s="1"/>
  <c r="G4" i="4" s="1"/>
  <c r="H4" i="4" a="1"/>
  <c r="G10" i="4" l="1" a="1"/>
  <c r="G10" i="4" s="1"/>
  <c r="F10" i="4" s="1" a="1"/>
  <c r="H4" i="4"/>
  <c r="I4" i="4"/>
  <c r="M10" i="4" l="1"/>
  <c r="M11" i="4"/>
  <c r="N11" i="4" s="1"/>
  <c r="F10" i="4"/>
  <c r="K10" i="4" s="1" a="1"/>
  <c r="K10" i="4" s="1"/>
  <c r="G5" i="4" s="1" a="1"/>
  <c r="G5" i="4" s="1"/>
  <c r="G6" i="4" s="1"/>
  <c r="H6" i="4" a="1"/>
  <c r="H6" i="4" l="1"/>
  <c r="I6" i="4"/>
  <c r="J6" i="4" s="1"/>
  <c r="N10" i="4"/>
  <c r="H10" i="4" a="1"/>
  <c r="H10" i="4" s="1"/>
  <c r="J10" i="4" s="1" a="1"/>
  <c r="J10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H4" authorId="0" shapeId="0" xr:uid="{11EC72C2-EA02-4BCF-BE17-CDD3CFEC86F9}">
      <text>
        <r>
          <rPr>
            <b/>
            <sz val="11"/>
            <color indexed="81"/>
            <rFont val="Tahoma"/>
            <family val="2"/>
          </rPr>
          <t>E[max(k - F, 0)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<sst xmlns="http://schemas.openxmlformats.org/spreadsheetml/2006/main" count="42" uniqueCount="32">
  <si>
    <t>X</t>
  </si>
  <si>
    <t>t</t>
  </si>
  <si>
    <t>R</t>
  </si>
  <si>
    <t>S</t>
  </si>
  <si>
    <t>M</t>
  </si>
  <si>
    <t>N</t>
  </si>
  <si>
    <t>\M</t>
  </si>
  <si>
    <t>\N</t>
  </si>
  <si>
    <t>V</t>
  </si>
  <si>
    <t>A</t>
  </si>
  <si>
    <t>Γ</t>
  </si>
  <si>
    <t>(Δ+Γ).X</t>
  </si>
  <si>
    <t>-Γ.X</t>
  </si>
  <si>
    <t>Δ+Γ</t>
  </si>
  <si>
    <t>sigma</t>
  </si>
  <si>
    <t>mu</t>
  </si>
  <si>
    <t>f</t>
  </si>
  <si>
    <t>k</t>
  </si>
  <si>
    <t>R_</t>
  </si>
  <si>
    <t>S_</t>
  </si>
  <si>
    <t>put</t>
  </si>
  <si>
    <t>dt</t>
  </si>
  <si>
    <t>t_</t>
  </si>
  <si>
    <t>B_</t>
  </si>
  <si>
    <t>payoff</t>
  </si>
  <si>
    <t>hedge</t>
  </si>
  <si>
    <t>_M</t>
  </si>
  <si>
    <t>_N</t>
  </si>
  <si>
    <t>last</t>
  </si>
  <si>
    <t>error</t>
  </si>
  <si>
    <t>accuracy</t>
  </si>
  <si>
    <t>intrinsic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</si>
</sst>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&quot;0x&quot;#"/>
    <numFmt numFmtId="165" formatCode="0.0000"/>
    <numFmt numFmtId="166" formatCode="0.000"/>
    <numFmt numFmtId="167" formatCode="0.0%"/>
    <numFmt numFmtId="169" formatCode="_(* #,##0_);_(* \(#,##0\);_(* &quot;-&quot;??_);_(@_)"/>
  </numFmts>
  <fonts count="13" x14ac:knownFonts="1">
    <font>
      <sz val="14"/>
      <color theme="1"/>
      <name val="Aptos Narrow"/>
      <family val="2"/>
      <scheme val="minor"/>
    </font>
    <font>
      <sz val="14"/>
      <color theme="1"/>
      <name val="Aptos Narrow"/>
      <family val="2"/>
    </font>
    <font>
      <b/>
      <sz val="14"/>
      <color theme="0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theme="0" tint="-0.34998626667073579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rgb="FF3F3F3F"/>
      <name val="Aptos Narrow"/>
      <family val="2"/>
      <scheme val="minor"/>
    </font>
    <font>
      <sz val="14"/>
      <color rgb="FF3F3F76"/>
      <name val="Aptos Narrow"/>
      <family val="2"/>
      <scheme val="minor"/>
    </font>
    <font>
      <b/>
      <sz val="14"/>
      <color rgb="FFFA7D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A5A5A5"/>
      </patternFill>
    </fill>
    <fill>
      <patternFill patternType="solid">
        <fgColor rgb="FFF2F2F2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2" fillId="2" borderId="2" applyNumberFormat="0" applyAlignment="0" applyProtection="0"/>
    <xf numFmtId="164" fontId="3" fillId="0" borderId="0">
      <alignment horizontal="center" vertical="center"/>
    </xf>
    <xf numFmtId="9" fontId="6" fillId="0" borderId="0" applyFont="0" applyFill="0" applyBorder="0" applyAlignment="0" applyProtection="0"/>
    <xf numFmtId="0" fontId="7" fillId="3" borderId="3" applyNumberFormat="0" applyAlignment="0" applyProtection="0"/>
    <xf numFmtId="43" fontId="6" fillId="0" borderId="0" applyFont="0" applyFill="0" applyBorder="0" applyAlignment="0" applyProtection="0"/>
    <xf numFmtId="0" fontId="8" fillId="4" borderId="4" applyNumberFormat="0" applyAlignment="0" applyProtection="0"/>
    <xf numFmtId="0" fontId="9" fillId="3" borderId="4" applyNumberFormat="0" applyAlignment="0" applyProtection="0"/>
  </cellStyleXfs>
  <cellXfs count="26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quotePrefix="1" applyFont="1" applyAlignment="1">
      <alignment horizontal="center"/>
    </xf>
    <xf numFmtId="0" fontId="0" fillId="0" borderId="0" xfId="0" applyAlignment="1">
      <alignment horizontal="right"/>
    </xf>
    <xf numFmtId="0" fontId="0" fillId="0" borderId="1" xfId="0" applyBorder="1" applyAlignment="1">
      <alignment horizontal="center"/>
    </xf>
    <xf numFmtId="0" fontId="2" fillId="2" borderId="2" xfId="1"/>
    <xf numFmtId="0" fontId="5" fillId="0" borderId="0" xfId="0" applyFont="1"/>
    <xf numFmtId="165" fontId="0" fillId="0" borderId="0" xfId="0" applyNumberFormat="1"/>
    <xf numFmtId="165" fontId="5" fillId="0" borderId="0" xfId="0" applyNumberFormat="1" applyFont="1"/>
    <xf numFmtId="0" fontId="5" fillId="0" borderId="0" xfId="0" applyNumberFormat="1" applyFont="1" applyAlignment="1">
      <alignment horizontal="right"/>
    </xf>
    <xf numFmtId="166" fontId="0" fillId="0" borderId="0" xfId="0" applyNumberFormat="1"/>
    <xf numFmtId="2" fontId="0" fillId="0" borderId="0" xfId="0" applyNumberFormat="1"/>
    <xf numFmtId="165" fontId="7" fillId="3" borderId="3" xfId="4" applyNumberFormat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0" fillId="0" borderId="0" xfId="0" applyFont="1"/>
    <xf numFmtId="167" fontId="0" fillId="0" borderId="0" xfId="3" applyNumberFormat="1" applyFont="1" applyAlignment="1">
      <alignment horizontal="center"/>
    </xf>
    <xf numFmtId="169" fontId="11" fillId="0" borderId="0" xfId="5" applyNumberFormat="1" applyFont="1"/>
    <xf numFmtId="0" fontId="0" fillId="0" borderId="0" xfId="0" applyFill="1" applyBorder="1" applyAlignment="1">
      <alignment horizontal="center"/>
    </xf>
    <xf numFmtId="0" fontId="8" fillId="4" borderId="4" xfId="6"/>
    <xf numFmtId="0" fontId="9" fillId="3" borderId="4" xfId="7"/>
    <xf numFmtId="0" fontId="12" fillId="0" borderId="0" xfId="0" applyFont="1"/>
    <xf numFmtId="0" fontId="12" fillId="0" borderId="0" xfId="0" applyNumberFormat="1" applyFont="1"/>
  </cellXfs>
  <cellStyles count="8">
    <cellStyle name="Calculation" xfId="7" builtinId="22"/>
    <cellStyle name="Check Cell" xfId="1" builtinId="23"/>
    <cellStyle name="Comma" xfId="5" builtinId="3"/>
    <cellStyle name="Handle" xfId="2" xr:uid="{FF7A162F-DF08-42FE-AEB2-120BB5405C33}"/>
    <cellStyle name="Input" xfId="6" builtinId="20"/>
    <cellStyle name="Normal" xfId="0" builtinId="0"/>
    <cellStyle name="Output" xfId="4" builtinId="21"/>
    <cellStyle name="Percent" xfId="3" builtinId="5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B3CCDB-807E-4762-83AC-A616811C3245}">
  <dimension ref="B2:L6"/>
  <sheetViews>
    <sheetView workbookViewId="0"/>
  </sheetViews>
  <sheetFormatPr defaultRowHeight="18" x14ac:dyDescent="0.55000000000000004"/>
  <cols>
    <col min="1" max="1" width="3.578125" customWidth="1"/>
  </cols>
  <sheetData>
    <row r="2" spans="2:12" x14ac:dyDescent="0.55000000000000004">
      <c r="C2" s="14" t="s">
        <v>0</v>
      </c>
      <c r="D2" s="14"/>
      <c r="E2" s="15" t="s">
        <v>10</v>
      </c>
      <c r="F2" s="15"/>
      <c r="G2" s="15" t="s">
        <v>13</v>
      </c>
      <c r="H2" s="15"/>
      <c r="I2" s="1" t="s">
        <v>11</v>
      </c>
      <c r="J2" s="3" t="s">
        <v>12</v>
      </c>
    </row>
    <row r="3" spans="2:12" x14ac:dyDescent="0.55000000000000004">
      <c r="B3" s="5" t="s">
        <v>1</v>
      </c>
      <c r="C3" s="5" t="s">
        <v>2</v>
      </c>
      <c r="D3" s="5" t="s">
        <v>3</v>
      </c>
      <c r="E3" s="5" t="s">
        <v>4</v>
      </c>
      <c r="F3" s="5" t="s">
        <v>5</v>
      </c>
      <c r="G3" s="5" t="s">
        <v>6</v>
      </c>
      <c r="H3" s="5" t="s">
        <v>7</v>
      </c>
      <c r="I3" s="5" t="s">
        <v>8</v>
      </c>
      <c r="J3" s="5" t="s">
        <v>9</v>
      </c>
    </row>
    <row r="4" spans="2:12" ht="18.399999999999999" thickBot="1" x14ac:dyDescent="0.6">
      <c r="B4">
        <v>0</v>
      </c>
      <c r="C4">
        <v>1</v>
      </c>
      <c r="D4">
        <f ca="1">RAND()</f>
        <v>0.1762898126773671</v>
      </c>
      <c r="E4">
        <f ca="1">-F4*D4</f>
        <v>-0.52886943803210129</v>
      </c>
      <c r="F4" s="22">
        <v>3</v>
      </c>
      <c r="G4">
        <f ca="1">E4</f>
        <v>-0.52886943803210129</v>
      </c>
      <c r="H4">
        <f>F4</f>
        <v>3</v>
      </c>
      <c r="I4">
        <f ca="1">SUMPRODUCT(G4:H4,C4:D4)</f>
        <v>0</v>
      </c>
      <c r="J4">
        <f ca="1">-SUMPRODUCT(E4:F4,C4:D4)</f>
        <v>0</v>
      </c>
    </row>
    <row r="5" spans="2:12" ht="18.75" thickTop="1" thickBot="1" x14ac:dyDescent="0.6">
      <c r="B5">
        <v>1</v>
      </c>
      <c r="C5">
        <v>1</v>
      </c>
      <c r="D5">
        <f ca="1">RAND()</f>
        <v>0.8746924406276172</v>
      </c>
      <c r="E5">
        <f ca="1">-E4</f>
        <v>0.52886943803210129</v>
      </c>
      <c r="F5" s="23">
        <f>-F4</f>
        <v>-3</v>
      </c>
      <c r="G5" cm="1">
        <f t="array" aca="1" ref="G5:H5" ca="1">G4:H4+E5:F5</f>
        <v>0</v>
      </c>
      <c r="H5">
        <f ca="1"/>
        <v>0</v>
      </c>
      <c r="I5">
        <f ca="1">SUMPRODUCT(G5:H5,C5:D5)</f>
        <v>0</v>
      </c>
      <c r="J5">
        <f ca="1">-SUMPRODUCT(E5:F5,C5:D5)</f>
        <v>2.0952078838507502</v>
      </c>
      <c r="K5">
        <f ca="1">F4*(D5-D4)</f>
        <v>2.0952078838507502</v>
      </c>
      <c r="L5" s="6">
        <f ca="1">J5-K5</f>
        <v>0</v>
      </c>
    </row>
    <row r="6" spans="2:12" ht="18.399999999999999" thickTop="1" x14ac:dyDescent="0.55000000000000004"/>
  </sheetData>
  <mergeCells count="3">
    <mergeCell ref="C2:D2"/>
    <mergeCell ref="E2:F2"/>
    <mergeCell ref="G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2DD-292F-41DF-A786-89DEB5029ACA}">
  <dimension ref="B1:P208"/>
  <sheetViews>
    <sheetView tabSelected="1" workbookViewId="0"/>
  </sheetViews>
  <sheetFormatPr defaultRowHeight="18" x14ac:dyDescent="0.55000000000000004"/>
  <cols>
    <col min="1" max="1" width="3.578125" customWidth="1"/>
    <col min="2" max="2" width="9.89453125" bestFit="1" customWidth="1"/>
    <col min="7" max="7" width="11.68359375" bestFit="1" customWidth="1"/>
    <col min="10" max="10" width="10.20703125" bestFit="1" customWidth="1"/>
    <col min="13" max="13" width="11.68359375" bestFit="1" customWidth="1"/>
  </cols>
  <sheetData>
    <row r="1" spans="2:16" x14ac:dyDescent="0.55000000000000004">
      <c r="B1" s="20" cm="1">
        <f t="array" aca="1" ref="B1" ca="1">_xll.MONTE.COUNT()</f>
        <v>5981</v>
      </c>
    </row>
    <row r="2" spans="2:16" x14ac:dyDescent="0.55000000000000004">
      <c r="B2" s="4" t="s">
        <v>15</v>
      </c>
      <c r="C2">
        <v>0</v>
      </c>
      <c r="F2" s="4" t="s">
        <v>20</v>
      </c>
      <c r="G2" s="8" cm="1">
        <f t="array" ref="G2">_xll.OPTION.BLACK.PUT(f, sigma*SQRT(t), k)</f>
        <v>3.987761167674492</v>
      </c>
      <c r="I2" s="9" cm="1">
        <f t="array" ref="I2">_xll.OPTION.BLACK.PUT_DELTA(f, sigma*SQRT(t), k)</f>
        <v>-0.48006119416162751</v>
      </c>
      <c r="J2" s="9" cm="1">
        <f t="array" ref="J2">_xll.OPTION.BLACK.PUT(f+0.01, sigma*SQRT(t), k)</f>
        <v>3.9829625478526722</v>
      </c>
      <c r="K2" s="9" cm="1">
        <f t="array" ref="K2">_xll.OPTION.BLACK.PUT(f-0.01, sigma*SQRT(t), k)</f>
        <v>3.9925637719351386</v>
      </c>
      <c r="L2" s="9">
        <f>(J2-K2)/0.02</f>
        <v>-0.48006120412331654</v>
      </c>
      <c r="M2" s="10">
        <f>I2-L2</f>
        <v>9.9616890292253402E-9</v>
      </c>
    </row>
    <row r="3" spans="2:16" x14ac:dyDescent="0.55000000000000004">
      <c r="B3" s="4" t="s">
        <v>16</v>
      </c>
      <c r="C3">
        <v>100</v>
      </c>
      <c r="F3" s="4" t="s">
        <v>28</v>
      </c>
      <c r="G3" s="8" cm="1">
        <f t="array" aca="1" ref="G3" ca="1">_xlfn.TAKE(S_,-1)</f>
        <v>96.000580681277953</v>
      </c>
      <c r="N3" s="7">
        <v>1</v>
      </c>
      <c r="O3" s="7" cm="1">
        <f t="array" ref="O3:O5">ad(N3:N5)</f>
        <v>1</v>
      </c>
      <c r="P3" s="7" cm="1">
        <f t="array" ref="P3:P5">_xlfn.SCAN(0,_xlfn.ANCHORARRAY(O3),_xlfn.LAMBDA(_xlpm.a,_xlpm.b,_xlpm.a+_xlpm.b))</f>
        <v>1</v>
      </c>
    </row>
    <row r="4" spans="2:16" x14ac:dyDescent="0.55000000000000004">
      <c r="B4" s="4" t="s">
        <v>14</v>
      </c>
      <c r="C4">
        <v>0.2</v>
      </c>
      <c r="F4" s="4" t="s">
        <v>24</v>
      </c>
      <c r="G4" s="11">
        <f ca="1">MAX(k - last,0)</f>
        <v>3.9994193187220475</v>
      </c>
      <c r="H4" s="11">
        <f t="array" aca="1" ref="H4:I4" ca="1">_xll.MONTE.STDEV(G4)</f>
        <v>3.9809247744181899</v>
      </c>
      <c r="I4" s="11">
        <f ca="1"/>
        <v>5.4664008231117904</v>
      </c>
      <c r="M4">
        <v>1E-3</v>
      </c>
      <c r="N4" s="7">
        <v>2</v>
      </c>
      <c r="O4" s="7">
        <v>1</v>
      </c>
      <c r="P4" s="7">
        <v>2</v>
      </c>
    </row>
    <row r="5" spans="2:16" x14ac:dyDescent="0.55000000000000004">
      <c r="B5" s="4" t="s">
        <v>1</v>
      </c>
      <c r="C5">
        <v>0.25</v>
      </c>
      <c r="F5" s="4" t="s">
        <v>25</v>
      </c>
      <c r="G5" s="11" cm="1">
        <f t="array" aca="1" ref="G5" ca="1">_xlfn.TAKE(A,-1)</f>
        <v>3.9321965576328068</v>
      </c>
      <c r="H5" s="11"/>
      <c r="I5" s="11"/>
      <c r="M5">
        <v>0.01</v>
      </c>
      <c r="N5" s="7">
        <v>3</v>
      </c>
      <c r="O5" s="7">
        <v>1</v>
      </c>
      <c r="P5" s="7">
        <v>3</v>
      </c>
    </row>
    <row r="6" spans="2:16" x14ac:dyDescent="0.55000000000000004">
      <c r="B6" s="4" t="s">
        <v>21</v>
      </c>
      <c r="C6">
        <f>1/500</f>
        <v>2E-3</v>
      </c>
      <c r="F6" s="4" t="s">
        <v>29</v>
      </c>
      <c r="G6" s="11">
        <f ca="1">payoff-hedge</f>
        <v>6.7222761089240635E-2</v>
      </c>
      <c r="H6" s="8">
        <f t="array" aca="1" ref="H6:I6" ca="1">_xll.MONTE.STDEV(error)</f>
        <v>-3.7180222957883245E-3</v>
      </c>
      <c r="I6" s="13">
        <f ca="1"/>
        <v>0.31329017358440225</v>
      </c>
      <c r="J6" s="19">
        <f ca="1">I6/put</f>
        <v>7.8562923006520208E-2</v>
      </c>
      <c r="K6" s="18" t="s">
        <v>30</v>
      </c>
      <c r="M6">
        <v>0.1</v>
      </c>
    </row>
    <row r="7" spans="2:16" x14ac:dyDescent="0.55000000000000004">
      <c r="B7" s="4" t="s">
        <v>17</v>
      </c>
      <c r="C7">
        <v>100</v>
      </c>
    </row>
    <row r="8" spans="2:16" x14ac:dyDescent="0.55000000000000004">
      <c r="D8" s="16" t="s">
        <v>0</v>
      </c>
      <c r="E8" s="16"/>
      <c r="F8" s="17" t="s">
        <v>10</v>
      </c>
      <c r="G8" s="17"/>
      <c r="H8" s="17" t="s">
        <v>13</v>
      </c>
      <c r="I8" s="17"/>
      <c r="J8" s="2" t="s">
        <v>11</v>
      </c>
      <c r="K8" s="3" t="s">
        <v>12</v>
      </c>
    </row>
    <row r="9" spans="2:16" x14ac:dyDescent="0.55000000000000004">
      <c r="B9" s="5" t="s">
        <v>22</v>
      </c>
      <c r="C9" s="5" t="s">
        <v>23</v>
      </c>
      <c r="D9" s="5" t="s">
        <v>18</v>
      </c>
      <c r="E9" s="5" t="s">
        <v>19</v>
      </c>
      <c r="F9" s="5" t="s">
        <v>4</v>
      </c>
      <c r="G9" s="5" t="s">
        <v>5</v>
      </c>
      <c r="H9" s="5" t="s">
        <v>26</v>
      </c>
      <c r="I9" s="5" t="s">
        <v>27</v>
      </c>
      <c r="J9" s="5" t="s">
        <v>8</v>
      </c>
      <c r="K9" s="5" t="s">
        <v>9</v>
      </c>
      <c r="L9" s="21" t="s">
        <v>31</v>
      </c>
    </row>
    <row r="10" spans="2:16" x14ac:dyDescent="0.55000000000000004">
      <c r="B10" cm="1">
        <f t="array" ref="B10:B135">_xll.ARRAY.SEQUENCE(0, t, dt)</f>
        <v>0</v>
      </c>
      <c r="C10" cm="1">
        <f t="array" aca="1" ref="C10:C135" ca="1">_xll.RANDOM.BROWNIAN(t_)</f>
        <v>0</v>
      </c>
      <c r="D10" cm="1">
        <f t="array" aca="1" ref="D10:D135" ca="1">1+0*B_</f>
        <v>1</v>
      </c>
      <c r="E10" cm="1">
        <f t="array" aca="1" ref="E10:E135" ca="1">f*EXP(sigma*B_+(mu-sigma*sigma/2)*t_)</f>
        <v>100</v>
      </c>
      <c r="F10" s="11" cm="1">
        <f t="array" aca="1" ref="F10:F135" ca="1">co(put*(t_ = 0) - N*S_/R_)</f>
        <v>51.993880583837246</v>
      </c>
      <c r="G10" s="8" cm="1">
        <f t="array" aca="1" ref="G10:G135" ca="1">co(ad(_N))</f>
        <v>-0.48006119416162751</v>
      </c>
      <c r="H10" s="11" cm="1">
        <f t="array" aca="1" ref="H10:H135" ca="1">_xlfn.SCAN(0,M,_xlfn.LAMBDA(_xlpm.a,_xlpm.b,_xlpm.a+_xlpm.b))</f>
        <v>51.993880583837246</v>
      </c>
      <c r="I10" s="8" cm="1">
        <f t="array" aca="1" ref="I10:I135" ca="1">_xlfn.VSTACK(_xlfn.DROP(_xlfn.MAP(t_,S_,_xlfn.LAMBDA(_xlpm._t,_xlpm._S,_xll.OPTION.BLACK.PUT_DELTA(_xlpm._S,sigma*SQRT(t - _xlpm._t),k))),-1),0)</f>
        <v>-0.48006119416162751</v>
      </c>
      <c r="J10" s="8" cm="1">
        <f t="array" aca="1" ref="J10:J135" ca="1">_M * R_ + _N * S_</f>
        <v>3.987761167674492</v>
      </c>
      <c r="K10" cm="1">
        <f t="array" aca="1" ref="K10:K135" ca="1">-M * R_ - N * S_</f>
        <v>-3.987761167674492</v>
      </c>
      <c r="L10" cm="1">
        <f t="array" aca="1" ref="L10:L135" ca="1">_xlfn.MAP(S_,_xlfn.LAMBDA(_xlpm.s,MAX(k-_xlpm.s,0)))</f>
        <v>0</v>
      </c>
      <c r="M10" s="24">
        <f ca="1">put - G10*E10</f>
        <v>51.993880583837246</v>
      </c>
      <c r="N10" s="24">
        <f ca="1">F10-M10</f>
        <v>0</v>
      </c>
    </row>
    <row r="11" spans="2:16" x14ac:dyDescent="0.55000000000000004">
      <c r="B11">
        <v>2E-3</v>
      </c>
      <c r="C11">
        <f ca="1"/>
        <v>6.6988756910793021E-2</v>
      </c>
      <c r="D11">
        <f ca="1"/>
        <v>1</v>
      </c>
      <c r="E11" s="12">
        <f ca="1"/>
        <v>101.34473647094488</v>
      </c>
      <c r="F11" s="11">
        <f ca="1"/>
        <v>-5.3733980684747298</v>
      </c>
      <c r="G11" s="8">
        <f ca="1"/>
        <v>5.3020988120239088E-2</v>
      </c>
      <c r="H11" s="11">
        <f ca="1"/>
        <v>46.620482515362518</v>
      </c>
      <c r="I11" s="8">
        <f ca="1"/>
        <v>-0.42704020604138843</v>
      </c>
      <c r="J11" s="8">
        <f ca="1"/>
        <v>3.3422053716000022</v>
      </c>
      <c r="K11">
        <f ca="1"/>
        <v>0</v>
      </c>
      <c r="L11">
        <f ca="1"/>
        <v>0</v>
      </c>
      <c r="M11" s="24">
        <f ca="1" xml:space="preserve"> - G11*E11</f>
        <v>-5.3733980684747298</v>
      </c>
      <c r="N11" s="24">
        <f ca="1">F11-M11</f>
        <v>0</v>
      </c>
    </row>
    <row r="12" spans="2:16" x14ac:dyDescent="0.55000000000000004">
      <c r="B12">
        <v>4.0000000000000001E-3</v>
      </c>
      <c r="C12">
        <f ca="1"/>
        <v>0.13100950398640498</v>
      </c>
      <c r="D12">
        <f ca="1"/>
        <v>1</v>
      </c>
      <c r="E12" s="12">
        <f ca="1"/>
        <v>102.64660678792659</v>
      </c>
      <c r="F12" s="11">
        <f ca="1"/>
        <v>-5.1194232896015937</v>
      </c>
      <c r="G12" s="8">
        <f ca="1"/>
        <v>4.9874257413872414E-2</v>
      </c>
      <c r="H12" s="11">
        <f ca="1"/>
        <v>41.501059225760926</v>
      </c>
      <c r="I12" s="8">
        <f ca="1"/>
        <v>-0.37716594862751601</v>
      </c>
      <c r="J12" s="8">
        <f ca="1"/>
        <v>2.7862544031969705</v>
      </c>
      <c r="K12">
        <f ca="1"/>
        <v>0</v>
      </c>
      <c r="L12">
        <f ca="1"/>
        <v>0</v>
      </c>
    </row>
    <row r="13" spans="2:16" x14ac:dyDescent="0.55000000000000004">
      <c r="B13">
        <v>6.0000000000000001E-3</v>
      </c>
      <c r="C13">
        <f ca="1"/>
        <v>0.15311851409348806</v>
      </c>
      <c r="D13">
        <f ca="1"/>
        <v>1</v>
      </c>
      <c r="E13" s="12">
        <f ca="1"/>
        <v>103.09737075504341</v>
      </c>
      <c r="F13" s="11">
        <f ca="1"/>
        <v>-1.75827992691974</v>
      </c>
      <c r="G13" s="8">
        <f ca="1"/>
        <v>1.7054556426054412E-2</v>
      </c>
      <c r="H13" s="11">
        <f ca="1"/>
        <v>39.742779298841185</v>
      </c>
      <c r="I13" s="8">
        <f ca="1"/>
        <v>-0.3601113922014616</v>
      </c>
      <c r="J13" s="8">
        <f ca="1"/>
        <v>2.6162415839322506</v>
      </c>
      <c r="K13">
        <f ca="1"/>
        <v>0</v>
      </c>
      <c r="L13">
        <f ca="1"/>
        <v>0</v>
      </c>
    </row>
    <row r="14" spans="2:16" x14ac:dyDescent="0.55000000000000004">
      <c r="B14">
        <v>8.0000000000000002E-3</v>
      </c>
      <c r="C14">
        <f ca="1"/>
        <v>0.18082447773729141</v>
      </c>
      <c r="D14">
        <f ca="1"/>
        <v>1</v>
      </c>
      <c r="E14" s="12">
        <f ca="1"/>
        <v>103.66609215012406</v>
      </c>
      <c r="F14" s="11">
        <f ca="1"/>
        <v>-2.1866929037939142</v>
      </c>
      <c r="G14" s="8">
        <f ca="1"/>
        <v>2.109361757967354E-2</v>
      </c>
      <c r="H14" s="11">
        <f ca="1"/>
        <v>37.556086395047274</v>
      </c>
      <c r="I14" s="8">
        <f ca="1"/>
        <v>-0.33901777462178806</v>
      </c>
      <c r="J14" s="8">
        <f ca="1"/>
        <v>2.4114385305750048</v>
      </c>
      <c r="K14">
        <f ca="1"/>
        <v>0</v>
      </c>
      <c r="L14">
        <f ca="1"/>
        <v>0</v>
      </c>
      <c r="M14" s="24">
        <f ca="1">f*EXP(sigma*C14-sigma^2*B14/2)</f>
        <v>103.66609215012406</v>
      </c>
      <c r="N14" s="25">
        <f ca="1">E14-M14</f>
        <v>0</v>
      </c>
    </row>
    <row r="15" spans="2:16" x14ac:dyDescent="0.55000000000000004">
      <c r="B15">
        <v>0.01</v>
      </c>
      <c r="C15">
        <f ca="1"/>
        <v>0.16474053172181752</v>
      </c>
      <c r="D15">
        <f ca="1"/>
        <v>1</v>
      </c>
      <c r="E15" s="12">
        <f ca="1"/>
        <v>103.32902272045426</v>
      </c>
      <c r="F15" s="11">
        <f ca="1"/>
        <v>1.2150623243173342</v>
      </c>
      <c r="G15" s="8">
        <f ca="1"/>
        <v>-1.175915819512352E-2</v>
      </c>
      <c r="H15" s="11">
        <f ca="1"/>
        <v>38.771148719364611</v>
      </c>
      <c r="I15" s="8">
        <f ca="1"/>
        <v>-0.35077693281691158</v>
      </c>
      <c r="J15" s="8">
        <f ca="1"/>
        <v>2.5257110585146947</v>
      </c>
      <c r="K15">
        <f ca="1"/>
        <v>0</v>
      </c>
      <c r="L15">
        <f ca="1"/>
        <v>0</v>
      </c>
    </row>
    <row r="16" spans="2:16" x14ac:dyDescent="0.55000000000000004">
      <c r="B16">
        <v>1.2E-2</v>
      </c>
      <c r="C16">
        <f ca="1"/>
        <v>0.19944839152064631</v>
      </c>
      <c r="D16">
        <f ca="1"/>
        <v>1</v>
      </c>
      <c r="E16" s="12">
        <f ca="1"/>
        <v>104.04462194563378</v>
      </c>
      <c r="F16" s="11">
        <f ca="1"/>
        <v>-2.7340850606672942</v>
      </c>
      <c r="G16" s="8">
        <f ca="1"/>
        <v>2.6278004663190857E-2</v>
      </c>
      <c r="H16" s="11">
        <f ca="1"/>
        <v>36.037063658697313</v>
      </c>
      <c r="I16" s="8">
        <f ca="1"/>
        <v>-0.32449892815372072</v>
      </c>
      <c r="J16" s="8">
        <f ca="1"/>
        <v>2.2746953571800645</v>
      </c>
      <c r="K16">
        <f ca="1"/>
        <v>0</v>
      </c>
      <c r="L16">
        <f ca="1"/>
        <v>0</v>
      </c>
      <c r="M16" s="24" cm="1">
        <f t="array" aca="1" ref="M16" ca="1">_xll.OPTION.BLACK.PUT_DELTA(E16,sigma*SQRT(t - B16),k)</f>
        <v>-0.32449892815372072</v>
      </c>
      <c r="N16" s="25">
        <f ca="1">I16-M16</f>
        <v>0</v>
      </c>
    </row>
    <row r="17" spans="2:16" x14ac:dyDescent="0.55000000000000004">
      <c r="B17">
        <v>1.4E-2</v>
      </c>
      <c r="C17">
        <f ca="1"/>
        <v>0.244172510129506</v>
      </c>
      <c r="D17">
        <f ca="1"/>
        <v>1</v>
      </c>
      <c r="E17" s="12">
        <f ca="1"/>
        <v>104.97525839037417</v>
      </c>
      <c r="F17" s="11">
        <f ca="1"/>
        <v>-3.4392553347888688</v>
      </c>
      <c r="G17" s="8">
        <f ca="1"/>
        <v>3.2762532691267332E-2</v>
      </c>
      <c r="H17" s="11">
        <f ca="1"/>
        <v>32.597808323908446</v>
      </c>
      <c r="I17" s="8">
        <f ca="1"/>
        <v>-0.29173639546245339</v>
      </c>
      <c r="J17" s="8">
        <f ca="1"/>
        <v>1.9727048283610209</v>
      </c>
      <c r="K17">
        <f ca="1"/>
        <v>0</v>
      </c>
      <c r="L17">
        <f ca="1"/>
        <v>0</v>
      </c>
    </row>
    <row r="18" spans="2:16" x14ac:dyDescent="0.55000000000000004">
      <c r="B18">
        <v>1.6E-2</v>
      </c>
      <c r="C18">
        <f ca="1"/>
        <v>0.29417323593125366</v>
      </c>
      <c r="D18">
        <f ca="1"/>
        <v>1</v>
      </c>
      <c r="E18" s="12">
        <f ca="1"/>
        <v>106.02605154141071</v>
      </c>
      <c r="F18" s="11">
        <f ca="1"/>
        <v>-3.7025224856480468</v>
      </c>
      <c r="G18" s="8">
        <f ca="1"/>
        <v>3.4920874934232071E-2</v>
      </c>
      <c r="H18" s="11">
        <f ca="1"/>
        <v>28.895285838260399</v>
      </c>
      <c r="I18" s="8">
        <f ca="1"/>
        <v>-0.25681552052822132</v>
      </c>
      <c r="J18" s="8">
        <f ca="1"/>
        <v>1.6661502221009847</v>
      </c>
      <c r="K18">
        <f ca="1"/>
        <v>0</v>
      </c>
      <c r="L18">
        <f ca="1"/>
        <v>0</v>
      </c>
    </row>
    <row r="19" spans="2:16" x14ac:dyDescent="0.55000000000000004">
      <c r="B19">
        <v>1.8000000000000002E-2</v>
      </c>
      <c r="C19">
        <f ca="1"/>
        <v>0.23996014136768329</v>
      </c>
      <c r="D19">
        <f ca="1"/>
        <v>1</v>
      </c>
      <c r="E19" s="12">
        <f ca="1"/>
        <v>104.8784661208892</v>
      </c>
      <c r="F19" s="11">
        <f ca="1"/>
        <v>3.8679596419962263</v>
      </c>
      <c r="G19" s="8">
        <f ca="1"/>
        <v>-3.6880398665802228E-2</v>
      </c>
      <c r="H19" s="11">
        <f ca="1"/>
        <v>32.763245480256629</v>
      </c>
      <c r="I19" s="8">
        <f ca="1"/>
        <v>-0.29369591919402355</v>
      </c>
      <c r="J19" s="8">
        <f ca="1"/>
        <v>1.9608679692228179</v>
      </c>
      <c r="K19">
        <f ca="1"/>
        <v>0</v>
      </c>
      <c r="L19">
        <f ca="1"/>
        <v>0</v>
      </c>
    </row>
    <row r="20" spans="2:16" x14ac:dyDescent="0.55000000000000004">
      <c r="B20">
        <v>0.02</v>
      </c>
      <c r="C20">
        <f ca="1"/>
        <v>0.32686874967142832</v>
      </c>
      <c r="D20">
        <f ca="1"/>
        <v>1</v>
      </c>
      <c r="E20" s="12">
        <f ca="1"/>
        <v>106.71310117573431</v>
      </c>
      <c r="F20" s="11">
        <f ca="1"/>
        <v>-6.3578853049399005</v>
      </c>
      <c r="G20" s="8">
        <f ca="1"/>
        <v>5.9579238489843755E-2</v>
      </c>
      <c r="H20" s="11">
        <f ca="1"/>
        <v>26.40536017531673</v>
      </c>
      <c r="I20" s="8">
        <f ca="1"/>
        <v>-0.23411668070417979</v>
      </c>
      <c r="J20" s="8">
        <f ca="1"/>
        <v>1.422043140404508</v>
      </c>
      <c r="K20">
        <f ca="1"/>
        <v>0</v>
      </c>
      <c r="L20">
        <f ca="1"/>
        <v>0</v>
      </c>
      <c r="M20" s="7">
        <f t="array" aca="1" ref="M20:M21" ca="1">_xll.MONTE.STDEV(C20)</f>
        <v>3.8030772164227651E-4</v>
      </c>
      <c r="N20" s="7">
        <v>0</v>
      </c>
      <c r="O20" s="7">
        <f t="array" aca="1" ref="O20:O21" ca="1">_xll.MONTE.STDEV(E20)</f>
        <v>100.00818714859341</v>
      </c>
      <c r="P20" s="7">
        <f>f*EXP(mu*B20)</f>
        <v>100</v>
      </c>
    </row>
    <row r="21" spans="2:16" x14ac:dyDescent="0.55000000000000004">
      <c r="B21">
        <v>2.1999999999999999E-2</v>
      </c>
      <c r="C21">
        <f ca="1"/>
        <v>0.39074726393853026</v>
      </c>
      <c r="D21">
        <f ca="1"/>
        <v>1</v>
      </c>
      <c r="E21" s="12">
        <f ca="1"/>
        <v>108.08085871239743</v>
      </c>
      <c r="F21" s="11">
        <f ca="1"/>
        <v>-4.2829877701993917</v>
      </c>
      <c r="G21" s="8">
        <f ca="1"/>
        <v>3.9627625291138724E-2</v>
      </c>
      <c r="H21" s="11">
        <f ca="1"/>
        <v>22.122372405117339</v>
      </c>
      <c r="I21" s="8">
        <f ca="1"/>
        <v>-0.19448905541304107</v>
      </c>
      <c r="J21" s="8">
        <f ca="1"/>
        <v>1.1018282859128128</v>
      </c>
      <c r="K21">
        <f ca="1"/>
        <v>0</v>
      </c>
      <c r="L21">
        <f ca="1"/>
        <v>0</v>
      </c>
      <c r="M21" s="7">
        <f ca="1"/>
        <v>0.14246877339565153</v>
      </c>
      <c r="N21" s="7">
        <f>SQRT(B20)</f>
        <v>0.1414213562373095</v>
      </c>
      <c r="O21" s="7">
        <f ca="1"/>
        <v>2.8494088040547276</v>
      </c>
      <c r="P21" s="7"/>
    </row>
    <row r="22" spans="2:16" x14ac:dyDescent="0.55000000000000004">
      <c r="B22">
        <v>2.4E-2</v>
      </c>
      <c r="C22">
        <f ca="1"/>
        <v>0.35471946622955791</v>
      </c>
      <c r="D22">
        <f ca="1"/>
        <v>1</v>
      </c>
      <c r="E22" s="12">
        <f ca="1"/>
        <v>107.30058259737731</v>
      </c>
      <c r="F22" s="11">
        <f ca="1"/>
        <v>2.2178525213012406</v>
      </c>
      <c r="G22" s="8">
        <f ca="1"/>
        <v>-2.0669529163912015E-2</v>
      </c>
      <c r="H22" s="11">
        <f ca="1"/>
        <v>24.340224926418578</v>
      </c>
      <c r="I22" s="8">
        <f ca="1"/>
        <v>-0.21515858457695308</v>
      </c>
      <c r="J22" s="8">
        <f ca="1"/>
        <v>1.253583450484431</v>
      </c>
      <c r="K22">
        <f ca="1"/>
        <v>0</v>
      </c>
      <c r="L22">
        <f ca="1"/>
        <v>0</v>
      </c>
    </row>
    <row r="23" spans="2:16" x14ac:dyDescent="0.55000000000000004">
      <c r="B23">
        <v>2.6000000000000002E-2</v>
      </c>
      <c r="C23">
        <f ca="1"/>
        <v>0.37048889612337166</v>
      </c>
      <c r="D23">
        <f ca="1"/>
        <v>1</v>
      </c>
      <c r="E23" s="12">
        <f ca="1"/>
        <v>107.63522512598011</v>
      </c>
      <c r="F23" s="11">
        <f ca="1"/>
        <v>-1.116111659739411</v>
      </c>
      <c r="G23" s="8">
        <f ca="1"/>
        <v>1.0369390303528181E-2</v>
      </c>
      <c r="H23" s="11">
        <f ca="1"/>
        <v>23.224113266679169</v>
      </c>
      <c r="I23" s="8">
        <f ca="1"/>
        <v>-0.2047891942734249</v>
      </c>
      <c r="J23" s="8">
        <f ca="1"/>
        <v>1.1815822376910035</v>
      </c>
      <c r="K23">
        <f ca="1"/>
        <v>0</v>
      </c>
      <c r="L23">
        <f ca="1"/>
        <v>0</v>
      </c>
    </row>
    <row r="24" spans="2:16" x14ac:dyDescent="0.55000000000000004">
      <c r="B24">
        <v>2.8000000000000001E-2</v>
      </c>
      <c r="C24">
        <f ca="1"/>
        <v>0.40947722441708395</v>
      </c>
      <c r="D24">
        <f ca="1"/>
        <v>1</v>
      </c>
      <c r="E24" s="12">
        <f ca="1"/>
        <v>108.47347042510414</v>
      </c>
      <c r="F24" s="11">
        <f ca="1"/>
        <v>-2.5427849834029805</v>
      </c>
      <c r="G24" s="8">
        <f ca="1"/>
        <v>2.3441538040941123E-2</v>
      </c>
      <c r="H24" s="11">
        <f ca="1"/>
        <v>20.681328283276187</v>
      </c>
      <c r="I24" s="8">
        <f ca="1"/>
        <v>-0.18134765623248378</v>
      </c>
      <c r="J24" s="8">
        <f ca="1"/>
        <v>1.0099186582799042</v>
      </c>
      <c r="K24">
        <f ca="1"/>
        <v>0</v>
      </c>
      <c r="L24">
        <f ca="1"/>
        <v>0</v>
      </c>
    </row>
    <row r="25" spans="2:16" x14ac:dyDescent="0.55000000000000004">
      <c r="B25">
        <v>0.03</v>
      </c>
      <c r="C25">
        <f ca="1"/>
        <v>0.43310121963263765</v>
      </c>
      <c r="D25">
        <f ca="1"/>
        <v>1</v>
      </c>
      <c r="E25" s="12">
        <f ca="1"/>
        <v>108.982839048768</v>
      </c>
      <c r="F25" s="11">
        <f ca="1"/>
        <v>-1.5034588156557647</v>
      </c>
      <c r="G25" s="8">
        <f ca="1"/>
        <v>1.3795372085902369E-2</v>
      </c>
      <c r="H25" s="11">
        <f ca="1"/>
        <v>19.177869467620422</v>
      </c>
      <c r="I25" s="8">
        <f ca="1"/>
        <v>-0.16755228414658141</v>
      </c>
      <c r="J25" s="8">
        <f ca="1"/>
        <v>0.91754585222009766</v>
      </c>
      <c r="K25">
        <f ca="1"/>
        <v>0</v>
      </c>
      <c r="L25">
        <f ca="1"/>
        <v>0</v>
      </c>
    </row>
    <row r="26" spans="2:16" x14ac:dyDescent="0.55000000000000004">
      <c r="B26">
        <v>3.2000000000000001E-2</v>
      </c>
      <c r="C26">
        <f ca="1"/>
        <v>0.42960078959770198</v>
      </c>
      <c r="D26">
        <f ca="1"/>
        <v>1</v>
      </c>
      <c r="E26" s="12">
        <f ca="1"/>
        <v>108.90221221366264</v>
      </c>
      <c r="F26" s="11">
        <f ca="1"/>
        <v>0.10784212689113722</v>
      </c>
      <c r="G26" s="8">
        <f ca="1"/>
        <v>-9.9026571360694149E-4</v>
      </c>
      <c r="H26" s="11">
        <f ca="1"/>
        <v>19.285711594511557</v>
      </c>
      <c r="I26" s="8">
        <f ca="1"/>
        <v>-0.16854254986018835</v>
      </c>
      <c r="J26" s="8">
        <f ca="1"/>
        <v>0.93105506260550897</v>
      </c>
      <c r="K26">
        <f ca="1"/>
        <v>0</v>
      </c>
      <c r="L26">
        <f ca="1"/>
        <v>0</v>
      </c>
    </row>
    <row r="27" spans="2:16" x14ac:dyDescent="0.55000000000000004">
      <c r="B27">
        <v>3.4000000000000002E-2</v>
      </c>
      <c r="C27">
        <f ca="1"/>
        <v>0.44397002206576047</v>
      </c>
      <c r="D27">
        <f ca="1"/>
        <v>1</v>
      </c>
      <c r="E27" s="12">
        <f ca="1"/>
        <v>109.21126205897762</v>
      </c>
      <c r="F27" s="11">
        <f ca="1"/>
        <v>-0.93224303277526355</v>
      </c>
      <c r="G27" s="8">
        <f ca="1"/>
        <v>8.5361437566010556E-3</v>
      </c>
      <c r="H27" s="11">
        <f ca="1"/>
        <v>18.353468561736292</v>
      </c>
      <c r="I27" s="8">
        <f ca="1"/>
        <v>-0.1600064061035873</v>
      </c>
      <c r="J27" s="8">
        <f ca="1"/>
        <v>0.87896701364222452</v>
      </c>
      <c r="K27">
        <f ca="1"/>
        <v>0</v>
      </c>
      <c r="L27">
        <f ca="1"/>
        <v>0</v>
      </c>
    </row>
    <row r="28" spans="2:16" x14ac:dyDescent="0.55000000000000004">
      <c r="B28">
        <v>3.6000000000000004E-2</v>
      </c>
      <c r="C28">
        <f ca="1"/>
        <v>0.45232779390816319</v>
      </c>
      <c r="D28">
        <f ca="1"/>
        <v>1</v>
      </c>
      <c r="E28" s="12">
        <f ca="1"/>
        <v>109.38959160829585</v>
      </c>
      <c r="F28" s="11">
        <f ca="1"/>
        <v>-0.57494674777040489</v>
      </c>
      <c r="G28" s="8">
        <f ca="1"/>
        <v>5.2559547879946766E-3</v>
      </c>
      <c r="H28" s="11">
        <f ca="1"/>
        <v>17.778521813965888</v>
      </c>
      <c r="I28" s="8">
        <f ca="1"/>
        <v>-0.15475045131559262</v>
      </c>
      <c r="J28" s="8">
        <f ca="1"/>
        <v>0.85043314335374376</v>
      </c>
      <c r="K28">
        <f ca="1"/>
        <v>0</v>
      </c>
      <c r="L28">
        <f ca="1"/>
        <v>0</v>
      </c>
    </row>
    <row r="29" spans="2:16" x14ac:dyDescent="0.55000000000000004">
      <c r="B29">
        <v>3.7999999999999999E-2</v>
      </c>
      <c r="C29">
        <f ca="1"/>
        <v>0.4085817624918277</v>
      </c>
      <c r="D29">
        <f ca="1"/>
        <v>1</v>
      </c>
      <c r="E29" s="12">
        <f ca="1"/>
        <v>108.43235675191849</v>
      </c>
      <c r="F29" s="11">
        <f ca="1"/>
        <v>2.4600527904487053</v>
      </c>
      <c r="G29" s="8">
        <f ca="1"/>
        <v>-2.2687441868270375E-2</v>
      </c>
      <c r="H29" s="11">
        <f ca="1"/>
        <v>20.238574604414595</v>
      </c>
      <c r="I29" s="8">
        <f ca="1"/>
        <v>-0.17743789318386299</v>
      </c>
      <c r="J29" s="8">
        <f ca="1"/>
        <v>0.99856566939315528</v>
      </c>
      <c r="K29">
        <f ca="1"/>
        <v>0</v>
      </c>
      <c r="L29">
        <f ca="1"/>
        <v>0</v>
      </c>
    </row>
    <row r="30" spans="2:16" x14ac:dyDescent="0.55000000000000004">
      <c r="B30">
        <v>0.04</v>
      </c>
      <c r="C30">
        <f ca="1"/>
        <v>0.40785668856252838</v>
      </c>
      <c r="D30">
        <f ca="1"/>
        <v>1</v>
      </c>
      <c r="E30" s="12">
        <f ca="1"/>
        <v>108.41229701838463</v>
      </c>
      <c r="F30" s="11">
        <f ca="1"/>
        <v>-5.4643925890104146E-2</v>
      </c>
      <c r="G30" s="8">
        <f ca="1"/>
        <v>5.0403807864007888E-4</v>
      </c>
      <c r="H30" s="11">
        <f ca="1"/>
        <v>20.18393067852449</v>
      </c>
      <c r="I30" s="8">
        <f ca="1"/>
        <v>-0.17693385510522291</v>
      </c>
      <c r="J30" s="8">
        <f ca="1"/>
        <v>1.0021250262492316</v>
      </c>
      <c r="K30">
        <f ca="1"/>
        <v>0</v>
      </c>
      <c r="L30">
        <f ca="1"/>
        <v>0</v>
      </c>
    </row>
    <row r="31" spans="2:16" x14ac:dyDescent="0.55000000000000004">
      <c r="B31">
        <v>4.2000000000000003E-2</v>
      </c>
      <c r="C31">
        <f ca="1"/>
        <v>0.38652146235609197</v>
      </c>
      <c r="D31">
        <f ca="1"/>
        <v>1</v>
      </c>
      <c r="E31" s="12">
        <f ca="1"/>
        <v>107.94636446698236</v>
      </c>
      <c r="F31" s="11">
        <f ca="1"/>
        <v>1.2349742564547095</v>
      </c>
      <c r="G31" s="8">
        <f ca="1"/>
        <v>-1.1440628524663765E-2</v>
      </c>
      <c r="H31" s="11">
        <f ca="1"/>
        <v>21.418904934979199</v>
      </c>
      <c r="I31" s="8">
        <f ca="1"/>
        <v>-0.18837448362988668</v>
      </c>
      <c r="J31" s="8">
        <f ca="1"/>
        <v>1.0845642687878509</v>
      </c>
      <c r="K31">
        <f ca="1"/>
        <v>0</v>
      </c>
      <c r="L31">
        <f ca="1"/>
        <v>0</v>
      </c>
    </row>
    <row r="32" spans="2:16" x14ac:dyDescent="0.55000000000000004">
      <c r="B32">
        <v>4.3999999999999997E-2</v>
      </c>
      <c r="C32">
        <f ca="1"/>
        <v>0.34350692090350132</v>
      </c>
      <c r="D32">
        <f ca="1"/>
        <v>1</v>
      </c>
      <c r="E32" s="12">
        <f ca="1"/>
        <v>107.01741413754931</v>
      </c>
      <c r="F32" s="11">
        <f ca="1"/>
        <v>2.745173233749219</v>
      </c>
      <c r="G32" s="8">
        <f ca="1"/>
        <v>-2.5651649835426338E-2</v>
      </c>
      <c r="H32" s="11">
        <f ca="1"/>
        <v>24.16407816872842</v>
      </c>
      <c r="I32" s="8">
        <f ca="1"/>
        <v>-0.21402613346531302</v>
      </c>
      <c r="J32" s="8">
        <f ca="1"/>
        <v>1.2595548074126164</v>
      </c>
      <c r="K32">
        <f ca="1"/>
        <v>0</v>
      </c>
      <c r="L32">
        <f ca="1"/>
        <v>0</v>
      </c>
    </row>
    <row r="33" spans="2:12" x14ac:dyDescent="0.55000000000000004">
      <c r="B33">
        <v>4.5999999999999999E-2</v>
      </c>
      <c r="C33">
        <f ca="1"/>
        <v>0.32622141086755319</v>
      </c>
      <c r="D33">
        <f ca="1"/>
        <v>1</v>
      </c>
      <c r="E33" s="12">
        <f ca="1"/>
        <v>106.64381695823654</v>
      </c>
      <c r="F33" s="11">
        <f ca="1"/>
        <v>1.1117059227300856</v>
      </c>
      <c r="G33" s="8">
        <f ca="1"/>
        <v>-1.0424476115342418E-2</v>
      </c>
      <c r="H33" s="11">
        <f ca="1"/>
        <v>25.275784091458505</v>
      </c>
      <c r="I33" s="8">
        <f ca="1"/>
        <v>-0.22445060958065544</v>
      </c>
      <c r="J33" s="8">
        <f ca="1"/>
        <v>1.3395143671744734</v>
      </c>
      <c r="K33">
        <f ca="1"/>
        <v>0</v>
      </c>
      <c r="L33">
        <f ca="1"/>
        <v>0</v>
      </c>
    </row>
    <row r="34" spans="2:12" x14ac:dyDescent="0.55000000000000004">
      <c r="B34">
        <v>4.8000000000000001E-2</v>
      </c>
      <c r="C34">
        <f ca="1"/>
        <v>0.27217166254287467</v>
      </c>
      <c r="D34">
        <f ca="1"/>
        <v>1</v>
      </c>
      <c r="E34" s="12">
        <f ca="1"/>
        <v>105.49299140155617</v>
      </c>
      <c r="F34" s="11">
        <f ca="1"/>
        <v>3.8703451919310381</v>
      </c>
      <c r="G34" s="8">
        <f ca="1"/>
        <v>-3.6688173692967674E-2</v>
      </c>
      <c r="H34" s="11">
        <f ca="1"/>
        <v>29.146129283389541</v>
      </c>
      <c r="I34" s="8">
        <f ca="1"/>
        <v>-0.26113878327362311</v>
      </c>
      <c r="J34" s="8">
        <f ca="1"/>
        <v>1.5978178648923773</v>
      </c>
      <c r="K34">
        <f ca="1"/>
        <v>0</v>
      </c>
      <c r="L34">
        <f ca="1"/>
        <v>0</v>
      </c>
    </row>
    <row r="35" spans="2:12" x14ac:dyDescent="0.55000000000000004">
      <c r="B35">
        <v>0.05</v>
      </c>
      <c r="C35">
        <f ca="1"/>
        <v>0.37773503088605198</v>
      </c>
      <c r="D35">
        <f ca="1"/>
        <v>1</v>
      </c>
      <c r="E35" s="12">
        <f ca="1"/>
        <v>107.73959865986487</v>
      </c>
      <c r="F35" s="11">
        <f ca="1"/>
        <v>-7.6728226177732539</v>
      </c>
      <c r="G35" s="8">
        <f ca="1"/>
        <v>7.1216365321690511E-2</v>
      </c>
      <c r="H35" s="11">
        <f ca="1"/>
        <v>21.473306665616288</v>
      </c>
      <c r="I35" s="8">
        <f ca="1"/>
        <v>-0.1899224179519326</v>
      </c>
      <c r="J35" s="8">
        <f ca="1"/>
        <v>1.0111415789639544</v>
      </c>
      <c r="K35">
        <f ca="1"/>
        <v>0</v>
      </c>
      <c r="L35">
        <f ca="1"/>
        <v>0</v>
      </c>
    </row>
    <row r="36" spans="2:12" x14ac:dyDescent="0.55000000000000004">
      <c r="B36">
        <v>5.2000000000000005E-2</v>
      </c>
      <c r="C36">
        <f ca="1"/>
        <v>0.44036454716479012</v>
      </c>
      <c r="D36">
        <f ca="1"/>
        <v>1</v>
      </c>
      <c r="E36" s="12">
        <f ca="1"/>
        <v>109.09325811001669</v>
      </c>
      <c r="F36" s="11">
        <f ca="1"/>
        <v>-3.9971812947970351</v>
      </c>
      <c r="G36" s="8">
        <f ca="1"/>
        <v>3.6640039577569672E-2</v>
      </c>
      <c r="H36" s="11">
        <f ca="1"/>
        <v>17.476125370819254</v>
      </c>
      <c r="I36" s="8">
        <f ca="1"/>
        <v>-0.15328237837436293</v>
      </c>
      <c r="J36" s="8">
        <f ca="1"/>
        <v>0.75405130310763724</v>
      </c>
      <c r="K36">
        <f ca="1"/>
        <v>0</v>
      </c>
      <c r="L36">
        <f ca="1"/>
        <v>0</v>
      </c>
    </row>
    <row r="37" spans="2:12" x14ac:dyDescent="0.55000000000000004">
      <c r="B37">
        <v>5.3999999999999999E-2</v>
      </c>
      <c r="C37">
        <f ca="1"/>
        <v>0.48842585629812024</v>
      </c>
      <c r="D37">
        <f ca="1"/>
        <v>1</v>
      </c>
      <c r="E37" s="12">
        <f ca="1"/>
        <v>110.1425413350682</v>
      </c>
      <c r="F37" s="11">
        <f ca="1"/>
        <v>-2.7712882763141007</v>
      </c>
      <c r="G37" s="8">
        <f ca="1"/>
        <v>2.5160925494568664E-2</v>
      </c>
      <c r="H37" s="11">
        <f ca="1"/>
        <v>14.704837094505153</v>
      </c>
      <c r="I37" s="8">
        <f ca="1"/>
        <v>-0.12812145287979426</v>
      </c>
      <c r="J37" s="8">
        <f ca="1"/>
        <v>0.59321467478342171</v>
      </c>
      <c r="K37">
        <f ca="1"/>
        <v>0</v>
      </c>
      <c r="L37">
        <f ca="1"/>
        <v>0</v>
      </c>
    </row>
    <row r="38" spans="2:12" x14ac:dyDescent="0.55000000000000004">
      <c r="B38">
        <v>5.6000000000000001E-2</v>
      </c>
      <c r="C38">
        <f ca="1"/>
        <v>0.48922031685897277</v>
      </c>
      <c r="D38">
        <f ca="1"/>
        <v>1</v>
      </c>
      <c r="E38" s="12">
        <f ca="1"/>
        <v>110.15563719292902</v>
      </c>
      <c r="F38" s="11">
        <f ca="1"/>
        <v>-0.15472293693516379</v>
      </c>
      <c r="G38" s="8">
        <f ca="1"/>
        <v>1.404584829954536E-3</v>
      </c>
      <c r="H38" s="11">
        <f ca="1"/>
        <v>14.55011415756999</v>
      </c>
      <c r="I38" s="8">
        <f ca="1"/>
        <v>-0.12671686804983973</v>
      </c>
      <c r="J38" s="8">
        <f ca="1"/>
        <v>0.59153681444758632</v>
      </c>
      <c r="K38">
        <f ca="1"/>
        <v>0</v>
      </c>
      <c r="L38">
        <f ca="1"/>
        <v>0</v>
      </c>
    </row>
    <row r="39" spans="2:12" x14ac:dyDescent="0.55000000000000004">
      <c r="B39">
        <v>5.8000000000000003E-2</v>
      </c>
      <c r="C39">
        <f ca="1"/>
        <v>0.48331138650911942</v>
      </c>
      <c r="D39">
        <f ca="1"/>
        <v>1</v>
      </c>
      <c r="E39" s="12">
        <f ca="1"/>
        <v>110.02113275443452</v>
      </c>
      <c r="F39" s="11">
        <f ca="1"/>
        <v>0.19449410237410256</v>
      </c>
      <c r="G39" s="8">
        <f ca="1"/>
        <v>-1.7677885830189588E-3</v>
      </c>
      <c r="H39" s="11">
        <f ca="1"/>
        <v>14.744608259944092</v>
      </c>
      <c r="I39" s="8">
        <f ca="1"/>
        <v>-0.12848465663285868</v>
      </c>
      <c r="J39" s="8">
        <f ca="1"/>
        <v>0.60858079563241141</v>
      </c>
      <c r="K39">
        <f ca="1"/>
        <v>0</v>
      </c>
      <c r="L39">
        <f ca="1"/>
        <v>0</v>
      </c>
    </row>
    <row r="40" spans="2:12" x14ac:dyDescent="0.55000000000000004">
      <c r="B40">
        <v>0.06</v>
      </c>
      <c r="C40">
        <f ca="1"/>
        <v>0.44531551773407735</v>
      </c>
      <c r="D40">
        <f ca="1"/>
        <v>1</v>
      </c>
      <c r="E40" s="12">
        <f ca="1"/>
        <v>109.18386429591828</v>
      </c>
      <c r="F40" s="11">
        <f ca="1"/>
        <v>1.969873928916575</v>
      </c>
      <c r="G40" s="8">
        <f ca="1"/>
        <v>-1.8041804451779386E-2</v>
      </c>
      <c r="H40" s="11">
        <f ca="1"/>
        <v>16.714482188860668</v>
      </c>
      <c r="I40" s="8">
        <f ca="1"/>
        <v>-0.14652646108463807</v>
      </c>
      <c r="J40" s="8">
        <f ca="1"/>
        <v>0.71615694603439373</v>
      </c>
      <c r="K40">
        <f ca="1"/>
        <v>0</v>
      </c>
      <c r="L40">
        <f ca="1"/>
        <v>0</v>
      </c>
    </row>
    <row r="41" spans="2:12" x14ac:dyDescent="0.55000000000000004">
      <c r="B41">
        <v>6.2E-2</v>
      </c>
      <c r="C41">
        <f ca="1"/>
        <v>0.42410512778076526</v>
      </c>
      <c r="D41">
        <f ca="1"/>
        <v>1</v>
      </c>
      <c r="E41" s="12">
        <f ca="1"/>
        <v>108.71733005455624</v>
      </c>
      <c r="F41" s="11">
        <f ca="1"/>
        <v>1.1302703069195188</v>
      </c>
      <c r="G41" s="8">
        <f ca="1"/>
        <v>-1.0396413399338722E-2</v>
      </c>
      <c r="H41" s="11">
        <f ca="1"/>
        <v>17.844752495780188</v>
      </c>
      <c r="I41" s="8">
        <f ca="1"/>
        <v>-0.15692287448397679</v>
      </c>
      <c r="J41" s="8">
        <f ca="1"/>
        <v>0.78451655739598181</v>
      </c>
      <c r="K41">
        <f ca="1"/>
        <v>0</v>
      </c>
      <c r="L41">
        <f ca="1"/>
        <v>0</v>
      </c>
    </row>
    <row r="42" spans="2:12" x14ac:dyDescent="0.55000000000000004">
      <c r="B42">
        <v>6.4000000000000001E-2</v>
      </c>
      <c r="C42">
        <f ca="1"/>
        <v>0.36132588683310818</v>
      </c>
      <c r="D42">
        <f ca="1"/>
        <v>1</v>
      </c>
      <c r="E42" s="12">
        <f ca="1"/>
        <v>107.35653126853823</v>
      </c>
      <c r="F42" s="11">
        <f ca="1"/>
        <v>3.8967059169435854</v>
      </c>
      <c r="G42" s="8">
        <f ca="1"/>
        <v>-3.6296868675800342E-2</v>
      </c>
      <c r="H42" s="11">
        <f ca="1"/>
        <v>21.741458412723773</v>
      </c>
      <c r="I42" s="8">
        <f ca="1"/>
        <v>-0.19321974315977714</v>
      </c>
      <c r="J42" s="8">
        <f ca="1"/>
        <v>0.9980570144922325</v>
      </c>
      <c r="K42">
        <f ca="1"/>
        <v>0</v>
      </c>
      <c r="L42">
        <f ca="1"/>
        <v>0</v>
      </c>
    </row>
    <row r="43" spans="2:12" x14ac:dyDescent="0.55000000000000004">
      <c r="B43">
        <v>6.6000000000000003E-2</v>
      </c>
      <c r="C43">
        <f ca="1"/>
        <v>0.4301235114523651</v>
      </c>
      <c r="D43">
        <f ca="1"/>
        <v>1</v>
      </c>
      <c r="E43" s="12">
        <f ca="1"/>
        <v>108.8395618506073</v>
      </c>
      <c r="F43" s="11">
        <f ca="1"/>
        <v>-4.5463315669437367</v>
      </c>
      <c r="G43" s="8">
        <f ca="1"/>
        <v>4.1770946975916823E-2</v>
      </c>
      <c r="H43" s="11">
        <f ca="1"/>
        <v>17.195126845780038</v>
      </c>
      <c r="I43" s="8">
        <f ca="1"/>
        <v>-0.15144879618386031</v>
      </c>
      <c r="J43" s="8">
        <f ca="1"/>
        <v>0.71150622632675464</v>
      </c>
      <c r="K43">
        <f ca="1"/>
        <v>0</v>
      </c>
      <c r="L43">
        <f ca="1"/>
        <v>0</v>
      </c>
    </row>
    <row r="44" spans="2:12" x14ac:dyDescent="0.55000000000000004">
      <c r="B44">
        <v>6.8000000000000005E-2</v>
      </c>
      <c r="C44">
        <f ca="1"/>
        <v>0.48843277246321648</v>
      </c>
      <c r="D44">
        <f ca="1"/>
        <v>1</v>
      </c>
      <c r="E44" s="12">
        <f ca="1"/>
        <v>110.11185805093157</v>
      </c>
      <c r="F44" s="11">
        <f ca="1"/>
        <v>-3.3887135610706247</v>
      </c>
      <c r="G44" s="8">
        <f ca="1"/>
        <v>3.0775191891714293E-2</v>
      </c>
      <c r="H44" s="11">
        <f ca="1"/>
        <v>13.806413284709414</v>
      </c>
      <c r="I44" s="8">
        <f ca="1"/>
        <v>-0.12067360429214602</v>
      </c>
      <c r="J44" s="8">
        <f ca="1"/>
        <v>0.51881849839834437</v>
      </c>
      <c r="K44">
        <f ca="1"/>
        <v>0</v>
      </c>
      <c r="L44">
        <f ca="1"/>
        <v>0</v>
      </c>
    </row>
    <row r="45" spans="2:12" x14ac:dyDescent="0.55000000000000004">
      <c r="B45">
        <v>7.0000000000000007E-2</v>
      </c>
      <c r="C45">
        <f ca="1"/>
        <v>0.47718259793287965</v>
      </c>
      <c r="D45">
        <f ca="1"/>
        <v>1</v>
      </c>
      <c r="E45" s="12">
        <f ca="1"/>
        <v>109.85998655974963</v>
      </c>
      <c r="F45" s="11">
        <f ca="1"/>
        <v>0.46833271313199132</v>
      </c>
      <c r="G45" s="8">
        <f ca="1"/>
        <v>-4.2629962718708225E-3</v>
      </c>
      <c r="H45" s="11">
        <f ca="1"/>
        <v>14.274745997841405</v>
      </c>
      <c r="I45" s="8">
        <f ca="1"/>
        <v>-0.12493660056401684</v>
      </c>
      <c r="J45" s="8">
        <f ca="1"/>
        <v>0.5492127390577064</v>
      </c>
      <c r="K45">
        <f ca="1"/>
        <v>0</v>
      </c>
      <c r="L45">
        <f ca="1"/>
        <v>0</v>
      </c>
    </row>
    <row r="46" spans="2:12" x14ac:dyDescent="0.55000000000000004">
      <c r="B46">
        <v>7.2000000000000008E-2</v>
      </c>
      <c r="C46">
        <f ca="1"/>
        <v>0.45291261480140882</v>
      </c>
      <c r="D46">
        <f ca="1"/>
        <v>1</v>
      </c>
      <c r="E46" s="12">
        <f ca="1"/>
        <v>109.32364565195851</v>
      </c>
      <c r="F46" s="11">
        <f ca="1"/>
        <v>1.2056305525715503</v>
      </c>
      <c r="G46" s="8">
        <f ca="1"/>
        <v>-1.1028085876405747E-2</v>
      </c>
      <c r="H46" s="11">
        <f ca="1"/>
        <v>15.480376550412956</v>
      </c>
      <c r="I46" s="8">
        <f ca="1"/>
        <v>-0.13596468644042259</v>
      </c>
      <c r="J46" s="8">
        <f ca="1"/>
        <v>0.6162213488205488</v>
      </c>
      <c r="K46">
        <f ca="1"/>
        <v>0</v>
      </c>
      <c r="L46">
        <f ca="1"/>
        <v>0</v>
      </c>
    </row>
    <row r="47" spans="2:12" x14ac:dyDescent="0.55000000000000004">
      <c r="B47">
        <v>7.3999999999999996E-2</v>
      </c>
      <c r="C47">
        <f ca="1"/>
        <v>0.42212896849009979</v>
      </c>
      <c r="D47">
        <f ca="1"/>
        <v>1</v>
      </c>
      <c r="E47" s="12">
        <f ca="1"/>
        <v>108.64829127311266</v>
      </c>
      <c r="F47" s="11">
        <f ca="1"/>
        <v>1.6750762866452453</v>
      </c>
      <c r="G47" s="8">
        <f ca="1"/>
        <v>-1.541741951959974E-2</v>
      </c>
      <c r="H47" s="11">
        <f ca="1"/>
        <v>17.155452837058203</v>
      </c>
      <c r="I47" s="8">
        <f ca="1"/>
        <v>-0.15138210596002233</v>
      </c>
      <c r="J47" s="8">
        <f ca="1"/>
        <v>0.70804569517649085</v>
      </c>
      <c r="K47">
        <f ca="1"/>
        <v>0</v>
      </c>
      <c r="L47">
        <f ca="1"/>
        <v>0</v>
      </c>
    </row>
    <row r="48" spans="2:12" x14ac:dyDescent="0.55000000000000004">
      <c r="B48">
        <v>7.5999999999999998E-2</v>
      </c>
      <c r="C48">
        <f ca="1"/>
        <v>0.43126856692043025</v>
      </c>
      <c r="D48">
        <f ca="1"/>
        <v>1</v>
      </c>
      <c r="E48" s="12">
        <f ca="1"/>
        <v>108.84271945112746</v>
      </c>
      <c r="F48" s="11">
        <f ca="1"/>
        <v>-0.67626445401793356</v>
      </c>
      <c r="G48" s="8">
        <f ca="1"/>
        <v>6.2132263639516072E-3</v>
      </c>
      <c r="H48" s="11">
        <f ca="1"/>
        <v>16.47918838304027</v>
      </c>
      <c r="I48" s="8">
        <f ca="1"/>
        <v>-0.14516887959607072</v>
      </c>
      <c r="J48" s="8">
        <f ca="1"/>
        <v>0.67861274813064298</v>
      </c>
      <c r="K48">
        <f ca="1"/>
        <v>0</v>
      </c>
      <c r="L48">
        <f ca="1"/>
        <v>0</v>
      </c>
    </row>
    <row r="49" spans="2:12" x14ac:dyDescent="0.55000000000000004">
      <c r="B49">
        <v>7.8E-2</v>
      </c>
      <c r="C49">
        <f ca="1"/>
        <v>0.36181106605079583</v>
      </c>
      <c r="D49">
        <f ca="1"/>
        <v>1</v>
      </c>
      <c r="E49" s="12">
        <f ca="1"/>
        <v>107.33689066817169</v>
      </c>
      <c r="F49" s="11">
        <f ca="1"/>
        <v>4.3156005654187997</v>
      </c>
      <c r="G49" s="8">
        <f ca="1"/>
        <v>-4.0206126137567466E-2</v>
      </c>
      <c r="H49" s="11">
        <f ca="1"/>
        <v>20.794788948459072</v>
      </c>
      <c r="I49" s="8">
        <f ca="1"/>
        <v>-0.18537500573363819</v>
      </c>
      <c r="J49" s="8">
        <f ca="1"/>
        <v>0.89721222541584922</v>
      </c>
      <c r="K49">
        <f ca="1"/>
        <v>0</v>
      </c>
      <c r="L49">
        <f ca="1"/>
        <v>0</v>
      </c>
    </row>
    <row r="50" spans="2:12" x14ac:dyDescent="0.55000000000000004">
      <c r="B50">
        <v>0.08</v>
      </c>
      <c r="C50">
        <f ca="1"/>
        <v>0.29634120973943545</v>
      </c>
      <c r="D50">
        <f ca="1"/>
        <v>1</v>
      </c>
      <c r="E50" s="12">
        <f ca="1"/>
        <v>105.93634850389877</v>
      </c>
      <c r="F50" s="11">
        <f ca="1"/>
        <v>4.6722973558013754</v>
      </c>
      <c r="G50" s="8">
        <f ca="1"/>
        <v>-4.4104761224891764E-2</v>
      </c>
      <c r="H50" s="11">
        <f ca="1"/>
        <v>25.467086304260448</v>
      </c>
      <c r="I50" s="8">
        <f ca="1"/>
        <v>-0.22947976695852995</v>
      </c>
      <c r="J50" s="8">
        <f ca="1"/>
        <v>1.1568377371481446</v>
      </c>
      <c r="K50">
        <f ca="1"/>
        <v>0</v>
      </c>
      <c r="L50">
        <f ca="1"/>
        <v>0</v>
      </c>
    </row>
    <row r="51" spans="2:12" x14ac:dyDescent="0.55000000000000004">
      <c r="B51">
        <v>8.2000000000000003E-2</v>
      </c>
      <c r="C51">
        <f ca="1"/>
        <v>0.32784502147865102</v>
      </c>
      <c r="D51">
        <f ca="1"/>
        <v>1</v>
      </c>
      <c r="E51" s="12">
        <f ca="1"/>
        <v>106.60167134675356</v>
      </c>
      <c r="F51" s="11">
        <f ca="1"/>
        <v>-2.51703334442495</v>
      </c>
      <c r="G51" s="8">
        <f ca="1"/>
        <v>2.3611574871444108E-2</v>
      </c>
      <c r="H51" s="11">
        <f ca="1"/>
        <v>22.950052959835499</v>
      </c>
      <c r="I51" s="8">
        <f ca="1"/>
        <v>-0.20586819208708584</v>
      </c>
      <c r="J51" s="8">
        <f ca="1"/>
        <v>1.004159606217641</v>
      </c>
      <c r="K51">
        <f ca="1"/>
        <v>0</v>
      </c>
      <c r="L51">
        <f ca="1"/>
        <v>0</v>
      </c>
    </row>
    <row r="52" spans="2:12" x14ac:dyDescent="0.55000000000000004">
      <c r="B52">
        <v>8.4000000000000005E-2</v>
      </c>
      <c r="C52">
        <f ca="1"/>
        <v>0.31429335832174704</v>
      </c>
      <c r="D52">
        <f ca="1"/>
        <v>1</v>
      </c>
      <c r="E52" s="12">
        <f ca="1"/>
        <v>106.30888410719994</v>
      </c>
      <c r="F52" s="11">
        <f ca="1"/>
        <v>0.89826130995072606</v>
      </c>
      <c r="G52" s="8">
        <f ca="1"/>
        <v>-8.4495413294427557E-3</v>
      </c>
      <c r="H52" s="11">
        <f ca="1"/>
        <v>23.848314269786226</v>
      </c>
      <c r="I52" s="8">
        <f ca="1"/>
        <v>-0.2143177334165286</v>
      </c>
      <c r="J52" s="8">
        <f ca="1"/>
        <v>1.0644351858907157</v>
      </c>
      <c r="K52">
        <f ca="1"/>
        <v>0</v>
      </c>
      <c r="L52">
        <f ca="1"/>
        <v>0</v>
      </c>
    </row>
    <row r="53" spans="2:12" x14ac:dyDescent="0.55000000000000004">
      <c r="B53">
        <v>8.6000000000000007E-2</v>
      </c>
      <c r="C53">
        <f ca="1"/>
        <v>0.36087553009596673</v>
      </c>
      <c r="D53">
        <f ca="1"/>
        <v>1</v>
      </c>
      <c r="E53" s="12">
        <f ca="1"/>
        <v>107.29963972697362</v>
      </c>
      <c r="F53" s="11">
        <f ca="1"/>
        <v>-3.5415841063298843</v>
      </c>
      <c r="G53" s="8">
        <f ca="1"/>
        <v>3.3006486464833673E-2</v>
      </c>
      <c r="H53" s="11">
        <f ca="1"/>
        <v>20.30673016345634</v>
      </c>
      <c r="I53" s="8">
        <f ca="1"/>
        <v>-0.18131124695169493</v>
      </c>
      <c r="J53" s="8">
        <f ca="1"/>
        <v>0.85209868709112868</v>
      </c>
      <c r="K53">
        <f ca="1"/>
        <v>0</v>
      </c>
      <c r="L53">
        <f ca="1"/>
        <v>0</v>
      </c>
    </row>
    <row r="54" spans="2:12" x14ac:dyDescent="0.55000000000000004">
      <c r="B54">
        <v>8.7999999999999995E-2</v>
      </c>
      <c r="C54">
        <f ca="1"/>
        <v>0.41557318319779585</v>
      </c>
      <c r="D54">
        <f ca="1"/>
        <v>1</v>
      </c>
      <c r="E54" s="12">
        <f ca="1"/>
        <v>108.47555224147325</v>
      </c>
      <c r="F54" s="11">
        <f ca="1"/>
        <v>-3.7592870649192052</v>
      </c>
      <c r="G54" s="8">
        <f ca="1"/>
        <v>3.4655615825313346E-2</v>
      </c>
      <c r="H54" s="11">
        <f ca="1"/>
        <v>16.547443098537133</v>
      </c>
      <c r="I54" s="8">
        <f ca="1"/>
        <v>-0.14665563112638158</v>
      </c>
      <c r="J54" s="8">
        <f ca="1"/>
        <v>0.63889252278109687</v>
      </c>
      <c r="K54">
        <f ca="1"/>
        <v>0</v>
      </c>
      <c r="L54">
        <f ca="1"/>
        <v>0</v>
      </c>
    </row>
    <row r="55" spans="2:12" x14ac:dyDescent="0.55000000000000004">
      <c r="B55">
        <v>0.09</v>
      </c>
      <c r="C55">
        <f ca="1"/>
        <v>0.38110217083194009</v>
      </c>
      <c r="D55">
        <f ca="1"/>
        <v>1</v>
      </c>
      <c r="E55" s="12">
        <f ca="1"/>
        <v>107.7259627052006</v>
      </c>
      <c r="F55" s="11">
        <f ca="1"/>
        <v>2.0795380339624665</v>
      </c>
      <c r="G55" s="8">
        <f ca="1"/>
        <v>-1.9303963331970986E-2</v>
      </c>
      <c r="H55" s="11">
        <f ca="1"/>
        <v>18.626981132499601</v>
      </c>
      <c r="I55" s="8">
        <f ca="1"/>
        <v>-0.16595959445835257</v>
      </c>
      <c r="J55" s="8">
        <f ca="1"/>
        <v>0.74882404930889734</v>
      </c>
      <c r="K55">
        <f ca="1"/>
        <v>0</v>
      </c>
      <c r="L55">
        <f ca="1"/>
        <v>0</v>
      </c>
    </row>
    <row r="56" spans="2:12" x14ac:dyDescent="0.55000000000000004">
      <c r="B56">
        <v>9.1999999999999998E-2</v>
      </c>
      <c r="C56">
        <f ca="1"/>
        <v>0.37202027334009541</v>
      </c>
      <c r="D56">
        <f ca="1"/>
        <v>1</v>
      </c>
      <c r="E56" s="12">
        <f ca="1"/>
        <v>107.52616794142109</v>
      </c>
      <c r="F56" s="11">
        <f ca="1"/>
        <v>0.47917880099719934</v>
      </c>
      <c r="G56" s="8">
        <f ca="1"/>
        <v>-4.4563924314521275E-3</v>
      </c>
      <c r="H56" s="11">
        <f ca="1"/>
        <v>19.106159933496802</v>
      </c>
      <c r="I56" s="8">
        <f ca="1"/>
        <v>-0.17041598688980469</v>
      </c>
      <c r="J56" s="8">
        <f ca="1"/>
        <v>0.78198190728064532</v>
      </c>
      <c r="K56">
        <f ca="1"/>
        <v>0</v>
      </c>
      <c r="L56">
        <f ca="1"/>
        <v>0</v>
      </c>
    </row>
    <row r="57" spans="2:12" x14ac:dyDescent="0.55000000000000004">
      <c r="B57">
        <v>9.4E-2</v>
      </c>
      <c r="C57">
        <f ca="1"/>
        <v>0.34713514779047122</v>
      </c>
      <c r="D57">
        <f ca="1"/>
        <v>1</v>
      </c>
      <c r="E57" s="12">
        <f ca="1"/>
        <v>106.98805744253796</v>
      </c>
      <c r="F57" s="11">
        <f ca="1"/>
        <v>1.6141166389497819</v>
      </c>
      <c r="G57" s="8">
        <f ca="1"/>
        <v>-1.5086886121067344E-2</v>
      </c>
      <c r="H57" s="11">
        <f ca="1"/>
        <v>20.720276572446583</v>
      </c>
      <c r="I57" s="8">
        <f ca="1"/>
        <v>-0.18550287301087204</v>
      </c>
      <c r="J57" s="8">
        <f ca="1"/>
        <v>0.87368453900358034</v>
      </c>
      <c r="K57">
        <f ca="1"/>
        <v>0</v>
      </c>
      <c r="L57">
        <f ca="1"/>
        <v>0</v>
      </c>
    </row>
    <row r="58" spans="2:12" x14ac:dyDescent="0.55000000000000004">
      <c r="B58">
        <v>9.6000000000000002E-2</v>
      </c>
      <c r="C58">
        <f ca="1"/>
        <v>0.26892620064611938</v>
      </c>
      <c r="D58">
        <f ca="1"/>
        <v>1</v>
      </c>
      <c r="E58" s="12">
        <f ca="1"/>
        <v>105.32337992987644</v>
      </c>
      <c r="F58" s="11">
        <f ca="1"/>
        <v>5.9444306661002297</v>
      </c>
      <c r="G58" s="8">
        <f ca="1"/>
        <v>-5.6439801590662864E-2</v>
      </c>
      <c r="H58" s="11">
        <f ca="1"/>
        <v>26.664707238546811</v>
      </c>
      <c r="I58" s="8">
        <f ca="1"/>
        <v>-0.2419426746015349</v>
      </c>
      <c r="J58" s="8">
        <f ca="1"/>
        <v>1.1824870002388828</v>
      </c>
      <c r="K58">
        <f ca="1"/>
        <v>0</v>
      </c>
      <c r="L58">
        <f ca="1"/>
        <v>0</v>
      </c>
    </row>
    <row r="59" spans="2:12" x14ac:dyDescent="0.55000000000000004">
      <c r="B59">
        <v>9.8000000000000004E-2</v>
      </c>
      <c r="C59">
        <f ca="1"/>
        <v>0.24372708142305449</v>
      </c>
      <c r="D59">
        <f ca="1"/>
        <v>1</v>
      </c>
      <c r="E59" s="12">
        <f ca="1"/>
        <v>104.78971232940428</v>
      </c>
      <c r="F59" s="11">
        <f ca="1"/>
        <v>2.0402148994205769</v>
      </c>
      <c r="G59" s="8">
        <f ca="1"/>
        <v>-1.9469610652305291E-2</v>
      </c>
      <c r="H59" s="11">
        <f ca="1"/>
        <v>28.704922137967387</v>
      </c>
      <c r="I59" s="8">
        <f ca="1"/>
        <v>-0.26141228525384019</v>
      </c>
      <c r="J59" s="8">
        <f ca="1"/>
        <v>1.3116039668453006</v>
      </c>
      <c r="K59">
        <f ca="1"/>
        <v>0</v>
      </c>
      <c r="L59">
        <f ca="1"/>
        <v>0</v>
      </c>
    </row>
    <row r="60" spans="2:12" x14ac:dyDescent="0.55000000000000004">
      <c r="B60">
        <v>0.1</v>
      </c>
      <c r="C60">
        <f ca="1"/>
        <v>0.23683164853877364</v>
      </c>
      <c r="D60">
        <f ca="1"/>
        <v>1</v>
      </c>
      <c r="E60" s="12">
        <f ca="1"/>
        <v>104.641112118465</v>
      </c>
      <c r="F60" s="11">
        <f ca="1"/>
        <v>0.49892884857466524</v>
      </c>
      <c r="G60" s="8">
        <f ca="1"/>
        <v>-4.7680002484092876E-3</v>
      </c>
      <c r="H60" s="11">
        <f ca="1"/>
        <v>29.203850986542051</v>
      </c>
      <c r="I60" s="8">
        <f ca="1"/>
        <v>-0.26618028550224948</v>
      </c>
      <c r="J60" s="8">
        <f ca="1"/>
        <v>1.3504498875761399</v>
      </c>
      <c r="K60">
        <f ca="1"/>
        <v>0</v>
      </c>
      <c r="L60">
        <f ca="1"/>
        <v>0</v>
      </c>
    </row>
    <row r="61" spans="2:12" x14ac:dyDescent="0.55000000000000004">
      <c r="B61">
        <v>0.10200000000000001</v>
      </c>
      <c r="C61">
        <f ca="1"/>
        <v>0.27417180983003347</v>
      </c>
      <c r="D61">
        <f ca="1"/>
        <v>1</v>
      </c>
      <c r="E61" s="12">
        <f ca="1"/>
        <v>105.42128365729549</v>
      </c>
      <c r="F61" s="11">
        <f ca="1"/>
        <v>-3.3567849189748822</v>
      </c>
      <c r="G61" s="8">
        <f ca="1"/>
        <v>3.1841624409423341E-2</v>
      </c>
      <c r="H61" s="11">
        <f ca="1"/>
        <v>25.84706606756717</v>
      </c>
      <c r="I61" s="8">
        <f ca="1"/>
        <v>-0.23433866109282614</v>
      </c>
      <c r="J61" s="8">
        <f ca="1"/>
        <v>1.1427836046295106</v>
      </c>
      <c r="K61">
        <f ca="1"/>
        <v>0</v>
      </c>
      <c r="L61">
        <f ca="1"/>
        <v>0</v>
      </c>
    </row>
    <row r="62" spans="2:12" x14ac:dyDescent="0.55000000000000004">
      <c r="B62">
        <v>0.10400000000000001</v>
      </c>
      <c r="C62">
        <f ca="1"/>
        <v>0.19741386666745231</v>
      </c>
      <c r="D62">
        <f ca="1"/>
        <v>1</v>
      </c>
      <c r="E62" s="12">
        <f ca="1"/>
        <v>103.81110600971815</v>
      </c>
      <c r="F62" s="11">
        <f ca="1"/>
        <v>6.6992744567990226</v>
      </c>
      <c r="G62" s="8">
        <f ca="1"/>
        <v>-6.4533311649447977E-2</v>
      </c>
      <c r="H62" s="11">
        <f ca="1"/>
        <v>32.546340524366194</v>
      </c>
      <c r="I62" s="8">
        <f ca="1"/>
        <v>-0.29887197274227412</v>
      </c>
      <c r="J62" s="8">
        <f ca="1"/>
        <v>1.5201104786843835</v>
      </c>
      <c r="K62">
        <f ca="1"/>
        <v>0</v>
      </c>
      <c r="L62">
        <f ca="1"/>
        <v>0</v>
      </c>
    </row>
    <row r="63" spans="2:12" x14ac:dyDescent="0.55000000000000004">
      <c r="B63">
        <v>0.106</v>
      </c>
      <c r="C63">
        <f ca="1"/>
        <v>0.19031695089185138</v>
      </c>
      <c r="D63">
        <f ca="1"/>
        <v>1</v>
      </c>
      <c r="E63" s="12">
        <f ca="1"/>
        <v>103.65971632494021</v>
      </c>
      <c r="F63" s="11">
        <f ca="1"/>
        <v>0.5818878304947589</v>
      </c>
      <c r="G63" s="8">
        <f ca="1"/>
        <v>-5.6134422427968622E-3</v>
      </c>
      <c r="H63" s="11">
        <f ca="1"/>
        <v>33.128228354860951</v>
      </c>
      <c r="I63" s="8">
        <f ca="1"/>
        <v>-0.30448541498507098</v>
      </c>
      <c r="J63" s="8">
        <f ca="1"/>
        <v>1.5653566124267968</v>
      </c>
      <c r="K63">
        <f ca="1"/>
        <v>0</v>
      </c>
      <c r="L63">
        <f ca="1"/>
        <v>0</v>
      </c>
    </row>
    <row r="64" spans="2:12" x14ac:dyDescent="0.55000000000000004">
      <c r="B64">
        <v>0.108</v>
      </c>
      <c r="C64">
        <f ca="1"/>
        <v>0.13457268448998966</v>
      </c>
      <c r="D64">
        <f ca="1"/>
        <v>1</v>
      </c>
      <c r="E64" s="12">
        <f ca="1"/>
        <v>102.50634743806005</v>
      </c>
      <c r="F64" s="11">
        <f ca="1"/>
        <v>5.3963785376873714</v>
      </c>
      <c r="G64" s="8">
        <f ca="1"/>
        <v>-5.2644335424673672E-2</v>
      </c>
      <c r="H64" s="11">
        <f ca="1"/>
        <v>38.52460689254832</v>
      </c>
      <c r="I64" s="8">
        <f ca="1"/>
        <v>-0.35712975040974465</v>
      </c>
      <c r="J64" s="8">
        <f ca="1"/>
        <v>1.9165406165793684</v>
      </c>
      <c r="K64">
        <f ca="1"/>
        <v>0</v>
      </c>
      <c r="L64">
        <f ca="1"/>
        <v>0</v>
      </c>
    </row>
    <row r="65" spans="2:12" x14ac:dyDescent="0.55000000000000004">
      <c r="B65">
        <v>0.11</v>
      </c>
      <c r="C65">
        <f ca="1"/>
        <v>0.10364605338721611</v>
      </c>
      <c r="D65">
        <f ca="1"/>
        <v>1</v>
      </c>
      <c r="E65" s="12">
        <f ca="1"/>
        <v>101.87019417087986</v>
      </c>
      <c r="F65" s="11">
        <f ca="1"/>
        <v>3.125713015343953</v>
      </c>
      <c r="G65" s="8">
        <f ca="1"/>
        <v>-3.0683292996387113E-2</v>
      </c>
      <c r="H65" s="11">
        <f ca="1"/>
        <v>41.650319907892275</v>
      </c>
      <c r="I65" s="8">
        <f ca="1"/>
        <v>-0.38781304340613176</v>
      </c>
      <c r="J65" s="8">
        <f ca="1"/>
        <v>2.1437298741097734</v>
      </c>
      <c r="K65">
        <f ca="1"/>
        <v>0</v>
      </c>
      <c r="L65">
        <f ca="1"/>
        <v>0</v>
      </c>
    </row>
    <row r="66" spans="2:12" x14ac:dyDescent="0.55000000000000004">
      <c r="B66">
        <v>0.112</v>
      </c>
      <c r="C66">
        <f ca="1"/>
        <v>0.115009957262032</v>
      </c>
      <c r="D66">
        <f ca="1"/>
        <v>1</v>
      </c>
      <c r="E66" s="12">
        <f ca="1"/>
        <v>102.09790209830815</v>
      </c>
      <c r="F66" s="11">
        <f ca="1"/>
        <v>-1.2290255335126581</v>
      </c>
      <c r="G66" s="8">
        <f ca="1"/>
        <v>1.2037715841891172E-2</v>
      </c>
      <c r="H66" s="11">
        <f ca="1"/>
        <v>40.421294374379613</v>
      </c>
      <c r="I66" s="8">
        <f ca="1"/>
        <v>-0.37577532756424059</v>
      </c>
      <c r="J66" s="8">
        <f ca="1"/>
        <v>2.0554217697660988</v>
      </c>
      <c r="K66">
        <f ca="1"/>
        <v>0</v>
      </c>
      <c r="L66">
        <f ca="1"/>
        <v>0</v>
      </c>
    </row>
    <row r="67" spans="2:12" x14ac:dyDescent="0.55000000000000004">
      <c r="B67">
        <v>0.114</v>
      </c>
      <c r="C67">
        <f ca="1"/>
        <v>0.15978159670505399</v>
      </c>
      <c r="D67">
        <f ca="1"/>
        <v>1</v>
      </c>
      <c r="E67" s="12">
        <f ca="1"/>
        <v>103.01210497250173</v>
      </c>
      <c r="F67" s="11">
        <f ca="1"/>
        <v>-4.6900825429237907</v>
      </c>
      <c r="G67" s="8">
        <f ca="1"/>
        <v>4.5529431169043399E-2</v>
      </c>
      <c r="H67" s="11">
        <f ca="1"/>
        <v>35.731211831455823</v>
      </c>
      <c r="I67" s="8">
        <f ca="1"/>
        <v>-0.33024589639519719</v>
      </c>
      <c r="J67" s="8">
        <f ca="1"/>
        <v>1.7118868852558364</v>
      </c>
      <c r="K67">
        <f ca="1"/>
        <v>0</v>
      </c>
      <c r="L67">
        <f ca="1"/>
        <v>0</v>
      </c>
    </row>
    <row r="68" spans="2:12" x14ac:dyDescent="0.55000000000000004">
      <c r="B68">
        <v>0.11600000000000001</v>
      </c>
      <c r="C68">
        <f ca="1"/>
        <v>0.18773270204058717</v>
      </c>
      <c r="D68">
        <f ca="1"/>
        <v>1</v>
      </c>
      <c r="E68" s="12">
        <f ca="1"/>
        <v>103.58543450874058</v>
      </c>
      <c r="F68" s="11">
        <f ca="1"/>
        <v>-2.893595633992331</v>
      </c>
      <c r="G68" s="8">
        <f ca="1"/>
        <v>2.7934387182091402E-2</v>
      </c>
      <c r="H68" s="11">
        <f ca="1"/>
        <v>32.83761619746349</v>
      </c>
      <c r="I68" s="8">
        <f ca="1"/>
        <v>-0.30231150921310579</v>
      </c>
      <c r="J68" s="8">
        <f ca="1"/>
        <v>1.5225471586307968</v>
      </c>
      <c r="K68">
        <f ca="1"/>
        <v>0</v>
      </c>
      <c r="L68">
        <f ca="1"/>
        <v>0</v>
      </c>
    </row>
    <row r="69" spans="2:12" x14ac:dyDescent="0.55000000000000004">
      <c r="B69">
        <v>0.11800000000000001</v>
      </c>
      <c r="C69">
        <f ca="1"/>
        <v>0.14904632419006134</v>
      </c>
      <c r="D69">
        <f ca="1"/>
        <v>1</v>
      </c>
      <c r="E69" s="12">
        <f ca="1"/>
        <v>102.78294666898964</v>
      </c>
      <c r="F69" s="11">
        <f ca="1"/>
        <v>3.8124901394203294</v>
      </c>
      <c r="G69" s="8">
        <f ca="1"/>
        <v>-3.7092633194282465E-2</v>
      </c>
      <c r="H69" s="11">
        <f ca="1"/>
        <v>36.650106336883816</v>
      </c>
      <c r="I69" s="8">
        <f ca="1"/>
        <v>-0.33940414240738825</v>
      </c>
      <c r="J69" s="8">
        <f ca="1"/>
        <v>1.7651484685910646</v>
      </c>
      <c r="K69">
        <f ca="1"/>
        <v>0</v>
      </c>
      <c r="L69">
        <f ca="1"/>
        <v>0</v>
      </c>
    </row>
    <row r="70" spans="2:12" x14ac:dyDescent="0.55000000000000004">
      <c r="B70">
        <v>0.12</v>
      </c>
      <c r="C70">
        <f ca="1"/>
        <v>0.10842527155771421</v>
      </c>
      <c r="D70">
        <f ca="1"/>
        <v>1</v>
      </c>
      <c r="E70" s="12">
        <f ca="1"/>
        <v>101.94722121518183</v>
      </c>
      <c r="F70" s="11">
        <f ca="1"/>
        <v>4.2158920344176769</v>
      </c>
      <c r="G70" s="8">
        <f ca="1"/>
        <v>-4.1353672853123857E-2</v>
      </c>
      <c r="H70" s="11">
        <f ca="1"/>
        <v>40.865998371301494</v>
      </c>
      <c r="I70" s="8">
        <f ca="1"/>
        <v>-0.38075781526051211</v>
      </c>
      <c r="J70" s="8">
        <f ca="1"/>
        <v>2.0487971495287312</v>
      </c>
      <c r="K70">
        <f ca="1"/>
        <v>0</v>
      </c>
      <c r="L70">
        <f ca="1"/>
        <v>0</v>
      </c>
    </row>
    <row r="71" spans="2:12" x14ac:dyDescent="0.55000000000000004">
      <c r="B71">
        <v>0.122</v>
      </c>
      <c r="C71">
        <f ca="1"/>
        <v>4.8829384046471434E-2</v>
      </c>
      <c r="D71">
        <f ca="1"/>
        <v>1</v>
      </c>
      <c r="E71" s="12">
        <f ca="1"/>
        <v>100.73527766930968</v>
      </c>
      <c r="F71" s="11">
        <f ca="1"/>
        <v>6.4772213074391276</v>
      </c>
      <c r="G71" s="8">
        <f ca="1"/>
        <v>-6.4299433696925201E-2</v>
      </c>
      <c r="H71" s="11">
        <f ca="1"/>
        <v>47.343219678740624</v>
      </c>
      <c r="I71" s="8">
        <f ca="1"/>
        <v>-0.44505724895743731</v>
      </c>
      <c r="J71" s="8">
        <f ca="1"/>
        <v>2.5102541262740914</v>
      </c>
      <c r="K71">
        <f ca="1"/>
        <v>0</v>
      </c>
      <c r="L71">
        <f ca="1"/>
        <v>0</v>
      </c>
    </row>
    <row r="72" spans="2:12" x14ac:dyDescent="0.55000000000000004">
      <c r="B72">
        <v>0.124</v>
      </c>
      <c r="C72">
        <f ca="1"/>
        <v>4.2791591046450556E-2</v>
      </c>
      <c r="D72">
        <f ca="1"/>
        <v>1</v>
      </c>
      <c r="E72" s="12">
        <f ca="1"/>
        <v>100.60968286705703</v>
      </c>
      <c r="F72" s="11">
        <f ca="1"/>
        <v>0.67837998097305474</v>
      </c>
      <c r="G72" s="8">
        <f ca="1"/>
        <v>-6.7426907792706992E-3</v>
      </c>
      <c r="H72" s="11">
        <f ca="1"/>
        <v>48.021599659713679</v>
      </c>
      <c r="I72" s="8">
        <f ca="1"/>
        <v>-0.45179993973670801</v>
      </c>
      <c r="J72" s="8">
        <f ca="1"/>
        <v>2.566151003448006</v>
      </c>
      <c r="K72">
        <f ca="1"/>
        <v>0</v>
      </c>
      <c r="L72">
        <f ca="1"/>
        <v>0</v>
      </c>
    </row>
    <row r="73" spans="2:12" x14ac:dyDescent="0.55000000000000004">
      <c r="B73">
        <v>0.126</v>
      </c>
      <c r="C73">
        <f ca="1"/>
        <v>1.9299238419074997E-2</v>
      </c>
      <c r="D73">
        <f ca="1"/>
        <v>1</v>
      </c>
      <c r="E73" s="12">
        <f ca="1"/>
        <v>100.13407456807377</v>
      </c>
      <c r="F73" s="11">
        <f ca="1"/>
        <v>2.6608383720316002</v>
      </c>
      <c r="G73" s="8">
        <f ca="1"/>
        <v>-2.6572756411931409E-2</v>
      </c>
      <c r="H73" s="11">
        <f ca="1"/>
        <v>50.682438031745278</v>
      </c>
      <c r="I73" s="8">
        <f ca="1"/>
        <v>-0.47837269614863942</v>
      </c>
      <c r="J73" s="8">
        <f ca="1"/>
        <v>2.7810308042669192</v>
      </c>
      <c r="K73">
        <f ca="1"/>
        <v>0</v>
      </c>
      <c r="L73">
        <f ca="1"/>
        <v>0</v>
      </c>
    </row>
    <row r="74" spans="2:12" x14ac:dyDescent="0.55000000000000004">
      <c r="B74">
        <v>0.128</v>
      </c>
      <c r="C74">
        <f ca="1"/>
        <v>-9.9742253982620807E-2</v>
      </c>
      <c r="D74">
        <f ca="1"/>
        <v>1</v>
      </c>
      <c r="E74" s="12">
        <f ca="1"/>
        <v>97.774297445149301</v>
      </c>
      <c r="F74" s="11">
        <f ca="1"/>
        <v>13.168043679967374</v>
      </c>
      <c r="G74" s="8">
        <f ca="1"/>
        <v>-0.13467796776913232</v>
      </c>
      <c r="H74" s="11">
        <f ca="1"/>
        <v>63.850481711712654</v>
      </c>
      <c r="I74" s="8">
        <f ca="1"/>
        <v>-0.61305066391777174</v>
      </c>
      <c r="J74" s="8">
        <f ca="1"/>
        <v>3.909883748870179</v>
      </c>
      <c r="K74">
        <f ca="1"/>
        <v>0</v>
      </c>
      <c r="L74">
        <f ca="1"/>
        <v>2.2257025548506988</v>
      </c>
    </row>
    <row r="75" spans="2:12" x14ac:dyDescent="0.55000000000000004">
      <c r="B75">
        <v>0.13</v>
      </c>
      <c r="C75">
        <f ca="1"/>
        <v>-0.16981836584528717</v>
      </c>
      <c r="D75">
        <f ca="1"/>
        <v>1</v>
      </c>
      <c r="E75" s="12">
        <f ca="1"/>
        <v>96.409670484945153</v>
      </c>
      <c r="F75" s="11">
        <f ca="1"/>
        <v>7.3253952913882703</v>
      </c>
      <c r="G75" s="8">
        <f ca="1"/>
        <v>-7.5981955487879893E-2</v>
      </c>
      <c r="H75" s="11">
        <f ca="1"/>
        <v>71.175877003100922</v>
      </c>
      <c r="I75" s="8">
        <f ca="1"/>
        <v>-0.68903261940565164</v>
      </c>
      <c r="J75" s="8">
        <f ca="1"/>
        <v>4.7464692128234276</v>
      </c>
      <c r="K75">
        <f ca="1"/>
        <v>0</v>
      </c>
      <c r="L75">
        <f ca="1"/>
        <v>3.5903295150548473</v>
      </c>
    </row>
    <row r="76" spans="2:12" x14ac:dyDescent="0.55000000000000004">
      <c r="B76">
        <v>0.13200000000000001</v>
      </c>
      <c r="C76">
        <f ca="1"/>
        <v>-0.10606397543502293</v>
      </c>
      <c r="D76">
        <f ca="1"/>
        <v>1</v>
      </c>
      <c r="E76" s="12">
        <f ca="1"/>
        <v>97.642943438909924</v>
      </c>
      <c r="F76" s="11">
        <f ca="1"/>
        <v>-6.4672665991696059</v>
      </c>
      <c r="G76" s="8">
        <f ca="1"/>
        <v>6.6233834943902892E-2</v>
      </c>
      <c r="H76" s="11">
        <f ca="1"/>
        <v>64.708610403931317</v>
      </c>
      <c r="I76" s="8">
        <f ca="1"/>
        <v>-0.62279878446174874</v>
      </c>
      <c r="J76" s="8">
        <f ca="1"/>
        <v>3.89670391891093</v>
      </c>
      <c r="K76">
        <f ca="1"/>
        <v>0</v>
      </c>
      <c r="L76">
        <f ca="1"/>
        <v>2.3570565610900758</v>
      </c>
    </row>
    <row r="77" spans="2:12" x14ac:dyDescent="0.55000000000000004">
      <c r="B77">
        <v>0.13400000000000001</v>
      </c>
      <c r="C77">
        <f ca="1"/>
        <v>-6.1209685008361513E-2</v>
      </c>
      <c r="D77">
        <f ca="1"/>
        <v>1</v>
      </c>
      <c r="E77" s="12">
        <f ca="1"/>
        <v>98.518884339638774</v>
      </c>
      <c r="F77" s="11">
        <f ca="1"/>
        <v>-4.8680350217068833</v>
      </c>
      <c r="G77" s="8">
        <f ca="1"/>
        <v>4.9412202080208134E-2</v>
      </c>
      <c r="H77" s="11">
        <f ca="1"/>
        <v>59.840575382224436</v>
      </c>
      <c r="I77" s="8">
        <f ca="1"/>
        <v>-0.57338658238154061</v>
      </c>
      <c r="J77" s="8">
        <f ca="1"/>
        <v>3.3511689906766762</v>
      </c>
      <c r="K77">
        <f ca="1"/>
        <v>0</v>
      </c>
      <c r="L77">
        <f ca="1"/>
        <v>1.4811156603612261</v>
      </c>
    </row>
    <row r="78" spans="2:12" x14ac:dyDescent="0.55000000000000004">
      <c r="B78">
        <v>0.13600000000000001</v>
      </c>
      <c r="C78">
        <f ca="1"/>
        <v>-5.4054718119254809E-2</v>
      </c>
      <c r="D78">
        <f ca="1"/>
        <v>1</v>
      </c>
      <c r="E78" s="12">
        <f ca="1"/>
        <v>98.656018809804138</v>
      </c>
      <c r="F78" s="11">
        <f ca="1"/>
        <v>-0.71271280797489256</v>
      </c>
      <c r="G78" s="8">
        <f ca="1"/>
        <v>7.2242202409252831E-3</v>
      </c>
      <c r="H78" s="11">
        <f ca="1"/>
        <v>59.127862574249541</v>
      </c>
      <c r="I78" s="8">
        <f ca="1"/>
        <v>-0.56616236214061533</v>
      </c>
      <c r="J78" s="8">
        <f ca="1"/>
        <v>3.272537925501851</v>
      </c>
      <c r="K78">
        <f ca="1"/>
        <v>0</v>
      </c>
      <c r="L78">
        <f ca="1"/>
        <v>1.343981190195862</v>
      </c>
    </row>
    <row r="79" spans="2:12" x14ac:dyDescent="0.55000000000000004">
      <c r="B79">
        <v>0.13800000000000001</v>
      </c>
      <c r="C79">
        <f ca="1"/>
        <v>-3.8062377987066062E-2</v>
      </c>
      <c r="D79">
        <f ca="1"/>
        <v>1</v>
      </c>
      <c r="E79" s="12">
        <f ca="1"/>
        <v>98.968113301614906</v>
      </c>
      <c r="F79" s="11">
        <f ca="1"/>
        <v>-1.7625271237760491</v>
      </c>
      <c r="G79" s="8">
        <f ca="1"/>
        <v>1.780904035630726E-2</v>
      </c>
      <c r="H79" s="11">
        <f ca="1"/>
        <v>57.365335450473495</v>
      </c>
      <c r="I79" s="8">
        <f ca="1"/>
        <v>-0.54835332178430807</v>
      </c>
      <c r="J79" s="8">
        <f ca="1"/>
        <v>3.0958417708071977</v>
      </c>
      <c r="K79">
        <f ca="1"/>
        <v>0</v>
      </c>
      <c r="L79">
        <f ca="1"/>
        <v>1.0318866983850938</v>
      </c>
    </row>
    <row r="80" spans="2:12" x14ac:dyDescent="0.55000000000000004">
      <c r="B80">
        <v>0.14000000000000001</v>
      </c>
      <c r="C80">
        <f ca="1"/>
        <v>-5.7770198666152767E-2</v>
      </c>
      <c r="D80">
        <f ca="1"/>
        <v>1</v>
      </c>
      <c r="E80" s="12">
        <f ca="1"/>
        <v>98.574848834482992</v>
      </c>
      <c r="F80" s="11">
        <f ca="1"/>
        <v>2.3990678193246673</v>
      </c>
      <c r="G80" s="8">
        <f ca="1"/>
        <v>-2.4337524710313696E-2</v>
      </c>
      <c r="H80" s="11">
        <f ca="1"/>
        <v>59.764403269798166</v>
      </c>
      <c r="I80" s="8">
        <f ca="1"/>
        <v>-0.57269084649462176</v>
      </c>
      <c r="J80" s="8">
        <f ca="1"/>
        <v>3.3114896476987212</v>
      </c>
      <c r="K80">
        <f ca="1"/>
        <v>0</v>
      </c>
      <c r="L80">
        <f ca="1"/>
        <v>1.4251511655170077</v>
      </c>
    </row>
    <row r="81" spans="2:12" x14ac:dyDescent="0.55000000000000004">
      <c r="B81">
        <v>0.14200000000000002</v>
      </c>
      <c r="C81">
        <f ca="1"/>
        <v>-0.10071000745453959</v>
      </c>
      <c r="D81">
        <f ca="1"/>
        <v>1</v>
      </c>
      <c r="E81" s="12">
        <f ca="1"/>
        <v>97.728007319926789</v>
      </c>
      <c r="F81" s="11">
        <f ca="1"/>
        <v>5.04376256218585</v>
      </c>
      <c r="G81" s="8">
        <f ca="1"/>
        <v>-5.1610205717940838E-2</v>
      </c>
      <c r="H81" s="11">
        <f ca="1"/>
        <v>64.808165831984013</v>
      </c>
      <c r="I81" s="8">
        <f ca="1"/>
        <v>-0.6243010522125626</v>
      </c>
      <c r="J81" s="8">
        <f ca="1"/>
        <v>3.7964680315166959</v>
      </c>
      <c r="K81">
        <f ca="1"/>
        <v>0</v>
      </c>
      <c r="L81">
        <f ca="1"/>
        <v>2.2719926800732111</v>
      </c>
    </row>
    <row r="82" spans="2:12" x14ac:dyDescent="0.55000000000000004">
      <c r="B82">
        <v>0.14400000000000002</v>
      </c>
      <c r="C82">
        <f ca="1"/>
        <v>-6.6541952159301879E-2</v>
      </c>
      <c r="D82">
        <f ca="1"/>
        <v>1</v>
      </c>
      <c r="E82" s="12">
        <f ca="1"/>
        <v>98.39419373471668</v>
      </c>
      <c r="F82" s="11">
        <f ca="1"/>
        <v>-3.8151404340500461</v>
      </c>
      <c r="G82" s="8">
        <f ca="1"/>
        <v>3.8774040309087265E-2</v>
      </c>
      <c r="H82" s="11">
        <f ca="1"/>
        <v>60.99302539793397</v>
      </c>
      <c r="I82" s="8">
        <f ca="1"/>
        <v>-0.58552701190347534</v>
      </c>
      <c r="J82" s="8">
        <f ca="1"/>
        <v>3.380567151793656</v>
      </c>
      <c r="K82">
        <f ca="1"/>
        <v>0</v>
      </c>
      <c r="L82">
        <f ca="1"/>
        <v>1.60580626528332</v>
      </c>
    </row>
    <row r="83" spans="2:12" x14ac:dyDescent="0.55000000000000004">
      <c r="B83">
        <v>0.14599999999999999</v>
      </c>
      <c r="C83">
        <f ca="1"/>
        <v>-6.9512214727242533E-2</v>
      </c>
      <c r="D83">
        <f ca="1"/>
        <v>1</v>
      </c>
      <c r="E83" s="12">
        <f ca="1"/>
        <v>98.331826423021511</v>
      </c>
      <c r="F83" s="11">
        <f ca="1"/>
        <v>0.47908689704678481</v>
      </c>
      <c r="G83" s="8">
        <f ca="1"/>
        <v>-4.872144802698597E-3</v>
      </c>
      <c r="H83" s="11">
        <f ca="1"/>
        <v>61.472112294980754</v>
      </c>
      <c r="I83" s="8">
        <f ca="1"/>
        <v>-0.59039915670617393</v>
      </c>
      <c r="J83" s="8">
        <f ca="1"/>
        <v>3.4170848974509838</v>
      </c>
      <c r="K83">
        <f ca="1"/>
        <v>0</v>
      </c>
      <c r="L83">
        <f ca="1"/>
        <v>1.6681735769784893</v>
      </c>
    </row>
    <row r="84" spans="2:12" x14ac:dyDescent="0.55000000000000004">
      <c r="B84">
        <v>0.14799999999999999</v>
      </c>
      <c r="C84">
        <f ca="1"/>
        <v>-5.1208575460480257E-2</v>
      </c>
      <c r="D84">
        <f ca="1"/>
        <v>1</v>
      </c>
      <c r="E84" s="12">
        <f ca="1"/>
        <v>98.688504533345778</v>
      </c>
      <c r="F84" s="11">
        <f ca="1"/>
        <v>-2.0763842030407558</v>
      </c>
      <c r="G84" s="8">
        <f ca="1"/>
        <v>2.1039777761949652E-2</v>
      </c>
      <c r="H84" s="11">
        <f ca="1"/>
        <v>59.395728091940001</v>
      </c>
      <c r="I84" s="8">
        <f ca="1"/>
        <v>-0.56935937894422428</v>
      </c>
      <c r="J84" s="8">
        <f ca="1"/>
        <v>3.2065024418999855</v>
      </c>
      <c r="K84">
        <f ca="1"/>
        <v>0</v>
      </c>
      <c r="L84">
        <f ca="1"/>
        <v>1.3114954666542218</v>
      </c>
    </row>
    <row r="85" spans="2:12" x14ac:dyDescent="0.55000000000000004">
      <c r="B85">
        <v>0.15</v>
      </c>
      <c r="C85">
        <f ca="1"/>
        <v>-3.4442008216718625E-2</v>
      </c>
      <c r="D85">
        <f ca="1"/>
        <v>1</v>
      </c>
      <c r="E85" s="12">
        <f ca="1"/>
        <v>99.016032784898755</v>
      </c>
      <c r="F85" s="11">
        <f ca="1"/>
        <v>-1.9535254642987872</v>
      </c>
      <c r="G85" s="8">
        <f ca="1"/>
        <v>1.9729385326340054E-2</v>
      </c>
      <c r="H85" s="11">
        <f ca="1"/>
        <v>57.442202627641215</v>
      </c>
      <c r="I85" s="8">
        <f ca="1"/>
        <v>-0.54962999361788423</v>
      </c>
      <c r="J85" s="8">
        <f ca="1"/>
        <v>3.0200211600090938</v>
      </c>
      <c r="K85">
        <f ca="1"/>
        <v>0</v>
      </c>
      <c r="L85">
        <f ca="1"/>
        <v>0.98396721510124507</v>
      </c>
    </row>
    <row r="86" spans="2:12" x14ac:dyDescent="0.55000000000000004">
      <c r="B86">
        <v>0.152</v>
      </c>
      <c r="C86">
        <f ca="1"/>
        <v>-3.4944301963289529E-2</v>
      </c>
      <c r="D86">
        <f ca="1"/>
        <v>1</v>
      </c>
      <c r="E86" s="12">
        <f ca="1"/>
        <v>99.002126093452844</v>
      </c>
      <c r="F86" s="11">
        <f ca="1"/>
        <v>0.16254015269465391</v>
      </c>
      <c r="G86" s="8">
        <f ca="1"/>
        <v>-1.6417844657318215E-3</v>
      </c>
      <c r="H86" s="11">
        <f ca="1"/>
        <v>57.604742780335869</v>
      </c>
      <c r="I86" s="8">
        <f ca="1"/>
        <v>-0.55127177808361605</v>
      </c>
      <c r="J86" s="8">
        <f ca="1"/>
        <v>3.0276646947397552</v>
      </c>
      <c r="K86">
        <f ca="1"/>
        <v>0</v>
      </c>
      <c r="L86">
        <f ca="1"/>
        <v>0.9978739065471558</v>
      </c>
    </row>
    <row r="87" spans="2:12" x14ac:dyDescent="0.55000000000000004">
      <c r="B87">
        <v>0.154</v>
      </c>
      <c r="C87">
        <f ca="1"/>
        <v>-1.4348925754825225E-2</v>
      </c>
      <c r="D87">
        <f ca="1"/>
        <v>1</v>
      </c>
      <c r="E87" s="12">
        <f ca="1"/>
        <v>99.406787976918281</v>
      </c>
      <c r="F87" s="11">
        <f ca="1"/>
        <v>-2.5196325051900335</v>
      </c>
      <c r="G87" s="8">
        <f ca="1"/>
        <v>2.5346684632593486E-2</v>
      </c>
      <c r="H87" s="11">
        <f ca="1"/>
        <v>55.085110275145837</v>
      </c>
      <c r="I87" s="8">
        <f ca="1"/>
        <v>-0.52592509345102256</v>
      </c>
      <c r="J87" s="8">
        <f ca="1"/>
        <v>2.8045860187191067</v>
      </c>
      <c r="K87">
        <f ca="1"/>
        <v>0</v>
      </c>
      <c r="L87">
        <f ca="1"/>
        <v>0.59321202308171905</v>
      </c>
    </row>
    <row r="88" spans="2:12" x14ac:dyDescent="0.55000000000000004">
      <c r="B88">
        <v>0.156</v>
      </c>
      <c r="C88">
        <f ca="1"/>
        <v>-1.9566675367578588E-2</v>
      </c>
      <c r="D88">
        <f ca="1"/>
        <v>1</v>
      </c>
      <c r="E88" s="12">
        <f ca="1"/>
        <v>99.299134094215873</v>
      </c>
      <c r="F88" s="11">
        <f ca="1"/>
        <v>0.75102313324139069</v>
      </c>
      <c r="G88" s="8">
        <f ca="1"/>
        <v>-7.5632394994382679E-3</v>
      </c>
      <c r="H88" s="11">
        <f ca="1"/>
        <v>55.836133408387226</v>
      </c>
      <c r="I88" s="8">
        <f ca="1"/>
        <v>-0.53348833295046083</v>
      </c>
      <c r="J88" s="8">
        <f ca="1"/>
        <v>2.8612038970397293</v>
      </c>
      <c r="K88">
        <f ca="1"/>
        <v>0</v>
      </c>
      <c r="L88">
        <f ca="1"/>
        <v>0.70086590578412711</v>
      </c>
    </row>
    <row r="89" spans="2:12" x14ac:dyDescent="0.55000000000000004">
      <c r="B89">
        <v>0.158</v>
      </c>
      <c r="C89">
        <f ca="1"/>
        <v>-4.5953520785436391E-3</v>
      </c>
      <c r="D89">
        <f ca="1"/>
        <v>1</v>
      </c>
      <c r="E89" s="12">
        <f ca="1"/>
        <v>99.592923769172884</v>
      </c>
      <c r="F89" s="11">
        <f ca="1"/>
        <v>-1.869032811957021</v>
      </c>
      <c r="G89" s="8">
        <f ca="1"/>
        <v>1.8766722988160178E-2</v>
      </c>
      <c r="H89" s="11">
        <f ca="1"/>
        <v>53.967100596430207</v>
      </c>
      <c r="I89" s="8">
        <f ca="1"/>
        <v>-0.51472160996230065</v>
      </c>
      <c r="J89" s="8">
        <f ca="1"/>
        <v>2.7044705331088608</v>
      </c>
      <c r="K89">
        <f ca="1"/>
        <v>0</v>
      </c>
      <c r="L89">
        <f ca="1"/>
        <v>0.40707623082711564</v>
      </c>
    </row>
    <row r="90" spans="2:12" x14ac:dyDescent="0.55000000000000004">
      <c r="B90">
        <v>0.16</v>
      </c>
      <c r="C90">
        <f ca="1"/>
        <v>1.4838514402833869E-2</v>
      </c>
      <c r="D90">
        <f ca="1"/>
        <v>1</v>
      </c>
      <c r="E90" s="12">
        <f ca="1"/>
        <v>99.976772985945345</v>
      </c>
      <c r="F90" s="11">
        <f ca="1"/>
        <v>-2.5138299855080173</v>
      </c>
      <c r="G90" s="8">
        <f ca="1"/>
        <v>2.5144140088032341E-2</v>
      </c>
      <c r="H90" s="11">
        <f ca="1"/>
        <v>51.453270610922189</v>
      </c>
      <c r="I90" s="8">
        <f ca="1"/>
        <v>-0.48957746987426831</v>
      </c>
      <c r="J90" s="8">
        <f ca="1"/>
        <v>2.5068950462689727</v>
      </c>
      <c r="K90">
        <f ca="1"/>
        <v>0</v>
      </c>
      <c r="L90">
        <f ca="1"/>
        <v>2.322701405465466E-2</v>
      </c>
    </row>
    <row r="91" spans="2:12" x14ac:dyDescent="0.55000000000000004">
      <c r="B91">
        <v>0.16200000000000001</v>
      </c>
      <c r="C91">
        <f ca="1"/>
        <v>1.9224580209969089E-2</v>
      </c>
      <c r="D91">
        <f ca="1"/>
        <v>1</v>
      </c>
      <c r="E91" s="12">
        <f ca="1"/>
        <v>100.06050990406005</v>
      </c>
      <c r="F91" s="11">
        <f ca="1"/>
        <v>-0.54786722566243529</v>
      </c>
      <c r="G91" s="8">
        <f ca="1"/>
        <v>5.4753591220726427E-3</v>
      </c>
      <c r="H91" s="11">
        <f ca="1"/>
        <v>50.905403385259753</v>
      </c>
      <c r="I91" s="8">
        <f ca="1"/>
        <v>-0.48410211075219567</v>
      </c>
      <c r="J91" s="8">
        <f ca="1"/>
        <v>2.4658993377633038</v>
      </c>
      <c r="K91">
        <f ca="1"/>
        <v>0</v>
      </c>
      <c r="L91">
        <f ca="1"/>
        <v>0</v>
      </c>
    </row>
    <row r="92" spans="2:12" x14ac:dyDescent="0.55000000000000004">
      <c r="B92">
        <v>0.16400000000000001</v>
      </c>
      <c r="C92">
        <f ca="1"/>
        <v>8.9311331226174254E-2</v>
      </c>
      <c r="D92">
        <f ca="1"/>
        <v>1</v>
      </c>
      <c r="E92" s="12">
        <f ca="1"/>
        <v>101.46891061807655</v>
      </c>
      <c r="F92" s="11">
        <f ca="1"/>
        <v>-9.4951817853714502</v>
      </c>
      <c r="G92" s="8">
        <f ca="1"/>
        <v>9.3577251667861072E-2</v>
      </c>
      <c r="H92" s="11">
        <f ca="1"/>
        <v>41.410221599888303</v>
      </c>
      <c r="I92" s="8">
        <f ca="1"/>
        <v>-0.3905248590843346</v>
      </c>
      <c r="J92" s="8">
        <f ca="1"/>
        <v>1.784089579323016</v>
      </c>
      <c r="K92">
        <f ca="1"/>
        <v>0</v>
      </c>
      <c r="L92">
        <f ca="1"/>
        <v>0</v>
      </c>
    </row>
    <row r="93" spans="2:12" x14ac:dyDescent="0.55000000000000004">
      <c r="B93">
        <v>0.16600000000000001</v>
      </c>
      <c r="C93">
        <f ca="1"/>
        <v>0.19463639233521451</v>
      </c>
      <c r="D93">
        <f ca="1"/>
        <v>1</v>
      </c>
      <c r="E93" s="12">
        <f ca="1"/>
        <v>103.62488093490975</v>
      </c>
      <c r="F93" s="11">
        <f ca="1"/>
        <v>-13.522976328640567</v>
      </c>
      <c r="G93" s="8">
        <f ca="1"/>
        <v>0.1304993183744626</v>
      </c>
      <c r="H93" s="11">
        <f ca="1"/>
        <v>27.887245271247735</v>
      </c>
      <c r="I93" s="8">
        <f ca="1"/>
        <v>-0.26002554070987199</v>
      </c>
      <c r="J93" s="8">
        <f ca="1"/>
        <v>0.94212957515172135</v>
      </c>
      <c r="K93">
        <f ca="1"/>
        <v>0</v>
      </c>
      <c r="L93">
        <f ca="1"/>
        <v>0</v>
      </c>
    </row>
    <row r="94" spans="2:12" x14ac:dyDescent="0.55000000000000004">
      <c r="B94">
        <v>0.16800000000000001</v>
      </c>
      <c r="C94">
        <f ca="1"/>
        <v>0.26040193136216239</v>
      </c>
      <c r="D94">
        <f ca="1"/>
        <v>1</v>
      </c>
      <c r="E94" s="12">
        <f ca="1"/>
        <v>104.99267357642923</v>
      </c>
      <c r="F94" s="11">
        <f ca="1"/>
        <v>-7.3930050973562249</v>
      </c>
      <c r="G94" s="8">
        <f ca="1"/>
        <v>7.0414485559075701E-2</v>
      </c>
      <c r="H94" s="11">
        <f ca="1"/>
        <v>20.494240173891512</v>
      </c>
      <c r="I94" s="8">
        <f ca="1"/>
        <v>-0.18961105515079629</v>
      </c>
      <c r="J94" s="8">
        <f ca="1"/>
        <v>0.58646855396163744</v>
      </c>
      <c r="K94">
        <f ca="1"/>
        <v>0</v>
      </c>
      <c r="L94">
        <f ca="1"/>
        <v>0</v>
      </c>
    </row>
    <row r="95" spans="2:12" x14ac:dyDescent="0.55000000000000004">
      <c r="B95">
        <v>0.17</v>
      </c>
      <c r="C95">
        <f ca="1"/>
        <v>0.19064437696464259</v>
      </c>
      <c r="D95">
        <f ca="1"/>
        <v>1</v>
      </c>
      <c r="E95" s="12">
        <f ca="1"/>
        <v>103.53389648730126</v>
      </c>
      <c r="F95" s="11">
        <f ca="1"/>
        <v>7.3257906582318535</v>
      </c>
      <c r="G95" s="8">
        <f ca="1"/>
        <v>-7.0757412854932811E-2</v>
      </c>
      <c r="H95" s="11">
        <f ca="1"/>
        <v>27.820030832123365</v>
      </c>
      <c r="I95" s="8">
        <f ca="1"/>
        <v>-0.2603684680057291</v>
      </c>
      <c r="J95" s="8">
        <f ca="1"/>
        <v>0.86306881706099858</v>
      </c>
      <c r="K95">
        <f ca="1"/>
        <v>0</v>
      </c>
      <c r="L95">
        <f ca="1"/>
        <v>0</v>
      </c>
    </row>
    <row r="96" spans="2:12" x14ac:dyDescent="0.55000000000000004">
      <c r="B96">
        <v>0.17200000000000001</v>
      </c>
      <c r="C96">
        <f ca="1"/>
        <v>0.12863909920745153</v>
      </c>
      <c r="D96">
        <f ca="1"/>
        <v>1</v>
      </c>
      <c r="E96" s="12">
        <f ca="1"/>
        <v>102.25380488599825</v>
      </c>
      <c r="F96" s="11">
        <f ca="1"/>
        <v>7.6016932387775666</v>
      </c>
      <c r="G96" s="8">
        <f ca="1"/>
        <v>-7.4341421791126683E-2</v>
      </c>
      <c r="H96" s="11">
        <f ca="1"/>
        <v>35.421724070900929</v>
      </c>
      <c r="I96" s="8">
        <f ca="1"/>
        <v>-0.33470988979685579</v>
      </c>
      <c r="J96" s="8">
        <f ca="1"/>
        <v>1.1963643061992641</v>
      </c>
      <c r="K96">
        <f ca="1"/>
        <v>0</v>
      </c>
      <c r="L96">
        <f ca="1"/>
        <v>0</v>
      </c>
    </row>
    <row r="97" spans="2:12" x14ac:dyDescent="0.55000000000000004">
      <c r="B97">
        <v>0.17400000000000002</v>
      </c>
      <c r="C97">
        <f ca="1"/>
        <v>8.5150427193530775E-2</v>
      </c>
      <c r="D97">
        <f ca="1"/>
        <v>1</v>
      </c>
      <c r="E97" s="12">
        <f ca="1"/>
        <v>101.36423038983224</v>
      </c>
      <c r="F97" s="11">
        <f ca="1"/>
        <v>5.8377601344149914</v>
      </c>
      <c r="G97" s="8">
        <f ca="1"/>
        <v>-5.7591914938472932E-2</v>
      </c>
      <c r="H97" s="11">
        <f ca="1"/>
        <v>41.259484205315921</v>
      </c>
      <c r="I97" s="8">
        <f ca="1"/>
        <v>-0.39230180473532872</v>
      </c>
      <c r="J97" s="8">
        <f ca="1"/>
        <v>1.4941136877770802</v>
      </c>
      <c r="K97">
        <f ca="1"/>
        <v>0</v>
      </c>
      <c r="L97">
        <f ca="1"/>
        <v>0</v>
      </c>
    </row>
    <row r="98" spans="2:12" x14ac:dyDescent="0.55000000000000004">
      <c r="B98">
        <v>0.17599999999999999</v>
      </c>
      <c r="C98">
        <f ca="1"/>
        <v>8.8955902494686059E-2</v>
      </c>
      <c r="D98">
        <f ca="1"/>
        <v>1</v>
      </c>
      <c r="E98" s="12">
        <f ca="1"/>
        <v>101.43734999557535</v>
      </c>
      <c r="F98" s="11">
        <f ca="1"/>
        <v>-0.62963987628719131</v>
      </c>
      <c r="G98" s="8">
        <f ca="1"/>
        <v>6.2071798633802633E-3</v>
      </c>
      <c r="H98" s="11">
        <f ca="1"/>
        <v>40.629844329028728</v>
      </c>
      <c r="I98" s="8">
        <f ca="1"/>
        <v>-0.38609462487194846</v>
      </c>
      <c r="J98" s="8">
        <f ca="1"/>
        <v>1.4654287344825221</v>
      </c>
      <c r="K98">
        <f ca="1"/>
        <v>0</v>
      </c>
      <c r="L98">
        <f ca="1"/>
        <v>0</v>
      </c>
    </row>
    <row r="99" spans="2:12" x14ac:dyDescent="0.55000000000000004">
      <c r="B99">
        <v>0.17799999999999999</v>
      </c>
      <c r="C99">
        <f ca="1"/>
        <v>0.11619061214190908</v>
      </c>
      <c r="D99">
        <f ca="1"/>
        <v>1</v>
      </c>
      <c r="E99" s="12">
        <f ca="1"/>
        <v>101.98730129402638</v>
      </c>
      <c r="F99" s="11">
        <f ca="1"/>
        <v>-3.990182226247033</v>
      </c>
      <c r="G99" s="8">
        <f ca="1"/>
        <v>3.9124304453781511E-2</v>
      </c>
      <c r="H99" s="11">
        <f ca="1"/>
        <v>36.639662102781692</v>
      </c>
      <c r="I99" s="8">
        <f ca="1"/>
        <v>-0.34697032041816694</v>
      </c>
      <c r="J99">
        <f ca="1"/>
        <v>1.2530954942092265</v>
      </c>
      <c r="K99">
        <f ca="1"/>
        <v>0</v>
      </c>
      <c r="L99">
        <f ca="1"/>
        <v>0</v>
      </c>
    </row>
    <row r="100" spans="2:12" x14ac:dyDescent="0.55000000000000004">
      <c r="B100">
        <v>0.18</v>
      </c>
      <c r="C100">
        <f ca="1"/>
        <v>6.9589653586206446E-2</v>
      </c>
      <c r="D100">
        <f ca="1"/>
        <v>1</v>
      </c>
      <c r="E100" s="12">
        <f ca="1"/>
        <v>101.03713441115548</v>
      </c>
      <c r="F100" s="11">
        <f ca="1"/>
        <v>6.6079761988578634</v>
      </c>
      <c r="G100" s="8">
        <f ca="1"/>
        <v>-6.5401460931855948E-2</v>
      </c>
      <c r="H100" s="11">
        <f ca="1"/>
        <v>43.247638301639554</v>
      </c>
      <c r="I100" s="8">
        <f ca="1"/>
        <v>-0.41237178135002289</v>
      </c>
      <c r="J100">
        <f ca="1"/>
        <v>1.582775202009671</v>
      </c>
      <c r="K100">
        <f ca="1"/>
        <v>0</v>
      </c>
      <c r="L100">
        <f ca="1"/>
        <v>0</v>
      </c>
    </row>
    <row r="101" spans="2:12" x14ac:dyDescent="0.55000000000000004">
      <c r="B101">
        <v>0.182</v>
      </c>
      <c r="C101">
        <f ca="1"/>
        <v>6.2485091994006196E-2</v>
      </c>
      <c r="D101">
        <f ca="1"/>
        <v>1</v>
      </c>
      <c r="E101" s="12">
        <f ca="1"/>
        <v>100.88963578438816</v>
      </c>
      <c r="F101" s="11">
        <f ca="1"/>
        <v>1.006021393446499</v>
      </c>
      <c r="G101" s="8">
        <f ca="1"/>
        <v>-9.9715038678152568E-3</v>
      </c>
      <c r="H101" s="11">
        <f ca="1"/>
        <v>44.253659695086057</v>
      </c>
      <c r="I101" s="8">
        <f ca="1"/>
        <v>-0.42234328521783815</v>
      </c>
      <c r="J101">
        <f ca="1"/>
        <v>1.6435994734763995</v>
      </c>
      <c r="K101">
        <f ca="1"/>
        <v>0</v>
      </c>
      <c r="L101">
        <f ca="1"/>
        <v>0</v>
      </c>
    </row>
    <row r="102" spans="2:12" x14ac:dyDescent="0.55000000000000004">
      <c r="B102">
        <v>0.184</v>
      </c>
      <c r="C102">
        <f ca="1"/>
        <v>0.11266905096926975</v>
      </c>
      <c r="D102">
        <f ca="1"/>
        <v>1</v>
      </c>
      <c r="E102" s="12">
        <f ca="1"/>
        <v>101.9032665539938</v>
      </c>
      <c r="F102" s="11">
        <f ca="1"/>
        <v>-7.6476084638590462</v>
      </c>
      <c r="G102" s="8">
        <f ca="1"/>
        <v>7.5047726363187128E-2</v>
      </c>
      <c r="H102" s="11">
        <f ca="1"/>
        <v>36.606051231227013</v>
      </c>
      <c r="I102" s="8">
        <f ca="1"/>
        <v>-0.34729555885465102</v>
      </c>
      <c r="J102">
        <f ca="1"/>
        <v>1.2154993242432681</v>
      </c>
      <c r="K102">
        <f ca="1"/>
        <v>0</v>
      </c>
      <c r="L102">
        <f ca="1"/>
        <v>0</v>
      </c>
    </row>
    <row r="103" spans="2:12" x14ac:dyDescent="0.55000000000000004">
      <c r="B103">
        <v>0.186</v>
      </c>
      <c r="C103">
        <f ca="1"/>
        <v>0.19569855163254787</v>
      </c>
      <c r="D103">
        <f ca="1"/>
        <v>1</v>
      </c>
      <c r="E103" s="12">
        <f ca="1"/>
        <v>103.60544603142114</v>
      </c>
      <c r="F103" s="11">
        <f ca="1"/>
        <v>-11.72547881792646</v>
      </c>
      <c r="G103" s="8">
        <f ca="1"/>
        <v>0.11317434813581512</v>
      </c>
      <c r="H103" s="11">
        <f ca="1"/>
        <v>24.880572413300555</v>
      </c>
      <c r="I103" s="8">
        <f ca="1"/>
        <v>-0.2341212107188359</v>
      </c>
      <c r="J103">
        <f ca="1"/>
        <v>0.62433995135922515</v>
      </c>
      <c r="K103">
        <f ca="1"/>
        <v>0</v>
      </c>
      <c r="L103">
        <f ca="1"/>
        <v>0</v>
      </c>
    </row>
    <row r="104" spans="2:12" x14ac:dyDescent="0.55000000000000004">
      <c r="B104">
        <v>0.188</v>
      </c>
      <c r="C104">
        <f ca="1"/>
        <v>0.17802656089365568</v>
      </c>
      <c r="D104">
        <f ca="1"/>
        <v>1</v>
      </c>
      <c r="E104" s="12">
        <f ca="1"/>
        <v>103.23577997743696</v>
      </c>
      <c r="F104" s="11">
        <f ca="1"/>
        <v>1.9724079152612637</v>
      </c>
      <c r="G104" s="8">
        <f ca="1"/>
        <v>-1.9105855699374286E-2</v>
      </c>
      <c r="H104" s="11">
        <f ca="1"/>
        <v>26.85298032856182</v>
      </c>
      <c r="I104" s="8">
        <f ca="1"/>
        <v>-0.25322706641821019</v>
      </c>
      <c r="J104">
        <f ca="1"/>
        <v>0.71088661547965515</v>
      </c>
      <c r="K104">
        <f ca="1"/>
        <v>0</v>
      </c>
      <c r="L104">
        <f ca="1"/>
        <v>0</v>
      </c>
    </row>
    <row r="105" spans="2:12" x14ac:dyDescent="0.55000000000000004">
      <c r="B105">
        <v>0.19</v>
      </c>
      <c r="C105">
        <f ca="1"/>
        <v>0.19550730631866248</v>
      </c>
      <c r="D105">
        <f ca="1"/>
        <v>1</v>
      </c>
      <c r="E105" s="12">
        <f ca="1"/>
        <v>103.59319550885</v>
      </c>
      <c r="F105" s="11">
        <f ca="1"/>
        <v>-2.6018758091006058</v>
      </c>
      <c r="G105" s="8">
        <f ca="1"/>
        <v>2.5116281009772756E-2</v>
      </c>
      <c r="H105" s="11">
        <f ca="1"/>
        <v>24.251104519461215</v>
      </c>
      <c r="I105" s="8">
        <f ca="1"/>
        <v>-0.22811078540843743</v>
      </c>
      <c r="J105">
        <f ca="1"/>
        <v>0.62037932896762626</v>
      </c>
      <c r="K105">
        <f ca="1"/>
        <v>0</v>
      </c>
      <c r="L105">
        <f ca="1"/>
        <v>0</v>
      </c>
    </row>
    <row r="106" spans="2:12" x14ac:dyDescent="0.55000000000000004">
      <c r="B106">
        <v>0.192</v>
      </c>
      <c r="C106">
        <f ca="1"/>
        <v>0.14953327581029419</v>
      </c>
      <c r="D106">
        <f ca="1"/>
        <v>1</v>
      </c>
      <c r="E106" s="12">
        <f ca="1"/>
        <v>102.64093616757116</v>
      </c>
      <c r="F106" s="11">
        <f ca="1"/>
        <v>5.9364207901839627</v>
      </c>
      <c r="G106" s="8">
        <f ca="1"/>
        <v>-5.7836775577457589E-2</v>
      </c>
      <c r="H106" s="11">
        <f ca="1"/>
        <v>30.187525309645178</v>
      </c>
      <c r="I106" s="8">
        <f ca="1"/>
        <v>-0.28594756098589502</v>
      </c>
      <c r="J106">
        <f ca="1"/>
        <v>0.83759995521926811</v>
      </c>
      <c r="K106">
        <f ca="1"/>
        <v>0</v>
      </c>
      <c r="L106">
        <f ca="1"/>
        <v>0</v>
      </c>
    </row>
    <row r="107" spans="2:12" x14ac:dyDescent="0.55000000000000004">
      <c r="B107">
        <v>0.19400000000000001</v>
      </c>
      <c r="C107">
        <f ca="1"/>
        <v>0.14847845871207266</v>
      </c>
      <c r="D107">
        <f ca="1"/>
        <v>1</v>
      </c>
      <c r="E107" s="12">
        <f ca="1"/>
        <v>102.61518027926313</v>
      </c>
      <c r="F107" s="11">
        <f ca="1"/>
        <v>-0.13445980558746906</v>
      </c>
      <c r="G107" s="8">
        <f ca="1"/>
        <v>1.3103305497446094E-3</v>
      </c>
      <c r="H107" s="11">
        <f ca="1"/>
        <v>30.053065504057709</v>
      </c>
      <c r="I107" s="8">
        <f ca="1"/>
        <v>-0.28463723043615041</v>
      </c>
      <c r="J107">
        <f ca="1"/>
        <v>0.84496478866197222</v>
      </c>
      <c r="K107">
        <f ca="1"/>
        <v>0</v>
      </c>
      <c r="L107">
        <f ca="1"/>
        <v>0</v>
      </c>
    </row>
    <row r="108" spans="2:12" x14ac:dyDescent="0.55000000000000004">
      <c r="B108">
        <v>0.19600000000000001</v>
      </c>
      <c r="C108">
        <f ca="1"/>
        <v>0.15129418669294487</v>
      </c>
      <c r="D108">
        <f ca="1"/>
        <v>1</v>
      </c>
      <c r="E108" s="12">
        <f ca="1"/>
        <v>102.66887700330459</v>
      </c>
      <c r="F108" s="11">
        <f ca="1"/>
        <v>-0.72158884677810986</v>
      </c>
      <c r="G108" s="8">
        <f ca="1"/>
        <v>7.0283114789975176E-3</v>
      </c>
      <c r="H108" s="11">
        <f ca="1"/>
        <v>29.331476657279598</v>
      </c>
      <c r="I108" s="8">
        <f ca="1"/>
        <v>-0.27760891895715289</v>
      </c>
      <c r="J108">
        <f ca="1"/>
        <v>0.82968070184731602</v>
      </c>
      <c r="K108">
        <f ca="1"/>
        <v>0</v>
      </c>
      <c r="L108">
        <f ca="1"/>
        <v>0</v>
      </c>
    </row>
    <row r="109" spans="2:12" x14ac:dyDescent="0.55000000000000004">
      <c r="B109">
        <v>0.19800000000000001</v>
      </c>
      <c r="C109">
        <f ca="1"/>
        <v>0.1202776516956352</v>
      </c>
      <c r="D109">
        <f ca="1"/>
        <v>1</v>
      </c>
      <c r="E109" s="12">
        <f ca="1"/>
        <v>102.02988048620966</v>
      </c>
      <c r="F109" s="11">
        <f ca="1"/>
        <v>4.4811715810657038</v>
      </c>
      <c r="G109" s="8">
        <f ca="1"/>
        <v>-4.3920188475290611E-2</v>
      </c>
      <c r="H109" s="11">
        <f ca="1"/>
        <v>33.812648238345304</v>
      </c>
      <c r="I109" s="8">
        <f ca="1"/>
        <v>-0.32152910743244351</v>
      </c>
      <c r="J109">
        <f ca="1"/>
        <v>1.0070718341754272</v>
      </c>
      <c r="K109">
        <f ca="1"/>
        <v>0</v>
      </c>
      <c r="L109">
        <f ca="1"/>
        <v>0</v>
      </c>
    </row>
    <row r="110" spans="2:12" x14ac:dyDescent="0.55000000000000004">
      <c r="B110">
        <v>0.2</v>
      </c>
      <c r="C110">
        <f ca="1"/>
        <v>2.1842830531875038E-2</v>
      </c>
      <c r="D110">
        <f ca="1"/>
        <v>1</v>
      </c>
      <c r="E110" s="12">
        <f ca="1"/>
        <v>100.03686340352075</v>
      </c>
      <c r="F110" s="11">
        <f ca="1"/>
        <v>16.632562952907829</v>
      </c>
      <c r="G110" s="8">
        <f ca="1"/>
        <v>-0.16626433883494246</v>
      </c>
      <c r="H110" s="11">
        <f ca="1"/>
        <v>50.445211191253136</v>
      </c>
      <c r="I110" s="8">
        <f ca="1"/>
        <v>-0.48779344626738597</v>
      </c>
      <c r="J110">
        <f ca="1"/>
        <v>1.6478848378700022</v>
      </c>
      <c r="K110">
        <f ca="1"/>
        <v>0</v>
      </c>
      <c r="L110">
        <f ca="1"/>
        <v>0</v>
      </c>
    </row>
    <row r="111" spans="2:12" x14ac:dyDescent="0.55000000000000004">
      <c r="B111">
        <v>0.20200000000000001</v>
      </c>
      <c r="C111">
        <f ca="1"/>
        <v>-3.0269680605550388E-2</v>
      </c>
      <c r="D111">
        <f ca="1"/>
        <v>1</v>
      </c>
      <c r="E111">
        <f ca="1"/>
        <v>98.995683667604055</v>
      </c>
      <c r="F111" s="11">
        <f ca="1"/>
        <v>9.3816988209183485</v>
      </c>
      <c r="G111" s="8">
        <f ca="1"/>
        <v>-9.4768766408231508E-2</v>
      </c>
      <c r="H111" s="11">
        <f ca="1"/>
        <v>59.826910012171481</v>
      </c>
      <c r="I111" s="8">
        <f ca="1"/>
        <v>-0.58256221267561747</v>
      </c>
      <c r="J111">
        <f ca="1"/>
        <v>2.1557654894365754</v>
      </c>
      <c r="K111">
        <f ca="1"/>
        <v>0</v>
      </c>
      <c r="L111">
        <f ca="1"/>
        <v>1.0043163323959448</v>
      </c>
    </row>
    <row r="112" spans="2:12" x14ac:dyDescent="0.55000000000000004">
      <c r="B112">
        <v>0.20400000000000001</v>
      </c>
      <c r="C112">
        <f ca="1"/>
        <v>-3.1990082347664844E-2</v>
      </c>
      <c r="D112">
        <f ca="1"/>
        <v>1</v>
      </c>
      <c r="E112">
        <f ca="1"/>
        <v>98.957668671802381</v>
      </c>
      <c r="F112" s="11">
        <f ca="1"/>
        <v>0.55425434212495961</v>
      </c>
      <c r="G112" s="8">
        <f ca="1"/>
        <v>-5.600923602628205E-3</v>
      </c>
      <c r="H112" s="11">
        <f ca="1"/>
        <v>60.381164354296438</v>
      </c>
      <c r="I112" s="8">
        <f ca="1"/>
        <v>-0.58816313627824568</v>
      </c>
      <c r="J112">
        <f ca="1"/>
        <v>2.1779115895056478</v>
      </c>
      <c r="K112">
        <f ca="1"/>
        <v>0</v>
      </c>
      <c r="L112">
        <f ca="1"/>
        <v>1.0423313281976192</v>
      </c>
    </row>
    <row r="113" spans="2:12" x14ac:dyDescent="0.55000000000000004">
      <c r="B113">
        <v>0.20600000000000002</v>
      </c>
      <c r="C113">
        <f ca="1"/>
        <v>-3.488880062183957E-2</v>
      </c>
      <c r="D113">
        <f ca="1"/>
        <v>1</v>
      </c>
      <c r="E113">
        <f ca="1"/>
        <v>98.896359284559949</v>
      </c>
      <c r="F113" s="11">
        <f ca="1"/>
        <v>0.79607866676338679</v>
      </c>
      <c r="G113" s="8">
        <f ca="1"/>
        <v>-8.0496256133432142E-3</v>
      </c>
      <c r="H113" s="11">
        <f ca="1"/>
        <v>61.177243021059823</v>
      </c>
      <c r="I113" s="8">
        <f ca="1"/>
        <v>-0.59621276189158889</v>
      </c>
      <c r="J113">
        <f ca="1"/>
        <v>2.2139715109894524</v>
      </c>
      <c r="K113">
        <f ca="1"/>
        <v>0</v>
      </c>
      <c r="L113">
        <f ca="1"/>
        <v>1.1036407154400507</v>
      </c>
    </row>
    <row r="114" spans="2:12" x14ac:dyDescent="0.55000000000000004">
      <c r="B114">
        <v>0.20800000000000002</v>
      </c>
      <c r="C114">
        <f ca="1"/>
        <v>-2.5575117387219681E-2</v>
      </c>
      <c r="D114">
        <f ca="1"/>
        <v>1</v>
      </c>
      <c r="E114">
        <f ca="1"/>
        <v>99.076785687830352</v>
      </c>
      <c r="F114" s="11">
        <f ca="1"/>
        <v>-1.4553261258580725</v>
      </c>
      <c r="G114" s="8">
        <f ca="1"/>
        <v>1.4688871018116112E-2</v>
      </c>
      <c r="H114" s="11">
        <f ca="1"/>
        <v>59.721916895201751</v>
      </c>
      <c r="I114" s="8">
        <f ca="1"/>
        <v>-0.58152389087347278</v>
      </c>
      <c r="J114">
        <f ca="1"/>
        <v>2.1063989867774424</v>
      </c>
      <c r="K114">
        <f ca="1"/>
        <v>0</v>
      </c>
      <c r="L114">
        <f ca="1"/>
        <v>0.92321431216964811</v>
      </c>
    </row>
    <row r="115" spans="2:12" x14ac:dyDescent="0.55000000000000004">
      <c r="B115">
        <v>0.21</v>
      </c>
      <c r="C115">
        <f ca="1"/>
        <v>-0.16609751211383605</v>
      </c>
      <c r="D115">
        <f ca="1"/>
        <v>1</v>
      </c>
      <c r="E115">
        <f ca="1"/>
        <v>96.327195565861871</v>
      </c>
      <c r="F115" s="11">
        <f ca="1"/>
        <v>22.974830280298256</v>
      </c>
      <c r="G115" s="8">
        <f ca="1"/>
        <v>-0.23850824417066785</v>
      </c>
      <c r="H115" s="11">
        <f ca="1"/>
        <v>82.696747175500008</v>
      </c>
      <c r="I115" s="8">
        <f ca="1"/>
        <v>-0.82003213504414063</v>
      </c>
      <c r="J115">
        <f ca="1"/>
        <v>3.7053513328118157</v>
      </c>
      <c r="K115">
        <f ca="1"/>
        <v>0</v>
      </c>
      <c r="L115">
        <f ca="1"/>
        <v>3.6728044341381292</v>
      </c>
    </row>
    <row r="116" spans="2:12" x14ac:dyDescent="0.55000000000000004">
      <c r="B116">
        <v>0.21199999999999999</v>
      </c>
      <c r="C116">
        <f ca="1"/>
        <v>-0.12654738858054734</v>
      </c>
      <c r="D116">
        <f ca="1"/>
        <v>1</v>
      </c>
      <c r="E116">
        <f ca="1"/>
        <v>97.088283938728978</v>
      </c>
      <c r="F116" s="11">
        <f ca="1"/>
        <v>-4.8696916488087147</v>
      </c>
      <c r="G116" s="8">
        <f ca="1"/>
        <v>5.0157356287004795E-2</v>
      </c>
      <c r="H116" s="11">
        <f ca="1"/>
        <v>77.827055526691296</v>
      </c>
      <c r="I116" s="8">
        <f ca="1"/>
        <v>-0.76987477875713584</v>
      </c>
      <c r="J116">
        <f ca="1"/>
        <v>3.0812344094523354</v>
      </c>
      <c r="K116">
        <f ca="1"/>
        <v>0</v>
      </c>
      <c r="L116">
        <f ca="1"/>
        <v>2.9117160612710222</v>
      </c>
    </row>
    <row r="117" spans="2:12" x14ac:dyDescent="0.55000000000000004">
      <c r="B117">
        <v>0.214</v>
      </c>
      <c r="C117">
        <f ca="1"/>
        <v>-0.15575296542699446</v>
      </c>
      <c r="D117">
        <f ca="1"/>
        <v>1</v>
      </c>
      <c r="E117">
        <f ca="1"/>
        <v>96.518972274590098</v>
      </c>
      <c r="F117" s="11">
        <f ca="1"/>
        <v>4.8212978901730246</v>
      </c>
      <c r="G117" s="8">
        <f ca="1"/>
        <v>-4.9951815446778181E-2</v>
      </c>
      <c r="H117" s="11">
        <f ca="1"/>
        <v>82.648353416864325</v>
      </c>
      <c r="I117" s="8">
        <f ca="1"/>
        <v>-0.81982659420391402</v>
      </c>
      <c r="J117">
        <f ca="1"/>
        <v>3.5195331009251163</v>
      </c>
      <c r="K117">
        <f ca="1"/>
        <v>0</v>
      </c>
      <c r="L117">
        <f ca="1"/>
        <v>3.481027725409902</v>
      </c>
    </row>
    <row r="118" spans="2:12" x14ac:dyDescent="0.55000000000000004">
      <c r="B118">
        <v>0.216</v>
      </c>
      <c r="C118">
        <f ca="1"/>
        <v>-9.6986174747375087E-2</v>
      </c>
      <c r="D118">
        <f ca="1"/>
        <v>1</v>
      </c>
      <c r="E118">
        <f ca="1"/>
        <v>97.6561808269621</v>
      </c>
      <c r="F118" s="11">
        <f ca="1"/>
        <v>-8.3901883233306638</v>
      </c>
      <c r="G118" s="8">
        <f ca="1"/>
        <v>8.59155892876593E-2</v>
      </c>
      <c r="H118" s="11">
        <f ca="1"/>
        <v>74.258165093533663</v>
      </c>
      <c r="I118" s="8">
        <f ca="1"/>
        <v>-0.73391100491625472</v>
      </c>
      <c r="J118">
        <f ca="1"/>
        <v>2.5872192865344203</v>
      </c>
      <c r="K118">
        <f ca="1"/>
        <v>0</v>
      </c>
      <c r="L118">
        <f ca="1"/>
        <v>2.3438191730379003</v>
      </c>
    </row>
    <row r="119" spans="2:12" x14ac:dyDescent="0.55000000000000004">
      <c r="B119">
        <v>0.218</v>
      </c>
      <c r="C119">
        <f ca="1"/>
        <v>-7.9834853955331381E-2</v>
      </c>
      <c r="D119">
        <f ca="1"/>
        <v>1</v>
      </c>
      <c r="E119">
        <f ca="1"/>
        <v>97.987822936190199</v>
      </c>
      <c r="F119" s="11">
        <f ca="1"/>
        <v>-2.4476319218020048</v>
      </c>
      <c r="G119" s="8">
        <f ca="1"/>
        <v>2.4978939713722448E-2</v>
      </c>
      <c r="H119" s="11">
        <f ca="1"/>
        <v>71.810533171731663</v>
      </c>
      <c r="I119" s="8">
        <f ca="1"/>
        <v>-0.70893206520253227</v>
      </c>
      <c r="J119">
        <f ca="1"/>
        <v>2.3438234928782862</v>
      </c>
      <c r="K119">
        <f ca="1"/>
        <v>0</v>
      </c>
      <c r="L119">
        <f ca="1"/>
        <v>2.0121770638098013</v>
      </c>
    </row>
    <row r="120" spans="2:12" x14ac:dyDescent="0.55000000000000004">
      <c r="B120">
        <v>0.22</v>
      </c>
      <c r="C120">
        <f ca="1"/>
        <v>-5.4148176267483306E-2</v>
      </c>
      <c r="D120">
        <f ca="1"/>
        <v>1</v>
      </c>
      <c r="E120">
        <f ca="1"/>
        <v>98.488574914473489</v>
      </c>
      <c r="F120" s="11">
        <f ca="1"/>
        <v>-4.464227184748383</v>
      </c>
      <c r="G120" s="8">
        <f ca="1"/>
        <v>4.532736095151213E-2</v>
      </c>
      <c r="H120" s="11">
        <f ca="1"/>
        <v>67.346305986983282</v>
      </c>
      <c r="I120" s="8">
        <f ca="1"/>
        <v>-0.66360470425102014</v>
      </c>
      <c r="J120">
        <f ca="1"/>
        <v>1.9888243587596577</v>
      </c>
      <c r="K120">
        <f ca="1"/>
        <v>0</v>
      </c>
      <c r="L120">
        <f ca="1"/>
        <v>1.5114250855265112</v>
      </c>
    </row>
    <row r="121" spans="2:12" x14ac:dyDescent="0.55000000000000004">
      <c r="B121">
        <v>0.222</v>
      </c>
      <c r="C121">
        <f ca="1"/>
        <v>-9.9211942098128281E-2</v>
      </c>
      <c r="D121">
        <f ca="1"/>
        <v>1</v>
      </c>
      <c r="E121">
        <f ca="1"/>
        <v>97.601005690164669</v>
      </c>
      <c r="F121" s="11">
        <f ca="1"/>
        <v>9.4852570644870724</v>
      </c>
      <c r="G121" s="8">
        <f ca="1"/>
        <v>-9.7184009502915503E-2</v>
      </c>
      <c r="H121" s="11">
        <f ca="1"/>
        <v>76.831563051470354</v>
      </c>
      <c r="I121" s="8">
        <f ca="1"/>
        <v>-0.76078871375393564</v>
      </c>
      <c r="J121">
        <f ca="1"/>
        <v>2.5778194713594189</v>
      </c>
      <c r="K121">
        <f ca="1"/>
        <v>0</v>
      </c>
      <c r="L121">
        <f ca="1"/>
        <v>2.3989943098353308</v>
      </c>
    </row>
    <row r="122" spans="2:12" x14ac:dyDescent="0.55000000000000004">
      <c r="B122">
        <v>0.224</v>
      </c>
      <c r="C122">
        <f ca="1"/>
        <v>-6.574105077499541E-2</v>
      </c>
      <c r="D122">
        <f ca="1"/>
        <v>1</v>
      </c>
      <c r="E122">
        <f ca="1"/>
        <v>98.252625774562517</v>
      </c>
      <c r="F122" s="11">
        <f ca="1"/>
        <v>-5.7645112295851817</v>
      </c>
      <c r="G122" s="8">
        <f ca="1"/>
        <v>5.8670302031537225E-2</v>
      </c>
      <c r="H122" s="11">
        <f ca="1"/>
        <v>71.067051821885173</v>
      </c>
      <c r="I122" s="8">
        <f ca="1"/>
        <v>-0.70211841172239842</v>
      </c>
      <c r="J122">
        <f ca="1"/>
        <v>2.0820742654941569</v>
      </c>
      <c r="K122">
        <f ca="1"/>
        <v>0</v>
      </c>
      <c r="L122">
        <f ca="1"/>
        <v>1.7473742254374827</v>
      </c>
    </row>
    <row r="123" spans="2:12" x14ac:dyDescent="0.55000000000000004">
      <c r="B123">
        <v>0.22600000000000001</v>
      </c>
      <c r="C123">
        <f ca="1"/>
        <v>-5.0540160958986377E-3</v>
      </c>
      <c r="D123">
        <f ca="1"/>
        <v>1</v>
      </c>
      <c r="E123">
        <f ca="1"/>
        <v>99.448446351421126</v>
      </c>
      <c r="F123" s="11">
        <f ca="1"/>
        <v>-13.661444724539416</v>
      </c>
      <c r="G123" s="8">
        <f ca="1"/>
        <v>0.13737212823078149</v>
      </c>
      <c r="H123" s="11">
        <f ca="1"/>
        <v>57.405607097345758</v>
      </c>
      <c r="I123" s="8">
        <f ca="1"/>
        <v>-0.56474628349161693</v>
      </c>
      <c r="J123">
        <f ca="1"/>
        <v>1.2424666213652245</v>
      </c>
      <c r="K123">
        <f ca="1"/>
        <v>0</v>
      </c>
      <c r="L123">
        <f ca="1"/>
        <v>0.55155364857887434</v>
      </c>
    </row>
    <row r="124" spans="2:12" x14ac:dyDescent="0.55000000000000004">
      <c r="B124">
        <v>0.22800000000000001</v>
      </c>
      <c r="C124">
        <f ca="1"/>
        <v>-3.2953079714728342E-2</v>
      </c>
      <c r="D124">
        <f ca="1"/>
        <v>1</v>
      </c>
      <c r="E124">
        <f ca="1"/>
        <v>98.891132174678404</v>
      </c>
      <c r="F124" s="11">
        <f ca="1"/>
        <v>7.5379243223850203</v>
      </c>
      <c r="G124" s="8">
        <f ca="1"/>
        <v>-7.6224471867409216E-2</v>
      </c>
      <c r="H124" s="11">
        <f ca="1"/>
        <v>64.943531419730775</v>
      </c>
      <c r="I124" s="8">
        <f ca="1"/>
        <v>-0.64097075535902615</v>
      </c>
      <c r="J124">
        <f ca="1"/>
        <v>1.5572077314178614</v>
      </c>
      <c r="K124">
        <f ca="1"/>
        <v>0</v>
      </c>
      <c r="L124">
        <f ca="1"/>
        <v>1.108867825321596</v>
      </c>
    </row>
    <row r="125" spans="2:12" x14ac:dyDescent="0.55000000000000004">
      <c r="B125">
        <v>0.23</v>
      </c>
      <c r="C125">
        <f ca="1"/>
        <v>-2.276177353478542E-2</v>
      </c>
      <c r="D125">
        <f ca="1"/>
        <v>1</v>
      </c>
      <c r="E125">
        <f ca="1"/>
        <v>99.088940060780217</v>
      </c>
      <c r="F125" s="11">
        <f ca="1"/>
        <v>-1.9285918334782193</v>
      </c>
      <c r="G125" s="8">
        <f ca="1"/>
        <v>1.9463240118374858E-2</v>
      </c>
      <c r="H125" s="11">
        <f ca="1"/>
        <v>63.014939586252552</v>
      </c>
      <c r="I125" s="8">
        <f ca="1"/>
        <v>-0.62150751524065129</v>
      </c>
      <c r="J125">
        <f ca="1"/>
        <v>1.4304186612472094</v>
      </c>
      <c r="K125">
        <f ca="1"/>
        <v>0</v>
      </c>
      <c r="L125">
        <f ca="1"/>
        <v>0.91105993921978268</v>
      </c>
    </row>
    <row r="126" spans="2:12" x14ac:dyDescent="0.55000000000000004">
      <c r="B126">
        <v>0.23200000000000001</v>
      </c>
      <c r="C126">
        <f ca="1"/>
        <v>-1.269021622154025E-2</v>
      </c>
      <c r="D126">
        <f ca="1"/>
        <v>1</v>
      </c>
      <c r="E126">
        <f ca="1"/>
        <v>99.284765737794203</v>
      </c>
      <c r="F126" s="11">
        <f ca="1"/>
        <v>-2.106742255681886</v>
      </c>
      <c r="G126" s="8">
        <f ca="1"/>
        <v>2.1219189470071176E-2</v>
      </c>
      <c r="H126" s="11">
        <f ca="1"/>
        <v>60.908197330570665</v>
      </c>
      <c r="I126" s="8">
        <f ca="1"/>
        <v>-0.60028832577058011</v>
      </c>
      <c r="J126">
        <f ca="1"/>
        <v>1.3087115313059314</v>
      </c>
      <c r="K126">
        <f ca="1"/>
        <v>0</v>
      </c>
      <c r="L126">
        <f ca="1"/>
        <v>0.71523426220579722</v>
      </c>
    </row>
    <row r="127" spans="2:12" x14ac:dyDescent="0.55000000000000004">
      <c r="B127">
        <v>0.23400000000000001</v>
      </c>
      <c r="C127">
        <f ca="1"/>
        <v>-3.3509029438785365E-2</v>
      </c>
      <c r="D127">
        <f ca="1"/>
        <v>1</v>
      </c>
      <c r="E127">
        <f ca="1"/>
        <v>98.86827218189066</v>
      </c>
      <c r="F127" s="11">
        <f ca="1"/>
        <v>6.7970870986732672</v>
      </c>
      <c r="G127" s="8">
        <f ca="1"/>
        <v>-6.8748921657784012E-2</v>
      </c>
      <c r="H127" s="11">
        <f ca="1"/>
        <v>67.705284429243932</v>
      </c>
      <c r="I127" s="8">
        <f ca="1"/>
        <v>-0.66903724742836412</v>
      </c>
      <c r="J127">
        <f ca="1"/>
        <v>1.5587277506734978</v>
      </c>
      <c r="K127">
        <f ca="1"/>
        <v>0</v>
      </c>
      <c r="L127">
        <f ca="1"/>
        <v>1.13172781810934</v>
      </c>
    </row>
    <row r="128" spans="2:12" x14ac:dyDescent="0.55000000000000004">
      <c r="B128">
        <v>0.23600000000000002</v>
      </c>
      <c r="C128">
        <f ca="1"/>
        <v>-7.6322781120411604E-2</v>
      </c>
      <c r="D128">
        <f ca="1"/>
        <v>1</v>
      </c>
      <c r="E128">
        <f ca="1"/>
        <v>98.021381139231494</v>
      </c>
      <c r="F128" s="11">
        <f ca="1"/>
        <v>12.590569077897813</v>
      </c>
      <c r="G128" s="8">
        <f ca="1"/>
        <v>-0.12844717072506784</v>
      </c>
      <c r="H128" s="11">
        <f ca="1"/>
        <v>80.295853507141743</v>
      </c>
      <c r="I128" s="8">
        <f ca="1"/>
        <v>-0.79748441815343196</v>
      </c>
      <c r="J128">
        <f ca="1"/>
        <v>2.1253294027259244</v>
      </c>
      <c r="K128">
        <f ca="1"/>
        <v>0</v>
      </c>
      <c r="L128">
        <f ca="1"/>
        <v>1.9786188607685062</v>
      </c>
    </row>
    <row r="129" spans="2:12" x14ac:dyDescent="0.55000000000000004">
      <c r="B129">
        <v>0.23800000000000002</v>
      </c>
      <c r="C129">
        <f ca="1"/>
        <v>-8.8306861927273356E-2</v>
      </c>
      <c r="D129">
        <f ca="1"/>
        <v>1</v>
      </c>
      <c r="E129">
        <f ca="1"/>
        <v>97.782811846319134</v>
      </c>
      <c r="F129" s="11">
        <f ca="1"/>
        <v>4.5812112887270207</v>
      </c>
      <c r="G129" s="8">
        <f ca="1"/>
        <v>-4.6850885162998845E-2</v>
      </c>
      <c r="H129" s="11">
        <f ca="1"/>
        <v>84.877064795868762</v>
      </c>
      <c r="I129" s="8">
        <f ca="1"/>
        <v>-0.84433530331643081</v>
      </c>
      <c r="J129">
        <f ca="1"/>
        <v>2.3155846964734081</v>
      </c>
      <c r="K129">
        <f ca="1"/>
        <v>0</v>
      </c>
      <c r="L129">
        <f ca="1"/>
        <v>2.2171881536808655</v>
      </c>
    </row>
    <row r="130" spans="2:12" x14ac:dyDescent="0.55000000000000004">
      <c r="B130">
        <v>0.24</v>
      </c>
      <c r="C130">
        <f ca="1"/>
        <v>-0.10886471013441339</v>
      </c>
      <c r="D130">
        <f ca="1"/>
        <v>1</v>
      </c>
      <c r="E130">
        <f ca="1"/>
        <v>97.37770119759773</v>
      </c>
      <c r="F130" s="11">
        <f ca="1"/>
        <v>6.0394757541373609</v>
      </c>
      <c r="G130" s="8">
        <f ca="1"/>
        <v>-6.2021137076157973E-2</v>
      </c>
      <c r="H130" s="11">
        <f ca="1"/>
        <v>90.916540550006118</v>
      </c>
      <c r="I130" s="8">
        <f ca="1"/>
        <v>-0.90635644039258878</v>
      </c>
      <c r="J130">
        <f ca="1"/>
        <v>2.6576339189383162</v>
      </c>
      <c r="K130">
        <f ca="1"/>
        <v>0</v>
      </c>
      <c r="L130">
        <f ca="1"/>
        <v>2.6222988024022698</v>
      </c>
    </row>
    <row r="131" spans="2:12" x14ac:dyDescent="0.55000000000000004">
      <c r="B131">
        <v>0.24199999999999999</v>
      </c>
      <c r="C131">
        <f ca="1"/>
        <v>-0.15634737220641645</v>
      </c>
      <c r="D131">
        <f ca="1"/>
        <v>1</v>
      </c>
      <c r="E131">
        <f ca="1"/>
        <v>96.453469580618346</v>
      </c>
      <c r="F131" s="11">
        <f ca="1"/>
        <v>6.8876200951868096</v>
      </c>
      <c r="G131" s="8">
        <f ca="1"/>
        <v>-7.1408733404141111E-2</v>
      </c>
      <c r="H131" s="11">
        <f ca="1"/>
        <v>97.804160645192923</v>
      </c>
      <c r="I131" s="8">
        <f ca="1"/>
        <v>-0.97776517379672989</v>
      </c>
      <c r="J131">
        <f ca="1"/>
        <v>3.4953171974020307</v>
      </c>
      <c r="K131">
        <f ca="1"/>
        <v>0</v>
      </c>
      <c r="L131">
        <f ca="1"/>
        <v>3.5465304193816536</v>
      </c>
    </row>
    <row r="132" spans="2:12" x14ac:dyDescent="0.55000000000000004">
      <c r="B132">
        <v>0.24399999999999999</v>
      </c>
      <c r="C132">
        <f ca="1"/>
        <v>-0.19270929678582197</v>
      </c>
      <c r="D132">
        <f ca="1"/>
        <v>1</v>
      </c>
      <c r="E132">
        <f ca="1"/>
        <v>95.750737140931392</v>
      </c>
      <c r="F132" s="11">
        <f ca="1"/>
        <v>1.8806237215454096</v>
      </c>
      <c r="G132" s="8">
        <f ca="1"/>
        <v>-1.9640827608224054E-2</v>
      </c>
      <c r="H132" s="11">
        <f ca="1"/>
        <v>99.684784366738327</v>
      </c>
      <c r="I132" s="8">
        <f ca="1"/>
        <v>-0.99740600140495395</v>
      </c>
      <c r="J132">
        <f ca="1"/>
        <v>4.1824245034251391</v>
      </c>
      <c r="K132">
        <f ca="1"/>
        <v>0</v>
      </c>
      <c r="L132">
        <f ca="1"/>
        <v>4.2492628590686081</v>
      </c>
    </row>
    <row r="133" spans="2:12" x14ac:dyDescent="0.55000000000000004">
      <c r="B133">
        <v>0.246</v>
      </c>
      <c r="C133">
        <f ca="1"/>
        <v>-0.20264684375602277</v>
      </c>
      <c r="D133">
        <f ca="1"/>
        <v>1</v>
      </c>
      <c r="E133">
        <f ca="1"/>
        <v>95.556798294745022</v>
      </c>
      <c r="F133" s="11">
        <f ca="1"/>
        <v>0.23187762539617165</v>
      </c>
      <c r="G133" s="8">
        <f ca="1"/>
        <v>-2.4265947534255483E-3</v>
      </c>
      <c r="H133" s="11">
        <f ca="1"/>
        <v>99.916661992134493</v>
      </c>
      <c r="I133" s="8">
        <f ca="1"/>
        <v>-0.99983259615837949</v>
      </c>
      <c r="J133">
        <f ca="1"/>
        <v>4.3758602725169737</v>
      </c>
      <c r="K133">
        <f ca="1"/>
        <v>0</v>
      </c>
      <c r="L133">
        <f ca="1"/>
        <v>4.4432017052549782</v>
      </c>
    </row>
    <row r="134" spans="2:12" x14ac:dyDescent="0.55000000000000004">
      <c r="B134">
        <v>0.248</v>
      </c>
      <c r="C134">
        <f ca="1"/>
        <v>-0.16444359735760677</v>
      </c>
      <c r="D134">
        <f ca="1"/>
        <v>1</v>
      </c>
      <c r="E134">
        <f ca="1"/>
        <v>96.285859163045345</v>
      </c>
      <c r="F134" s="11">
        <f ca="1"/>
        <v>1.497919077713295E-2</v>
      </c>
      <c r="G134" s="8">
        <f ca="1"/>
        <v>-1.5556999654298131E-4</v>
      </c>
      <c r="H134" s="11">
        <f ca="1"/>
        <v>99.931641182911619</v>
      </c>
      <c r="I134" s="8">
        <f ca="1"/>
        <v>-0.99998816615492248</v>
      </c>
      <c r="J134">
        <f ca="1"/>
        <v>3.6469214518067616</v>
      </c>
      <c r="K134">
        <f ca="1"/>
        <v>0</v>
      </c>
      <c r="L134">
        <f ca="1"/>
        <v>3.7141408369546554</v>
      </c>
    </row>
    <row r="135" spans="2:12" x14ac:dyDescent="0.55000000000000004">
      <c r="B135">
        <v>0.25</v>
      </c>
      <c r="C135">
        <f ca="1"/>
        <v>-0.17907972887618454</v>
      </c>
      <c r="D135">
        <f ca="1"/>
        <v>1</v>
      </c>
      <c r="E135">
        <f ca="1"/>
        <v>96.000580681277953</v>
      </c>
      <c r="F135" s="11">
        <f ca="1"/>
        <v>-99.931641182911619</v>
      </c>
      <c r="G135" s="8">
        <f ca="1"/>
        <v>0.99998816615492248</v>
      </c>
      <c r="H135" s="11">
        <f ca="1"/>
        <v>0</v>
      </c>
      <c r="I135" s="8">
        <f ca="1"/>
        <v>0</v>
      </c>
      <c r="J135">
        <f ca="1"/>
        <v>0</v>
      </c>
      <c r="K135">
        <f ca="1"/>
        <v>3.9321965576328068</v>
      </c>
      <c r="L135">
        <f ca="1"/>
        <v>3.9994193187220475</v>
      </c>
    </row>
    <row r="136" spans="2:12" x14ac:dyDescent="0.55000000000000004">
      <c r="F136" s="11"/>
      <c r="G136" s="8"/>
      <c r="H136" s="11"/>
      <c r="I136" s="8"/>
    </row>
    <row r="137" spans="2:12" x14ac:dyDescent="0.55000000000000004">
      <c r="F137" s="11"/>
      <c r="G137" s="8"/>
      <c r="H137" s="11"/>
      <c r="I137" s="8"/>
    </row>
    <row r="138" spans="2:12" x14ac:dyDescent="0.55000000000000004">
      <c r="F138" s="11"/>
      <c r="G138" s="8"/>
      <c r="H138" s="11"/>
      <c r="I138" s="8"/>
    </row>
    <row r="139" spans="2:12" x14ac:dyDescent="0.55000000000000004">
      <c r="F139" s="11"/>
      <c r="G139" s="8"/>
      <c r="H139" s="11"/>
      <c r="I139" s="8"/>
    </row>
    <row r="140" spans="2:12" x14ac:dyDescent="0.55000000000000004">
      <c r="F140" s="11"/>
      <c r="G140" s="8"/>
      <c r="H140" s="11"/>
      <c r="I140" s="8"/>
    </row>
    <row r="141" spans="2:12" x14ac:dyDescent="0.55000000000000004">
      <c r="F141" s="11"/>
      <c r="G141" s="8"/>
      <c r="H141" s="11"/>
      <c r="I141" s="8"/>
    </row>
    <row r="142" spans="2:12" x14ac:dyDescent="0.55000000000000004">
      <c r="F142" s="11"/>
      <c r="G142" s="8"/>
      <c r="H142" s="11"/>
      <c r="I142" s="8"/>
    </row>
    <row r="143" spans="2:12" x14ac:dyDescent="0.55000000000000004">
      <c r="F143" s="11"/>
      <c r="G143" s="8"/>
      <c r="I143" s="8"/>
    </row>
    <row r="144" spans="2:12" x14ac:dyDescent="0.55000000000000004">
      <c r="F144" s="11"/>
      <c r="G144" s="8"/>
      <c r="I144" s="8"/>
    </row>
    <row r="145" spans="6:9" x14ac:dyDescent="0.55000000000000004">
      <c r="F145" s="11"/>
      <c r="G145" s="8"/>
      <c r="I145" s="8"/>
    </row>
    <row r="146" spans="6:9" x14ac:dyDescent="0.55000000000000004">
      <c r="F146" s="11"/>
      <c r="G146" s="8"/>
      <c r="I146" s="8"/>
    </row>
    <row r="147" spans="6:9" x14ac:dyDescent="0.55000000000000004">
      <c r="F147" s="11"/>
      <c r="G147" s="8"/>
      <c r="I147" s="8"/>
    </row>
    <row r="148" spans="6:9" x14ac:dyDescent="0.55000000000000004">
      <c r="F148" s="11"/>
      <c r="G148" s="8"/>
      <c r="I148" s="8"/>
    </row>
    <row r="149" spans="6:9" x14ac:dyDescent="0.55000000000000004">
      <c r="F149" s="11"/>
      <c r="G149" s="8"/>
      <c r="I149" s="8"/>
    </row>
    <row r="150" spans="6:9" x14ac:dyDescent="0.55000000000000004">
      <c r="F150" s="11"/>
      <c r="G150" s="8"/>
      <c r="I150" s="8"/>
    </row>
    <row r="151" spans="6:9" x14ac:dyDescent="0.55000000000000004">
      <c r="F151" s="11"/>
      <c r="G151" s="8"/>
      <c r="I151" s="8"/>
    </row>
    <row r="152" spans="6:9" x14ac:dyDescent="0.55000000000000004">
      <c r="F152" s="11"/>
      <c r="G152" s="8"/>
      <c r="I152" s="8"/>
    </row>
    <row r="153" spans="6:9" x14ac:dyDescent="0.55000000000000004">
      <c r="F153" s="11"/>
      <c r="G153" s="8"/>
      <c r="I153" s="8"/>
    </row>
    <row r="154" spans="6:9" x14ac:dyDescent="0.55000000000000004">
      <c r="F154" s="11"/>
      <c r="G154" s="8"/>
      <c r="I154" s="8"/>
    </row>
    <row r="155" spans="6:9" x14ac:dyDescent="0.55000000000000004">
      <c r="F155" s="11"/>
      <c r="G155" s="8"/>
      <c r="I155" s="8"/>
    </row>
    <row r="156" spans="6:9" x14ac:dyDescent="0.55000000000000004">
      <c r="F156" s="11"/>
      <c r="G156" s="8"/>
      <c r="I156" s="8"/>
    </row>
    <row r="157" spans="6:9" x14ac:dyDescent="0.55000000000000004">
      <c r="F157" s="11"/>
      <c r="G157" s="8"/>
      <c r="I157" s="8"/>
    </row>
    <row r="158" spans="6:9" x14ac:dyDescent="0.55000000000000004">
      <c r="F158" s="11"/>
      <c r="G158" s="8"/>
      <c r="I158" s="8"/>
    </row>
    <row r="159" spans="6:9" x14ac:dyDescent="0.55000000000000004">
      <c r="F159" s="11"/>
      <c r="G159" s="8"/>
      <c r="I159" s="8"/>
    </row>
    <row r="160" spans="6:9" x14ac:dyDescent="0.55000000000000004">
      <c r="F160" s="11"/>
      <c r="G160" s="8"/>
      <c r="I160" s="8"/>
    </row>
    <row r="161" spans="6:9" x14ac:dyDescent="0.55000000000000004">
      <c r="F161" s="11"/>
      <c r="G161" s="8"/>
      <c r="I161" s="8"/>
    </row>
    <row r="162" spans="6:9" x14ac:dyDescent="0.55000000000000004">
      <c r="F162" s="11"/>
      <c r="G162" s="8"/>
      <c r="I162" s="8"/>
    </row>
    <row r="163" spans="6:9" x14ac:dyDescent="0.55000000000000004">
      <c r="F163" s="11"/>
      <c r="G163" s="8"/>
      <c r="I163" s="8"/>
    </row>
    <row r="164" spans="6:9" x14ac:dyDescent="0.55000000000000004">
      <c r="F164" s="11"/>
      <c r="G164" s="8"/>
      <c r="I164" s="8"/>
    </row>
    <row r="165" spans="6:9" x14ac:dyDescent="0.55000000000000004">
      <c r="F165" s="11"/>
      <c r="G165" s="8"/>
    </row>
    <row r="166" spans="6:9" x14ac:dyDescent="0.55000000000000004">
      <c r="F166" s="11"/>
      <c r="G166" s="8"/>
    </row>
    <row r="167" spans="6:9" x14ac:dyDescent="0.55000000000000004">
      <c r="F167" s="11"/>
      <c r="G167" s="8"/>
    </row>
    <row r="168" spans="6:9" x14ac:dyDescent="0.55000000000000004">
      <c r="F168" s="11"/>
      <c r="G168" s="8"/>
    </row>
    <row r="169" spans="6:9" x14ac:dyDescent="0.55000000000000004">
      <c r="F169" s="11"/>
      <c r="G169" s="8"/>
    </row>
    <row r="170" spans="6:9" x14ac:dyDescent="0.55000000000000004">
      <c r="F170" s="11"/>
      <c r="G170" s="8"/>
    </row>
    <row r="171" spans="6:9" x14ac:dyDescent="0.55000000000000004">
      <c r="F171" s="11"/>
      <c r="G171" s="8"/>
    </row>
    <row r="172" spans="6:9" x14ac:dyDescent="0.55000000000000004">
      <c r="F172" s="11"/>
      <c r="G172" s="8"/>
    </row>
    <row r="173" spans="6:9" x14ac:dyDescent="0.55000000000000004">
      <c r="F173" s="11"/>
      <c r="G173" s="8"/>
    </row>
    <row r="174" spans="6:9" x14ac:dyDescent="0.55000000000000004">
      <c r="F174" s="11"/>
      <c r="G174" s="8"/>
    </row>
    <row r="175" spans="6:9" x14ac:dyDescent="0.55000000000000004">
      <c r="F175" s="11"/>
      <c r="G175" s="8"/>
    </row>
    <row r="176" spans="6:9" x14ac:dyDescent="0.55000000000000004">
      <c r="F176" s="11"/>
      <c r="G176" s="8"/>
    </row>
    <row r="177" spans="6:7" x14ac:dyDescent="0.55000000000000004">
      <c r="F177" s="11"/>
      <c r="G177" s="8"/>
    </row>
    <row r="178" spans="6:7" x14ac:dyDescent="0.55000000000000004">
      <c r="F178" s="11"/>
      <c r="G178" s="8"/>
    </row>
    <row r="179" spans="6:7" x14ac:dyDescent="0.55000000000000004">
      <c r="F179" s="11"/>
      <c r="G179" s="8"/>
    </row>
    <row r="180" spans="6:7" x14ac:dyDescent="0.55000000000000004">
      <c r="F180" s="11"/>
      <c r="G180" s="8"/>
    </row>
    <row r="181" spans="6:7" x14ac:dyDescent="0.55000000000000004">
      <c r="F181" s="11"/>
      <c r="G181" s="8"/>
    </row>
    <row r="182" spans="6:7" x14ac:dyDescent="0.55000000000000004">
      <c r="F182" s="11"/>
      <c r="G182" s="8"/>
    </row>
    <row r="183" spans="6:7" x14ac:dyDescent="0.55000000000000004">
      <c r="F183" s="11"/>
      <c r="G183" s="8"/>
    </row>
    <row r="184" spans="6:7" x14ac:dyDescent="0.55000000000000004">
      <c r="F184" s="11"/>
      <c r="G184" s="8"/>
    </row>
    <row r="185" spans="6:7" x14ac:dyDescent="0.55000000000000004">
      <c r="F185" s="11"/>
      <c r="G185" s="8"/>
    </row>
    <row r="186" spans="6:7" x14ac:dyDescent="0.55000000000000004">
      <c r="F186" s="11"/>
      <c r="G186" s="8"/>
    </row>
    <row r="187" spans="6:7" x14ac:dyDescent="0.55000000000000004">
      <c r="G187" s="8"/>
    </row>
    <row r="188" spans="6:7" x14ac:dyDescent="0.55000000000000004">
      <c r="G188" s="8"/>
    </row>
    <row r="189" spans="6:7" x14ac:dyDescent="0.55000000000000004">
      <c r="G189" s="8"/>
    </row>
    <row r="190" spans="6:7" x14ac:dyDescent="0.55000000000000004">
      <c r="G190" s="8"/>
    </row>
    <row r="191" spans="6:7" x14ac:dyDescent="0.55000000000000004">
      <c r="G191" s="8"/>
    </row>
    <row r="192" spans="6:7" x14ac:dyDescent="0.55000000000000004">
      <c r="G192" s="8"/>
    </row>
    <row r="193" spans="7:7" x14ac:dyDescent="0.55000000000000004">
      <c r="G193" s="8"/>
    </row>
    <row r="194" spans="7:7" x14ac:dyDescent="0.55000000000000004">
      <c r="G194" s="8"/>
    </row>
    <row r="195" spans="7:7" x14ac:dyDescent="0.55000000000000004">
      <c r="G195" s="8"/>
    </row>
    <row r="196" spans="7:7" x14ac:dyDescent="0.55000000000000004">
      <c r="G196" s="8"/>
    </row>
    <row r="197" spans="7:7" x14ac:dyDescent="0.55000000000000004">
      <c r="G197" s="8"/>
    </row>
    <row r="198" spans="7:7" x14ac:dyDescent="0.55000000000000004">
      <c r="G198" s="8"/>
    </row>
    <row r="199" spans="7:7" x14ac:dyDescent="0.55000000000000004">
      <c r="G199" s="8"/>
    </row>
    <row r="200" spans="7:7" x14ac:dyDescent="0.55000000000000004">
      <c r="G200" s="8"/>
    </row>
    <row r="201" spans="7:7" x14ac:dyDescent="0.55000000000000004">
      <c r="G201" s="8"/>
    </row>
    <row r="202" spans="7:7" x14ac:dyDescent="0.55000000000000004">
      <c r="G202" s="8"/>
    </row>
    <row r="203" spans="7:7" x14ac:dyDescent="0.55000000000000004">
      <c r="G203" s="8"/>
    </row>
    <row r="204" spans="7:7" x14ac:dyDescent="0.55000000000000004">
      <c r="G204" s="8"/>
    </row>
    <row r="205" spans="7:7" x14ac:dyDescent="0.55000000000000004">
      <c r="G205" s="8"/>
    </row>
    <row r="206" spans="7:7" x14ac:dyDescent="0.55000000000000004">
      <c r="G206" s="8"/>
    </row>
    <row r="207" spans="7:7" x14ac:dyDescent="0.55000000000000004">
      <c r="G207" s="8"/>
    </row>
    <row r="208" spans="7:7" x14ac:dyDescent="0.55000000000000004">
      <c r="G208" s="8"/>
    </row>
  </sheetData>
  <mergeCells count="3">
    <mergeCell ref="D8:E8"/>
    <mergeCell ref="F8:G8"/>
    <mergeCell ref="H8:I8"/>
  </mergeCell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11</vt:i4>
      </vt:variant>
    </vt:vector>
  </HeadingPairs>
  <TitlesOfParts>
    <vt:vector size="13" baseType="lpstr">
      <vt:lpstr>Elementary</vt:lpstr>
      <vt:lpstr>Simulation</vt:lpstr>
      <vt:lpstr>dt</vt:lpstr>
      <vt:lpstr>error</vt:lpstr>
      <vt:lpstr>f</vt:lpstr>
      <vt:lpstr>hedge</vt:lpstr>
      <vt:lpstr>k</vt:lpstr>
      <vt:lpstr>last</vt:lpstr>
      <vt:lpstr>mu</vt:lpstr>
      <vt:lpstr>payoff</vt:lpstr>
      <vt:lpstr>put</vt:lpstr>
      <vt:lpstr>sigma</vt:lpstr>
      <vt:lpstr>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Keith Lewis</cp:lastModifiedBy>
  <dcterms:created xsi:type="dcterms:W3CDTF">2026-02-23T20:58:14Z</dcterms:created>
  <dcterms:modified xsi:type="dcterms:W3CDTF">2026-02-27T21:37:54Z</dcterms:modified>
</cp:coreProperties>
</file>