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7228\source\repos\xll_ml\xlsx\"/>
    </mc:Choice>
  </mc:AlternateContent>
  <xr:revisionPtr revIDLastSave="0" documentId="13_ncr:1_{2D5A5175-1B63-4354-B85D-988BE8C0EEBF}" xr6:coauthVersionLast="47" xr6:coauthVersionMax="47" xr10:uidLastSave="{00000000-0000-0000-0000-000000000000}"/>
  <bookViews>
    <workbookView xWindow="-110" yWindow="-110" windowWidth="19420" windowHeight="10300" activeTab="2" xr2:uid="{5E38A752-04D7-4C78-952F-E31FCF3159F7}"/>
  </bookViews>
  <sheets>
    <sheet name="Elementary" sheetId="1" r:id="rId1"/>
    <sheet name="Simulation" sheetId="4" r:id="rId2"/>
    <sheet name="Plot" sheetId="6" r:id="rId3"/>
  </sheets>
  <definedNames>
    <definedName name="_M">_xlfn.ANCHORARRAY(Simulation!$H$10)</definedName>
    <definedName name="_N">_xlfn.ANCHORARRAY(Simulation!$I$10)</definedName>
    <definedName name="A">_xlfn.ANCHORARRAY(Simulation!$K$10)</definedName>
    <definedName name="ad">_xlfn.LAMBDA(_xlpm.x, _xlfn.VSTACK(_xlfn.TAKE(_xlpm.x,1), _xlfn.DROP(_xlpm.x,1) - _xlfn.DROP(_xlpm.x,-1)))</definedName>
    <definedName name="B_">_xlfn.ANCHORARRAY(Simulation!$C$10)</definedName>
    <definedName name="co">_xlfn.LAMBDA(_xlpm.x,_xlfn.LET(_xlpm.x_,_xlfn.DROP(_xlpm.x,-1),_xlfn.VSTACK(_xlpm.x_, -SUM(_xlpm.x_))))</definedName>
    <definedName name="dt">Simulation!$C$6</definedName>
    <definedName name="error">Simulation!$G$6</definedName>
    <definedName name="f">Simulation!$C$3</definedName>
    <definedName name="hedge">Simulation!$G$5</definedName>
    <definedName name="k">Simulation!$C$7</definedName>
    <definedName name="last">Simulation!$G$3</definedName>
    <definedName name="M">_xlfn.ANCHORARRAY(Simulation!$F$10)</definedName>
    <definedName name="mu">Simulation!$C$2</definedName>
    <definedName name="N">_xlfn.ANCHORARRAY(Simulation!$G$10)</definedName>
    <definedName name="payoff">Simulation!$G$4</definedName>
    <definedName name="put">Simulation!$G$2</definedName>
    <definedName name="R_">_xlfn.ANCHORARRAY(Simulation!$D$10)</definedName>
    <definedName name="S_">_xlfn.ANCHORARRAY(Simulation!$E$10)</definedName>
    <definedName name="sigma">Simulation!$C$4</definedName>
    <definedName name="t">Simulation!$C$5</definedName>
    <definedName name="t_">_xlfn.ANCHORARRAY(Simulation!$B$10)</definedName>
    <definedName name="V">_xlfn.ANCHORARRAY(Simulation!$J$10)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6" l="1" a="1"/>
  <c r="B3" i="6" s="1"/>
  <c r="D3" i="6" s="1"/>
  <c r="P9" i="4" a="1"/>
  <c r="P9" i="4" s="1"/>
  <c r="E4" i="6"/>
  <c r="E5" i="6"/>
  <c r="E6" i="6"/>
  <c r="E7" i="6"/>
  <c r="E8" i="6"/>
  <c r="E9" i="6"/>
  <c r="E10" i="6"/>
  <c r="E11" i="6"/>
  <c r="E12" i="6"/>
  <c r="E3" i="6"/>
  <c r="P3" i="4" a="1"/>
  <c r="P3" i="4" s="1"/>
  <c r="O3" i="4" a="1"/>
  <c r="O3" i="4" s="1"/>
  <c r="H4" i="1"/>
  <c r="F5" i="1"/>
  <c r="D5" i="1"/>
  <c r="D4" i="1"/>
  <c r="J2" i="4" a="1"/>
  <c r="I2" i="4" a="1"/>
  <c r="G2" i="4" a="1"/>
  <c r="K2" i="4" a="1"/>
  <c r="B10" i="4" a="1"/>
  <c r="B1" i="4" a="1"/>
  <c r="D5" i="6" l="1"/>
  <c r="D10" i="6"/>
  <c r="D12" i="6"/>
  <c r="D4" i="6"/>
  <c r="D8" i="6"/>
  <c r="D7" i="6"/>
  <c r="D6" i="6"/>
  <c r="D11" i="6"/>
  <c r="D9" i="6"/>
  <c r="B1" i="4"/>
  <c r="N21" i="4"/>
  <c r="P20" i="4"/>
  <c r="K2" i="4"/>
  <c r="J2" i="4"/>
  <c r="I2" i="4"/>
  <c r="G2" i="4"/>
  <c r="B10" i="4"/>
  <c r="K5" i="1"/>
  <c r="E4" i="1"/>
  <c r="C10" i="4" a="1"/>
  <c r="M14" i="4" l="1"/>
  <c r="C10" i="4"/>
  <c r="L2" i="4"/>
  <c r="M2" i="4" s="1"/>
  <c r="G4" i="1"/>
  <c r="E5" i="1"/>
  <c r="J5" i="1" s="1"/>
  <c r="L5" i="1" s="1"/>
  <c r="J4" i="1"/>
  <c r="M20" i="4" a="1"/>
  <c r="M21" i="4" l="1"/>
  <c r="M20" i="4"/>
  <c r="E10" i="4" a="1"/>
  <c r="D10" i="4" a="1"/>
  <c r="D10" i="4" s="1"/>
  <c r="G5" i="1" a="1"/>
  <c r="G5" i="1" s="1"/>
  <c r="I5" i="1" s="1"/>
  <c r="I4" i="1"/>
  <c r="M16" i="4" a="1"/>
  <c r="O20" i="4" a="1"/>
  <c r="M16" i="4" l="1"/>
  <c r="N14" i="4"/>
  <c r="O20" i="4"/>
  <c r="O21" i="4"/>
  <c r="E10" i="4"/>
  <c r="I10" i="4" s="1" a="1"/>
  <c r="I10" i="4" s="1"/>
  <c r="N16" i="4" l="1"/>
  <c r="L10" i="4" a="1"/>
  <c r="L10" i="4" s="1"/>
  <c r="G3" i="4" a="1"/>
  <c r="G3" i="4" s="1"/>
  <c r="G4" i="4" l="1"/>
  <c r="G10" i="4" a="1"/>
  <c r="M11" i="4" s="1"/>
  <c r="H4" i="4" a="1"/>
  <c r="I4" i="4" l="1"/>
  <c r="H4" i="4"/>
  <c r="G10" i="4"/>
  <c r="M10" i="4" s="1"/>
  <c r="F10" i="4" l="1" a="1"/>
  <c r="F10" i="4" l="1"/>
  <c r="K10" i="4" s="1" a="1"/>
  <c r="N11" i="4"/>
  <c r="H10" i="4" l="1" a="1"/>
  <c r="H10" i="4" s="1"/>
  <c r="J10" i="4" s="1" a="1"/>
  <c r="J10" i="4" s="1"/>
  <c r="N10" i="4"/>
  <c r="K10" i="4"/>
  <c r="G5" i="4" s="1" a="1"/>
  <c r="G5" i="4" s="1"/>
  <c r="G6" i="4" l="1"/>
  <c r="H6" i="4" a="1"/>
  <c r="H6" i="4" l="1"/>
  <c r="I6" i="4"/>
  <c r="J6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Keith Lewis</author>
  </authors>
  <commentList>
    <comment ref="H4" authorId="0" shapeId="0" xr:uid="{11EC72C2-EA02-4BCF-BE17-CDD3CFEC86F9}">
      <text>
        <r>
          <rPr>
            <b/>
            <sz val="11"/>
            <color indexed="81"/>
            <rFont val="Tahoma"/>
            <family val="2"/>
          </rPr>
          <t>E[max(k - F, 0)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<sst xmlns="http://schemas.openxmlformats.org/spreadsheetml/2006/main" count="49" uniqueCount="37">
  <si>
    <t>X</t>
  </si>
  <si>
    <t>t</t>
  </si>
  <si>
    <t>R</t>
  </si>
  <si>
    <t>S</t>
  </si>
  <si>
    <t>M</t>
  </si>
  <si>
    <t>N</t>
  </si>
  <si>
    <t>\M</t>
  </si>
  <si>
    <t>\N</t>
  </si>
  <si>
    <t>V</t>
  </si>
  <si>
    <t>A</t>
  </si>
  <si>
    <t>Γ</t>
  </si>
  <si>
    <t>(Δ+Γ).X</t>
  </si>
  <si>
    <t>-Γ.X</t>
  </si>
  <si>
    <t>Δ+Γ</t>
  </si>
  <si>
    <t>sigma</t>
  </si>
  <si>
    <t>mu</t>
  </si>
  <si>
    <t>f</t>
  </si>
  <si>
    <t>k</t>
  </si>
  <si>
    <t>R_</t>
  </si>
  <si>
    <t>S_</t>
  </si>
  <si>
    <t>put</t>
  </si>
  <si>
    <t>dt</t>
  </si>
  <si>
    <t>t_</t>
  </si>
  <si>
    <t>B_</t>
  </si>
  <si>
    <t>payoff</t>
  </si>
  <si>
    <t>hedge</t>
  </si>
  <si>
    <t>_M</t>
  </si>
  <si>
    <t>_N</t>
  </si>
  <si>
    <t>last</t>
  </si>
  <si>
    <t>error</t>
  </si>
  <si>
    <t>accuracy</t>
  </si>
  <si>
    <t>intrinsic</t>
  </si>
  <si>
    <t>dt</t>
    <phoneticPr fontId="13" type="noConversion"/>
  </si>
  <si>
    <t>accuracy</t>
    <phoneticPr fontId="13" type="noConversion"/>
  </si>
  <si>
    <t>log_dt</t>
    <phoneticPr fontId="13" type="noConversion"/>
  </si>
  <si>
    <t>log_acc</t>
    <phoneticPr fontId="13" type="noConversion"/>
  </si>
  <si>
    <t>There is no clear relationship in this case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</si>
</sst>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(* #,##0.00_);_(* \(#,##0.00\);_(* &quot;-&quot;??_);_(@_)"/>
    <numFmt numFmtId="177" formatCode="&quot;0x&quot;#"/>
    <numFmt numFmtId="178" formatCode="0.0000"/>
    <numFmt numFmtId="179" formatCode="0.000"/>
    <numFmt numFmtId="180" formatCode="0.0%"/>
    <numFmt numFmtId="181" formatCode="_(* #,##0_);_(* \(#,##0\);_(* &quot;-&quot;??_);_(@_)"/>
  </numFmts>
  <fonts count="15">
    <font>
      <sz val="14"/>
      <color theme="1"/>
      <name val="等线"/>
      <family val="2"/>
      <scheme val="minor"/>
    </font>
    <font>
      <sz val="14"/>
      <color theme="1"/>
      <name val="Aptos Narrow"/>
      <family val="2"/>
    </font>
    <font>
      <b/>
      <sz val="14"/>
      <color theme="0"/>
      <name val="等线"/>
      <family val="2"/>
      <scheme val="minor"/>
    </font>
    <font>
      <sz val="8"/>
      <color indexed="63"/>
      <name val="等线"/>
      <family val="2"/>
      <scheme val="minor"/>
    </font>
    <font>
      <b/>
      <sz val="11"/>
      <color indexed="81"/>
      <name val="Tahoma"/>
      <family val="2"/>
    </font>
    <font>
      <sz val="14"/>
      <color theme="0" tint="-0.34998626667073579"/>
      <name val="等线"/>
      <family val="2"/>
      <scheme val="minor"/>
    </font>
    <font>
      <sz val="14"/>
      <color theme="1"/>
      <name val="等线"/>
      <family val="2"/>
      <scheme val="minor"/>
    </font>
    <font>
      <b/>
      <sz val="14"/>
      <color rgb="FF3F3F3F"/>
      <name val="等线"/>
      <family val="2"/>
      <scheme val="minor"/>
    </font>
    <font>
      <sz val="14"/>
      <color rgb="FF3F3F76"/>
      <name val="等线"/>
      <family val="2"/>
      <scheme val="minor"/>
    </font>
    <font>
      <b/>
      <sz val="14"/>
      <color rgb="FFFA7D00"/>
      <name val="等线"/>
      <family val="2"/>
      <scheme val="minor"/>
    </font>
    <font>
      <b/>
      <sz val="14"/>
      <color theme="1"/>
      <name val="等线"/>
      <family val="2"/>
      <scheme val="minor"/>
    </font>
    <font>
      <sz val="12"/>
      <color theme="1"/>
      <name val="等线"/>
      <family val="2"/>
      <scheme val="minor"/>
    </font>
    <font>
      <sz val="14"/>
      <color theme="0" tint="-0.499984740745262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4"/>
      <color theme="1"/>
      <name val="等线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F2F2F2"/>
      </patternFill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8">
    <xf numFmtId="0" fontId="0" fillId="0" borderId="0"/>
    <xf numFmtId="0" fontId="2" fillId="2" borderId="2" applyNumberFormat="0" applyAlignment="0" applyProtection="0"/>
    <xf numFmtId="177" fontId="3" fillId="0" borderId="0">
      <alignment horizontal="center" vertical="center"/>
    </xf>
    <xf numFmtId="9" fontId="6" fillId="0" borderId="0" applyFont="0" applyFill="0" applyBorder="0" applyAlignment="0" applyProtection="0"/>
    <xf numFmtId="0" fontId="7" fillId="3" borderId="3" applyNumberFormat="0" applyAlignment="0" applyProtection="0"/>
    <xf numFmtId="176" fontId="6" fillId="0" borderId="0" applyFont="0" applyFill="0" applyBorder="0" applyAlignment="0" applyProtection="0"/>
    <xf numFmtId="0" fontId="8" fillId="4" borderId="4" applyNumberFormat="0" applyAlignment="0" applyProtection="0"/>
    <xf numFmtId="0" fontId="9" fillId="3" borderId="4" applyNumberFormat="0" applyAlignment="0" applyProtection="0"/>
  </cellStyleXfs>
  <cellXfs count="2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quotePrefix="1" applyFont="1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center"/>
    </xf>
    <xf numFmtId="0" fontId="2" fillId="2" borderId="2" xfId="1"/>
    <xf numFmtId="0" fontId="5" fillId="0" borderId="0" xfId="0" applyFont="1"/>
    <xf numFmtId="178" fontId="0" fillId="0" borderId="0" xfId="0" applyNumberFormat="1"/>
    <xf numFmtId="178" fontId="5" fillId="0" borderId="0" xfId="0" applyNumberFormat="1" applyFont="1"/>
    <xf numFmtId="0" fontId="5" fillId="0" borderId="0" xfId="0" applyFont="1" applyAlignment="1">
      <alignment horizontal="right"/>
    </xf>
    <xf numFmtId="179" fontId="0" fillId="0" borderId="0" xfId="0" applyNumberFormat="1"/>
    <xf numFmtId="2" fontId="0" fillId="0" borderId="0" xfId="0" applyNumberFormat="1"/>
    <xf numFmtId="178" fontId="7" fillId="3" borderId="3" xfId="4" applyNumberFormat="1"/>
    <xf numFmtId="0" fontId="0" fillId="0" borderId="0" xfId="0" applyAlignment="1">
      <alignment horizontal="center"/>
    </xf>
    <xf numFmtId="0" fontId="10" fillId="0" borderId="0" xfId="0" applyFont="1"/>
    <xf numFmtId="180" fontId="0" fillId="0" borderId="0" xfId="3" applyNumberFormat="1" applyFont="1" applyAlignment="1">
      <alignment horizontal="center"/>
    </xf>
    <xf numFmtId="181" fontId="11" fillId="0" borderId="0" xfId="5" applyNumberFormat="1" applyFont="1"/>
    <xf numFmtId="0" fontId="8" fillId="4" borderId="4" xfId="6"/>
    <xf numFmtId="0" fontId="9" fillId="3" borderId="4" xfId="7"/>
    <xf numFmtId="0" fontId="12" fillId="0" borderId="0" xfId="0" applyFont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80" fontId="0" fillId="0" borderId="0" xfId="0" applyNumberFormat="1"/>
    <xf numFmtId="0" fontId="14" fillId="5" borderId="0" xfId="0" applyFont="1" applyFill="1" applyAlignment="1">
      <alignment horizontal="center" vertical="center"/>
    </xf>
  </cellXfs>
  <cellStyles count="8">
    <cellStyle name="Calculation" xfId="7" builtinId="22"/>
    <cellStyle name="Check Cell" xfId="1" builtinId="23"/>
    <cellStyle name="Comma" xfId="5" builtinId="3"/>
    <cellStyle name="Handle" xfId="2" xr:uid="{FF7A162F-DF08-42FE-AEB2-120BB5405C33}"/>
    <cellStyle name="Input" xfId="6" builtinId="20"/>
    <cellStyle name="Normal" xfId="0" builtinId="0"/>
    <cellStyle name="Output" xfId="4" builtinId="21"/>
    <cellStyle name="Percent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Plot!$E$2</c:f>
              <c:strCache>
                <c:ptCount val="1"/>
                <c:pt idx="0">
                  <c:v>log_acc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Plot!$D$3:$D$13</c:f>
              <c:numCache>
                <c:formatCode>General</c:formatCode>
                <c:ptCount val="11"/>
                <c:pt idx="0">
                  <c:v>-6.9077552789821368</c:v>
                </c:pt>
                <c:pt idx="1">
                  <c:v>-6.2146080984221914</c:v>
                </c:pt>
                <c:pt idx="2">
                  <c:v>-5.8091429903140277</c:v>
                </c:pt>
                <c:pt idx="3">
                  <c:v>-5.521460917862246</c:v>
                </c:pt>
                <c:pt idx="4">
                  <c:v>-5.2983173665480363</c:v>
                </c:pt>
                <c:pt idx="5">
                  <c:v>-5.1159958097540823</c:v>
                </c:pt>
                <c:pt idx="6">
                  <c:v>-4.9618451299268234</c:v>
                </c:pt>
                <c:pt idx="7">
                  <c:v>-4.8283137373023015</c:v>
                </c:pt>
                <c:pt idx="8">
                  <c:v>-4.7105307016459177</c:v>
                </c:pt>
                <c:pt idx="9">
                  <c:v>-4.6051701859880909</c:v>
                </c:pt>
              </c:numCache>
            </c:numRef>
          </c:xVal>
          <c:yVal>
            <c:numRef>
              <c:f>Plot!$E$3:$E$13</c:f>
              <c:numCache>
                <c:formatCode>General</c:formatCode>
                <c:ptCount val="11"/>
                <c:pt idx="0">
                  <c:v>1.1075272961165654</c:v>
                </c:pt>
                <c:pt idx="1">
                  <c:v>1.0924470423978418</c:v>
                </c:pt>
                <c:pt idx="2">
                  <c:v>1.0993519899781796</c:v>
                </c:pt>
                <c:pt idx="3">
                  <c:v>1.0940754515810347</c:v>
                </c:pt>
                <c:pt idx="4">
                  <c:v>1.095291245696326</c:v>
                </c:pt>
                <c:pt idx="5">
                  <c:v>1.0893195257411397</c:v>
                </c:pt>
                <c:pt idx="6">
                  <c:v>1.0723015980699211</c:v>
                </c:pt>
                <c:pt idx="7">
                  <c:v>1.0709258716845853</c:v>
                </c:pt>
                <c:pt idx="8">
                  <c:v>1.0695241352041605</c:v>
                </c:pt>
                <c:pt idx="9">
                  <c:v>1.0861288089695176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CD-49BF-AA54-251B530970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9814032"/>
        <c:axId val="1879816912"/>
      </c:scatterChart>
      <c:valAx>
        <c:axId val="1879814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79816912"/>
        <c:crosses val="autoZero"/>
        <c:crossBetween val="midCat"/>
      </c:valAx>
      <c:valAx>
        <c:axId val="1879816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79814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504825</xdr:colOff>
      <xdr:row>0</xdr:row>
      <xdr:rowOff>107950</xdr:rowOff>
    </xdr:from>
    <xdr:to>
      <xdr:col>10</xdr:col>
      <xdr:colOff>758825</xdr:colOff>
      <xdr:row>12</xdr:row>
      <xdr:rowOff>184150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A8725F-A0F0-0B44-F079-E8928C2BF6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3CCDB-807E-4762-83AC-A616811C3245}">
  <dimension ref="B2:L6"/>
  <sheetViews>
    <sheetView workbookViewId="0">
      <selection activeCell="B4" sqref="B4"/>
    </sheetView>
  </sheetViews>
  <sheetFormatPr defaultRowHeight="17.5"/>
  <cols>
    <col min="1" max="1" width="3.59765625" customWidth="1"/>
  </cols>
  <sheetData>
    <row r="2" spans="2:12" ht="18.5">
      <c r="C2" s="22" t="s">
        <v>0</v>
      </c>
      <c r="D2" s="22"/>
      <c r="E2" s="23" t="s">
        <v>10</v>
      </c>
      <c r="F2" s="23"/>
      <c r="G2" s="23" t="s">
        <v>13</v>
      </c>
      <c r="H2" s="23"/>
      <c r="I2" s="1" t="s">
        <v>11</v>
      </c>
      <c r="J2" s="2" t="s">
        <v>12</v>
      </c>
    </row>
    <row r="3" spans="2:12"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</row>
    <row r="4" spans="2:12" ht="18" thickBot="1">
      <c r="B4">
        <v>0</v>
      </c>
      <c r="C4">
        <v>1</v>
      </c>
      <c r="D4">
        <f ca="1">RAND()</f>
        <v>0.48420476512954702</v>
      </c>
      <c r="E4">
        <f ca="1">-F4*D4</f>
        <v>-1.4526142953886412</v>
      </c>
      <c r="F4" s="17">
        <v>3</v>
      </c>
      <c r="G4">
        <f ca="1">E4</f>
        <v>-1.4526142953886412</v>
      </c>
      <c r="H4">
        <f>F4</f>
        <v>3</v>
      </c>
      <c r="I4">
        <f ca="1">SUMPRODUCT(G4:H4,C4:D4)</f>
        <v>0</v>
      </c>
      <c r="J4">
        <f ca="1">-SUMPRODUCT(E4:F4,C4:D4)</f>
        <v>0</v>
      </c>
    </row>
    <row r="5" spans="2:12" ht="18.5" thickTop="1" thickBot="1">
      <c r="B5">
        <v>1</v>
      </c>
      <c r="C5">
        <v>1</v>
      </c>
      <c r="D5">
        <f ca="1">RAND()</f>
        <v>0.70477942061107524</v>
      </c>
      <c r="E5">
        <f ca="1">-E4</f>
        <v>1.4526142953886412</v>
      </c>
      <c r="F5" s="18">
        <f>-F4</f>
        <v>-3</v>
      </c>
      <c r="G5" cm="1">
        <f t="array" aca="1" ref="G5:H5" ca="1">G4:H4+E5:F5</f>
        <v>0</v>
      </c>
      <c r="H5">
        <f ca="1"/>
        <v>0</v>
      </c>
      <c r="I5">
        <f ca="1">SUMPRODUCT(G5:H5,C5:D5)</f>
        <v>0</v>
      </c>
      <c r="J5">
        <f ca="1">-SUMPRODUCT(E5:F5,C5:D5)</f>
        <v>0.66172396644458464</v>
      </c>
      <c r="K5">
        <f ca="1">F4*(D5-D4)</f>
        <v>0.66172396644458464</v>
      </c>
      <c r="L5" s="5">
        <f ca="1">J5-K5</f>
        <v>0</v>
      </c>
    </row>
    <row r="6" spans="2:12" ht="18" thickTop="1"/>
  </sheetData>
  <mergeCells count="3">
    <mergeCell ref="C2:D2"/>
    <mergeCell ref="E2:F2"/>
    <mergeCell ref="G2:H2"/>
  </mergeCells>
  <phoneticPr fontId="1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952DD-292F-41DF-A786-89DEB5029ACA}">
  <dimension ref="B1:Q208"/>
  <sheetViews>
    <sheetView topLeftCell="F7" workbookViewId="0">
      <selection activeCell="Q18" sqref="P8:Q18"/>
    </sheetView>
  </sheetViews>
  <sheetFormatPr defaultRowHeight="17.5"/>
  <cols>
    <col min="1" max="1" width="3.59765625" customWidth="1"/>
    <col min="2" max="2" width="9.86328125" bestFit="1" customWidth="1"/>
    <col min="7" max="7" width="11.6640625" bestFit="1" customWidth="1"/>
    <col min="10" max="10" width="10.19921875" bestFit="1" customWidth="1"/>
    <col min="13" max="13" width="11.6640625" bestFit="1" customWidth="1"/>
  </cols>
  <sheetData>
    <row r="1" spans="2:17">
      <c r="B1" s="16" cm="1">
        <f t="array" aca="1" ref="B1" ca="1">_xll.MONTE.COUNT()</f>
        <v>17839</v>
      </c>
    </row>
    <row r="2" spans="2:17">
      <c r="B2" s="3" t="s">
        <v>15</v>
      </c>
      <c r="C2">
        <v>0</v>
      </c>
      <c r="F2" s="3" t="s">
        <v>20</v>
      </c>
      <c r="G2" s="7" cm="1">
        <f t="array" ref="G2">_xll.OPTION.BLACK.PUT(f, sigma*SQRT(t), k)</f>
        <v>3.987761167674492</v>
      </c>
      <c r="I2" s="8" cm="1">
        <f t="array" ref="I2">_xll.OPTION.BLACK.PUT_DELTA(f, sigma*SQRT(t), k)</f>
        <v>-0.48006119416162751</v>
      </c>
      <c r="J2" s="8" cm="1">
        <f t="array" ref="J2">_xll.OPTION.BLACK.PUT(f+0.01, sigma*SQRT(t), k)</f>
        <v>3.9829625478526722</v>
      </c>
      <c r="K2" s="8" cm="1">
        <f t="array" ref="K2">_xll.OPTION.BLACK.PUT(f-0.01, sigma*SQRT(t), k)</f>
        <v>3.9925637719351386</v>
      </c>
      <c r="L2" s="8">
        <f>(J2-K2)/0.02</f>
        <v>-0.48006120412331654</v>
      </c>
      <c r="M2" s="9">
        <f>I2-L2</f>
        <v>9.9616890292253402E-9</v>
      </c>
    </row>
    <row r="3" spans="2:17">
      <c r="B3" s="3" t="s">
        <v>16</v>
      </c>
      <c r="C3">
        <v>100</v>
      </c>
      <c r="F3" s="3" t="s">
        <v>28</v>
      </c>
      <c r="G3" s="7" cm="1">
        <f t="array" aca="1" ref="G3" ca="1">_xlfn.TAKE(S_,-1)</f>
        <v>102.52336074821183</v>
      </c>
      <c r="N3" s="6">
        <v>1</v>
      </c>
      <c r="O3" s="6" cm="1">
        <f t="array" ref="O3:O5">ad(N3:N5)</f>
        <v>1</v>
      </c>
      <c r="P3" s="6" cm="1">
        <f t="array" ref="P3:P5">_xlfn.SCAN(0,_xlfn.ANCHORARRAY(O3),_xlfn.LAMBDA(_xlpm.a,_xlpm.b,_xlpm.a+_xlpm.b))</f>
        <v>1</v>
      </c>
    </row>
    <row r="4" spans="2:17">
      <c r="B4" s="3" t="s">
        <v>14</v>
      </c>
      <c r="C4">
        <v>0.2</v>
      </c>
      <c r="F4" s="3" t="s">
        <v>24</v>
      </c>
      <c r="G4" s="10">
        <f ca="1">MAX(k - last,0)</f>
        <v>0</v>
      </c>
      <c r="H4" s="10">
        <f t="array" aca="1" ref="H4:I4" ca="1">_xll.MONTE.STDEV(G4)</f>
        <v>4.0297254264882225</v>
      </c>
      <c r="I4" s="10">
        <f ca="1"/>
        <v>5.5272324511345898</v>
      </c>
      <c r="M4">
        <v>1E-3</v>
      </c>
      <c r="N4" s="6">
        <v>2</v>
      </c>
      <c r="O4" s="6">
        <v>1</v>
      </c>
      <c r="P4" s="6">
        <v>2</v>
      </c>
    </row>
    <row r="5" spans="2:17">
      <c r="B5" s="3" t="s">
        <v>1</v>
      </c>
      <c r="C5">
        <v>0.25</v>
      </c>
      <c r="F5" s="3" t="s">
        <v>25</v>
      </c>
      <c r="G5" s="10" cm="1">
        <f t="array" aca="1" ref="G5" ca="1">_xlfn.TAKE(A,-1)</f>
        <v>9.1213400254040948</v>
      </c>
      <c r="H5" s="10"/>
      <c r="I5" s="10"/>
      <c r="M5">
        <v>0.01</v>
      </c>
      <c r="N5" s="6">
        <v>3</v>
      </c>
      <c r="O5" s="6">
        <v>1</v>
      </c>
      <c r="P5" s="6">
        <v>3</v>
      </c>
    </row>
    <row r="6" spans="2:17">
      <c r="B6" s="3" t="s">
        <v>21</v>
      </c>
      <c r="C6">
        <v>0.01</v>
      </c>
      <c r="F6" s="3" t="s">
        <v>29</v>
      </c>
      <c r="G6" s="10">
        <f ca="1">payoff-hedge</f>
        <v>-9.1213400254040948</v>
      </c>
      <c r="H6" s="7">
        <f t="array" aca="1" ref="H6:I6" ca="1">_xll.MONTE.STDEV(error)</f>
        <v>7.5388304637298537E-2</v>
      </c>
      <c r="I6" s="12">
        <f ca="1"/>
        <v>11.814868392175343</v>
      </c>
      <c r="J6" s="15">
        <f ca="1">I6/put</f>
        <v>2.9627823471347252</v>
      </c>
      <c r="K6" s="14" t="s">
        <v>30</v>
      </c>
      <c r="M6">
        <v>0.1</v>
      </c>
    </row>
    <row r="7" spans="2:17">
      <c r="B7" s="3" t="s">
        <v>17</v>
      </c>
      <c r="C7">
        <v>100</v>
      </c>
    </row>
    <row r="8" spans="2:17" ht="18.5">
      <c r="D8" s="20" t="s">
        <v>0</v>
      </c>
      <c r="E8" s="20"/>
      <c r="F8" s="21" t="s">
        <v>10</v>
      </c>
      <c r="G8" s="21"/>
      <c r="H8" s="21" t="s">
        <v>13</v>
      </c>
      <c r="I8" s="21"/>
      <c r="J8" s="1" t="s">
        <v>11</v>
      </c>
      <c r="K8" s="2" t="s">
        <v>12</v>
      </c>
      <c r="P8" t="s">
        <v>32</v>
      </c>
      <c r="Q8" t="s">
        <v>33</v>
      </c>
    </row>
    <row r="9" spans="2:17">
      <c r="B9" s="4" t="s">
        <v>22</v>
      </c>
      <c r="C9" s="4" t="s">
        <v>23</v>
      </c>
      <c r="D9" s="4" t="s">
        <v>18</v>
      </c>
      <c r="E9" s="4" t="s">
        <v>19</v>
      </c>
      <c r="F9" s="4" t="s">
        <v>4</v>
      </c>
      <c r="G9" s="4" t="s">
        <v>5</v>
      </c>
      <c r="H9" s="4" t="s">
        <v>26</v>
      </c>
      <c r="I9" s="4" t="s">
        <v>27</v>
      </c>
      <c r="J9" s="4" t="s">
        <v>8</v>
      </c>
      <c r="K9" s="4" t="s">
        <v>9</v>
      </c>
      <c r="L9" s="13" t="s">
        <v>31</v>
      </c>
      <c r="P9" cm="1">
        <f t="array" ref="P9:P18">_xlfn.SEQUENCE(10, 1, 0.001, 0.001)</f>
        <v>1E-3</v>
      </c>
      <c r="Q9" s="24">
        <v>3.0268645934436855</v>
      </c>
    </row>
    <row r="10" spans="2:17">
      <c r="B10" cm="1">
        <f t="array" ref="B10:B35">_xll.ARRAY.SEQUENCE(0, t, dt)</f>
        <v>0</v>
      </c>
      <c r="C10" cm="1">
        <f t="array" aca="1" ref="C10:C35" ca="1">_xll.RANDOM.BROWNIAN(t_)</f>
        <v>0</v>
      </c>
      <c r="D10" cm="1">
        <f t="array" aca="1" ref="D10:D35" ca="1">1+0*B_</f>
        <v>1</v>
      </c>
      <c r="E10" cm="1">
        <f t="array" aca="1" ref="E10:E35" ca="1">f*EXP(sigma*B_+(mu-sigma*sigma/2)*t_)</f>
        <v>100</v>
      </c>
      <c r="F10" s="10" cm="1">
        <f t="array" aca="1" ref="F10:F35" ca="1">co(put*(t_ = 0) - N*S_/R_)</f>
        <v>3.987761167674492</v>
      </c>
      <c r="G10" s="7" cm="1">
        <f t="array" aca="1" ref="G10:G35" ca="1">co(ad(_N))</f>
        <v>0</v>
      </c>
      <c r="H10" s="10" cm="1">
        <f t="array" aca="1" ref="H10:H35" ca="1">_xlfn.SCAN(0,M,_xlfn.LAMBDA(_xlpm.a,_xlpm.b,_xlpm.a+_xlpm.b))</f>
        <v>3.987761167674492</v>
      </c>
      <c r="I10" s="7" cm="1">
        <f t="array" aca="1" ref="I10:I35" ca="1">_xlfn.VSTACK(_xlfn.DROP(_xlfn.MAP(t_,S_,_xlfn.LAMBDA(_xlpm._t,_xlpm._S,1*(_xlpm._S&lt;k))),-1),0)</f>
        <v>0</v>
      </c>
      <c r="J10" s="7" cm="1">
        <f t="array" aca="1" ref="J10:J35" ca="1">_M * R_ + _N * S_</f>
        <v>3.987761167674492</v>
      </c>
      <c r="K10" cm="1">
        <f t="array" aca="1" ref="K10:K35" ca="1">-M * R_ - N * S_</f>
        <v>-3.987761167674492</v>
      </c>
      <c r="L10" cm="1">
        <f t="array" aca="1" ref="L10:L35" ca="1">_xlfn.MAP(S_,_xlfn.LAMBDA(_xlpm.s,MAX(k-_xlpm.s,0)))</f>
        <v>0</v>
      </c>
      <c r="M10" s="19">
        <f ca="1">put - G10*E10</f>
        <v>3.987761167674492</v>
      </c>
      <c r="N10" s="19">
        <f ca="1">F10-M10</f>
        <v>0</v>
      </c>
      <c r="P10">
        <v>2E-3</v>
      </c>
      <c r="Q10" s="24">
        <v>2.9815611595906195</v>
      </c>
    </row>
    <row r="11" spans="2:17">
      <c r="B11">
        <v>0.01</v>
      </c>
      <c r="C11">
        <f ca="1"/>
        <v>3.1389371163111655E-2</v>
      </c>
      <c r="D11">
        <f ca="1"/>
        <v>1</v>
      </c>
      <c r="E11" s="11">
        <f ca="1"/>
        <v>100.6096381987152</v>
      </c>
      <c r="F11" s="10">
        <f ca="1"/>
        <v>0</v>
      </c>
      <c r="G11" s="7">
        <f ca="1"/>
        <v>0</v>
      </c>
      <c r="H11" s="10">
        <f ca="1"/>
        <v>3.987761167674492</v>
      </c>
      <c r="I11" s="7">
        <f ca="1"/>
        <v>0</v>
      </c>
      <c r="J11" s="7">
        <f ca="1"/>
        <v>3.987761167674492</v>
      </c>
      <c r="K11">
        <f ca="1"/>
        <v>0</v>
      </c>
      <c r="L11">
        <f ca="1"/>
        <v>0</v>
      </c>
      <c r="M11" s="19">
        <f ca="1" xml:space="preserve"> - G11*E11</f>
        <v>0</v>
      </c>
      <c r="N11" s="19">
        <f ca="1">F11-M11</f>
        <v>0</v>
      </c>
      <c r="P11">
        <v>3.0000000000000001E-3</v>
      </c>
      <c r="Q11" s="24">
        <v>3.0022199248696562</v>
      </c>
    </row>
    <row r="12" spans="2:17">
      <c r="B12">
        <v>0.02</v>
      </c>
      <c r="C12">
        <f ca="1"/>
        <v>-0.16605817721654204</v>
      </c>
      <c r="D12">
        <f ca="1"/>
        <v>1</v>
      </c>
      <c r="E12" s="11">
        <f ca="1"/>
        <v>96.694695965340728</v>
      </c>
      <c r="F12" s="10">
        <f ca="1"/>
        <v>-96.694695965340728</v>
      </c>
      <c r="G12" s="7">
        <f ca="1"/>
        <v>1</v>
      </c>
      <c r="H12" s="10">
        <f ca="1"/>
        <v>-92.706934797666236</v>
      </c>
      <c r="I12" s="7">
        <f ca="1"/>
        <v>1</v>
      </c>
      <c r="J12" s="7">
        <f ca="1"/>
        <v>3.987761167674492</v>
      </c>
      <c r="K12">
        <f ca="1"/>
        <v>0</v>
      </c>
      <c r="L12">
        <f ca="1"/>
        <v>3.3053040346592724</v>
      </c>
      <c r="P12" s="3">
        <v>4.0000000000000001E-3</v>
      </c>
      <c r="Q12" s="24">
        <v>2.9864203164372047</v>
      </c>
    </row>
    <row r="13" spans="2:17">
      <c r="B13">
        <v>0.03</v>
      </c>
      <c r="C13">
        <f ca="1"/>
        <v>-7.924565257276546E-2</v>
      </c>
      <c r="D13">
        <f ca="1"/>
        <v>1</v>
      </c>
      <c r="E13" s="11">
        <f ca="1"/>
        <v>98.368541768898993</v>
      </c>
      <c r="F13" s="10">
        <f ca="1"/>
        <v>0</v>
      </c>
      <c r="G13" s="7">
        <f ca="1"/>
        <v>0</v>
      </c>
      <c r="H13" s="10">
        <f ca="1"/>
        <v>-92.706934797666236</v>
      </c>
      <c r="I13" s="7">
        <f ca="1"/>
        <v>1</v>
      </c>
      <c r="J13" s="7">
        <f ca="1"/>
        <v>5.6616069712327572</v>
      </c>
      <c r="K13">
        <f ca="1"/>
        <v>0</v>
      </c>
      <c r="L13">
        <f ca="1"/>
        <v>1.6314582311010071</v>
      </c>
      <c r="P13">
        <v>5.0000000000000001E-3</v>
      </c>
      <c r="Q13" s="24">
        <v>2.9900533967750418</v>
      </c>
    </row>
    <row r="14" spans="2:17">
      <c r="B14">
        <v>0.04</v>
      </c>
      <c r="C14">
        <f ca="1"/>
        <v>-9.4755022769454508E-2</v>
      </c>
      <c r="D14">
        <f ca="1"/>
        <v>1</v>
      </c>
      <c r="E14" s="11">
        <f ca="1"/>
        <v>98.044276870075052</v>
      </c>
      <c r="F14" s="10">
        <f ca="1"/>
        <v>0</v>
      </c>
      <c r="G14" s="7">
        <f ca="1"/>
        <v>0</v>
      </c>
      <c r="H14" s="10">
        <f ca="1"/>
        <v>-92.706934797666236</v>
      </c>
      <c r="I14" s="7">
        <f ca="1"/>
        <v>1</v>
      </c>
      <c r="J14" s="7">
        <f ca="1"/>
        <v>5.3373420724088163</v>
      </c>
      <c r="K14">
        <f ca="1"/>
        <v>0</v>
      </c>
      <c r="L14">
        <f ca="1"/>
        <v>1.955723129924948</v>
      </c>
      <c r="M14" s="19">
        <f ca="1">f*EXP(sigma*C14-sigma^2*B14/2)</f>
        <v>98.044276870075052</v>
      </c>
      <c r="N14" s="19">
        <f ca="1">E14-M14</f>
        <v>0</v>
      </c>
      <c r="P14">
        <v>6.0000000000000001E-3</v>
      </c>
      <c r="Q14" s="24">
        <v>2.9722508440734146</v>
      </c>
    </row>
    <row r="15" spans="2:17">
      <c r="B15">
        <v>0.05</v>
      </c>
      <c r="C15">
        <f ca="1"/>
        <v>-0.1519928162490447</v>
      </c>
      <c r="D15">
        <f ca="1"/>
        <v>1</v>
      </c>
      <c r="E15" s="11">
        <f ca="1"/>
        <v>96.908925273267016</v>
      </c>
      <c r="F15" s="10">
        <f ca="1"/>
        <v>0</v>
      </c>
      <c r="G15" s="7">
        <f ca="1"/>
        <v>0</v>
      </c>
      <c r="H15" s="10">
        <f ca="1"/>
        <v>-92.706934797666236</v>
      </c>
      <c r="I15" s="7">
        <f ca="1"/>
        <v>1</v>
      </c>
      <c r="J15" s="7">
        <f ca="1"/>
        <v>4.2019904756007804</v>
      </c>
      <c r="K15">
        <f ca="1"/>
        <v>0</v>
      </c>
      <c r="L15">
        <f ca="1"/>
        <v>3.0910747267329839</v>
      </c>
      <c r="P15">
        <v>7.0000000000000001E-3</v>
      </c>
      <c r="Q15" s="24">
        <v>2.9220972596330319</v>
      </c>
    </row>
    <row r="16" spans="2:17">
      <c r="B16">
        <v>0.06</v>
      </c>
      <c r="C16">
        <f ca="1"/>
        <v>-9.1107275297141022E-2</v>
      </c>
      <c r="D16">
        <f ca="1"/>
        <v>1</v>
      </c>
      <c r="E16" s="11">
        <f ca="1"/>
        <v>98.076592636482317</v>
      </c>
      <c r="F16" s="10">
        <f ca="1"/>
        <v>0</v>
      </c>
      <c r="G16" s="7">
        <f ca="1"/>
        <v>0</v>
      </c>
      <c r="H16" s="10">
        <f ca="1"/>
        <v>-92.706934797666236</v>
      </c>
      <c r="I16" s="7">
        <f ca="1"/>
        <v>1</v>
      </c>
      <c r="J16" s="7">
        <f ca="1"/>
        <v>5.3696578388160816</v>
      </c>
      <c r="K16">
        <f ca="1"/>
        <v>0</v>
      </c>
      <c r="L16">
        <f ca="1"/>
        <v>1.9234073635176827</v>
      </c>
      <c r="M16" s="19" cm="1">
        <f t="array" aca="1" ref="M16" ca="1">_xll.OPTION.BLACK.PUT_DELTA(E16,sigma*SQRT(t - B16),k)</f>
        <v>-0.57110589097865705</v>
      </c>
      <c r="N16" s="19">
        <f ca="1">I16-M16</f>
        <v>1.571105890978657</v>
      </c>
      <c r="P16">
        <v>8.0000000000000002E-3</v>
      </c>
      <c r="Q16" s="24">
        <v>2.9180800172791819</v>
      </c>
    </row>
    <row r="17" spans="2:17">
      <c r="B17">
        <v>7.0000000000000007E-2</v>
      </c>
      <c r="C17">
        <f ca="1"/>
        <v>-7.305381698492755E-2</v>
      </c>
      <c r="D17">
        <f ca="1"/>
        <v>1</v>
      </c>
      <c r="E17" s="11">
        <f ca="1"/>
        <v>98.411672755926077</v>
      </c>
      <c r="F17" s="10">
        <f ca="1"/>
        <v>0</v>
      </c>
      <c r="G17" s="7">
        <f ca="1"/>
        <v>0</v>
      </c>
      <c r="H17" s="10">
        <f ca="1"/>
        <v>-92.706934797666236</v>
      </c>
      <c r="I17" s="7">
        <f ca="1"/>
        <v>1</v>
      </c>
      <c r="J17" s="7">
        <f ca="1"/>
        <v>5.704737958259841</v>
      </c>
      <c r="K17">
        <f ca="1"/>
        <v>0</v>
      </c>
      <c r="L17">
        <f ca="1"/>
        <v>1.5883272440739233</v>
      </c>
      <c r="P17">
        <v>9.0000000000000011E-3</v>
      </c>
      <c r="Q17" s="24">
        <v>2.913992503544006</v>
      </c>
    </row>
    <row r="18" spans="2:17">
      <c r="B18">
        <v>0.08</v>
      </c>
      <c r="C18">
        <f ca="1"/>
        <v>-6.3806709813186396E-2</v>
      </c>
      <c r="D18">
        <f ca="1"/>
        <v>1</v>
      </c>
      <c r="E18" s="11">
        <f ca="1"/>
        <v>98.57412902095119</v>
      </c>
      <c r="F18" s="10">
        <f ca="1"/>
        <v>0</v>
      </c>
      <c r="G18" s="7">
        <f ca="1"/>
        <v>0</v>
      </c>
      <c r="H18" s="10">
        <f ca="1"/>
        <v>-92.706934797666236</v>
      </c>
      <c r="I18" s="7">
        <f ca="1"/>
        <v>1</v>
      </c>
      <c r="J18" s="7">
        <f ca="1"/>
        <v>5.8671942232849545</v>
      </c>
      <c r="K18">
        <f ca="1"/>
        <v>0</v>
      </c>
      <c r="L18">
        <f ca="1"/>
        <v>1.4258709790488098</v>
      </c>
      <c r="P18">
        <v>1.0000000000000002E-2</v>
      </c>
      <c r="Q18" s="24">
        <v>2.9627823471347252</v>
      </c>
    </row>
    <row r="19" spans="2:17">
      <c r="B19">
        <v>0.09</v>
      </c>
      <c r="C19">
        <f ca="1"/>
        <v>-9.8577662691707785E-2</v>
      </c>
      <c r="D19">
        <f ca="1"/>
        <v>1</v>
      </c>
      <c r="E19" s="11">
        <f ca="1"/>
        <v>97.87142754340762</v>
      </c>
      <c r="F19" s="10">
        <f ca="1"/>
        <v>0</v>
      </c>
      <c r="G19" s="7">
        <f ca="1"/>
        <v>0</v>
      </c>
      <c r="H19" s="10">
        <f ca="1"/>
        <v>-92.706934797666236</v>
      </c>
      <c r="I19" s="7">
        <f ca="1"/>
        <v>1</v>
      </c>
      <c r="J19" s="7">
        <f ca="1"/>
        <v>5.1644927457413843</v>
      </c>
      <c r="K19">
        <f ca="1"/>
        <v>0</v>
      </c>
      <c r="L19">
        <f ca="1"/>
        <v>2.12857245659238</v>
      </c>
    </row>
    <row r="20" spans="2:17">
      <c r="B20">
        <v>0.1</v>
      </c>
      <c r="C20">
        <f ca="1"/>
        <v>-0.18515336980852526</v>
      </c>
      <c r="D20">
        <f ca="1"/>
        <v>1</v>
      </c>
      <c r="E20" s="11">
        <f ca="1"/>
        <v>96.172120889439171</v>
      </c>
      <c r="F20" s="10">
        <f ca="1"/>
        <v>0</v>
      </c>
      <c r="G20" s="7">
        <f ca="1"/>
        <v>0</v>
      </c>
      <c r="H20" s="10">
        <f ca="1"/>
        <v>-92.706934797666236</v>
      </c>
      <c r="I20" s="7">
        <f ca="1"/>
        <v>1</v>
      </c>
      <c r="J20" s="7">
        <f ca="1"/>
        <v>3.4651860917729351</v>
      </c>
      <c r="K20">
        <f ca="1"/>
        <v>0</v>
      </c>
      <c r="L20">
        <f ca="1"/>
        <v>3.8278791105608292</v>
      </c>
      <c r="M20" s="6">
        <f t="array" aca="1" ref="M20:M21" ca="1">_xll.MONTE.STDEV(C20)</f>
        <v>-1.8100198652988776E-3</v>
      </c>
      <c r="N20" s="6">
        <v>0</v>
      </c>
      <c r="O20" s="6">
        <f t="array" aca="1" ref="O20:O21" ca="1">_xll.MONTE.STDEV(E20)</f>
        <v>99.962202385792594</v>
      </c>
      <c r="P20" s="6">
        <f>f*EXP(mu*B20)</f>
        <v>100</v>
      </c>
    </row>
    <row r="21" spans="2:17">
      <c r="B21">
        <v>0.11</v>
      </c>
      <c r="C21">
        <f ca="1"/>
        <v>-0.27306187993426928</v>
      </c>
      <c r="D21">
        <f ca="1"/>
        <v>1</v>
      </c>
      <c r="E21" s="11">
        <f ca="1"/>
        <v>94.477131452381585</v>
      </c>
      <c r="F21" s="10">
        <f ca="1"/>
        <v>0</v>
      </c>
      <c r="G21" s="7">
        <f ca="1"/>
        <v>0</v>
      </c>
      <c r="H21" s="10">
        <f ca="1"/>
        <v>-92.706934797666236</v>
      </c>
      <c r="I21" s="7">
        <f ca="1"/>
        <v>1</v>
      </c>
      <c r="J21" s="7">
        <f ca="1"/>
        <v>1.7701966547153489</v>
      </c>
      <c r="K21">
        <f ca="1"/>
        <v>0</v>
      </c>
      <c r="L21">
        <f ca="1"/>
        <v>5.5228685476184154</v>
      </c>
      <c r="M21" s="6">
        <f ca="1"/>
        <v>0.31490576667542619</v>
      </c>
      <c r="N21" s="6">
        <f>SQRT(B20)</f>
        <v>0.31622776601683794</v>
      </c>
      <c r="O21" s="6">
        <f ca="1"/>
        <v>6.3054609819008274</v>
      </c>
      <c r="P21" s="6"/>
    </row>
    <row r="22" spans="2:17">
      <c r="B22">
        <v>0.12</v>
      </c>
      <c r="C22">
        <f ca="1"/>
        <v>-0.23782572265956234</v>
      </c>
      <c r="D22">
        <f ca="1"/>
        <v>1</v>
      </c>
      <c r="E22" s="11">
        <f ca="1"/>
        <v>95.126258062539634</v>
      </c>
      <c r="F22" s="10">
        <f ca="1"/>
        <v>0</v>
      </c>
      <c r="G22" s="7">
        <f ca="1"/>
        <v>0</v>
      </c>
      <c r="H22" s="10">
        <f ca="1"/>
        <v>-92.706934797666236</v>
      </c>
      <c r="I22" s="7">
        <f ca="1"/>
        <v>1</v>
      </c>
      <c r="J22" s="7">
        <f ca="1"/>
        <v>2.4193232648733982</v>
      </c>
      <c r="K22">
        <f ca="1"/>
        <v>0</v>
      </c>
      <c r="L22">
        <f ca="1"/>
        <v>4.8737419374603661</v>
      </c>
    </row>
    <row r="23" spans="2:17">
      <c r="B23">
        <v>0.13</v>
      </c>
      <c r="C23">
        <f ca="1"/>
        <v>-0.21176809125177853</v>
      </c>
      <c r="D23">
        <f ca="1"/>
        <v>1</v>
      </c>
      <c r="E23" s="11">
        <f ca="1"/>
        <v>95.60418236972815</v>
      </c>
      <c r="F23" s="10">
        <f ca="1"/>
        <v>0</v>
      </c>
      <c r="G23" s="7">
        <f ca="1"/>
        <v>0</v>
      </c>
      <c r="H23" s="10">
        <f ca="1"/>
        <v>-92.706934797666236</v>
      </c>
      <c r="I23" s="7">
        <f ca="1"/>
        <v>1</v>
      </c>
      <c r="J23" s="7">
        <f ca="1"/>
        <v>2.8972475720619144</v>
      </c>
      <c r="K23">
        <f ca="1"/>
        <v>0</v>
      </c>
      <c r="L23">
        <f ca="1"/>
        <v>4.3958176302718499</v>
      </c>
    </row>
    <row r="24" spans="2:17">
      <c r="B24">
        <v>0.14000000000000001</v>
      </c>
      <c r="C24">
        <f ca="1"/>
        <v>-0.13122118754228174</v>
      </c>
      <c r="D24">
        <f ca="1"/>
        <v>1</v>
      </c>
      <c r="E24" s="11">
        <f ca="1"/>
        <v>97.137349237303951</v>
      </c>
      <c r="F24" s="10">
        <f ca="1"/>
        <v>0</v>
      </c>
      <c r="G24" s="7">
        <f ca="1"/>
        <v>0</v>
      </c>
      <c r="H24" s="10">
        <f ca="1"/>
        <v>-92.706934797666236</v>
      </c>
      <c r="I24" s="7">
        <f ca="1"/>
        <v>1</v>
      </c>
      <c r="J24" s="7">
        <f ca="1"/>
        <v>4.4304144396377154</v>
      </c>
      <c r="K24">
        <f ca="1"/>
        <v>0</v>
      </c>
      <c r="L24">
        <f ca="1"/>
        <v>2.8626507626960489</v>
      </c>
    </row>
    <row r="25" spans="2:17">
      <c r="B25">
        <v>0.15</v>
      </c>
      <c r="C25">
        <f ca="1"/>
        <v>-0.31322814996015003</v>
      </c>
      <c r="D25">
        <f ca="1"/>
        <v>1</v>
      </c>
      <c r="E25" s="11">
        <f ca="1"/>
        <v>93.646265977917139</v>
      </c>
      <c r="F25" s="10">
        <f ca="1"/>
        <v>0</v>
      </c>
      <c r="G25" s="7">
        <f ca="1"/>
        <v>0</v>
      </c>
      <c r="H25" s="10">
        <f ca="1"/>
        <v>-92.706934797666236</v>
      </c>
      <c r="I25" s="7">
        <f ca="1"/>
        <v>1</v>
      </c>
      <c r="J25" s="7">
        <f ca="1"/>
        <v>0.93933118025090323</v>
      </c>
      <c r="K25">
        <f ca="1"/>
        <v>0</v>
      </c>
      <c r="L25">
        <f ca="1"/>
        <v>6.3537340220828611</v>
      </c>
    </row>
    <row r="26" spans="2:17">
      <c r="B26">
        <v>0.16</v>
      </c>
      <c r="C26">
        <f ca="1"/>
        <v>-0.25790531500999031</v>
      </c>
      <c r="D26">
        <f ca="1"/>
        <v>1</v>
      </c>
      <c r="E26" s="11">
        <f ca="1"/>
        <v>94.669239125621559</v>
      </c>
      <c r="F26" s="10">
        <f ca="1"/>
        <v>0</v>
      </c>
      <c r="G26" s="7">
        <f ca="1"/>
        <v>0</v>
      </c>
      <c r="H26" s="10">
        <f ca="1"/>
        <v>-92.706934797666236</v>
      </c>
      <c r="I26" s="7">
        <f ca="1"/>
        <v>1</v>
      </c>
      <c r="J26" s="7">
        <f ca="1"/>
        <v>1.9623043279553229</v>
      </c>
      <c r="K26">
        <f ca="1"/>
        <v>0</v>
      </c>
      <c r="L26">
        <f ca="1"/>
        <v>5.3307608743784414</v>
      </c>
    </row>
    <row r="27" spans="2:17">
      <c r="B27">
        <v>0.17</v>
      </c>
      <c r="C27">
        <f ca="1"/>
        <v>-0.28201149691174826</v>
      </c>
      <c r="D27">
        <f ca="1"/>
        <v>1</v>
      </c>
      <c r="E27" s="11">
        <f ca="1"/>
        <v>94.195073942011746</v>
      </c>
      <c r="F27" s="10">
        <f ca="1"/>
        <v>0</v>
      </c>
      <c r="G27" s="7">
        <f ca="1"/>
        <v>0</v>
      </c>
      <c r="H27" s="10">
        <f ca="1"/>
        <v>-92.706934797666236</v>
      </c>
      <c r="I27" s="7">
        <f ca="1"/>
        <v>1</v>
      </c>
      <c r="J27" s="7">
        <f ca="1"/>
        <v>1.4881391443455101</v>
      </c>
      <c r="K27">
        <f ca="1"/>
        <v>0</v>
      </c>
      <c r="L27">
        <f ca="1"/>
        <v>5.8049260579882542</v>
      </c>
    </row>
    <row r="28" spans="2:17">
      <c r="B28">
        <v>0.18</v>
      </c>
      <c r="C28">
        <f ca="1"/>
        <v>-0.29748807586318676</v>
      </c>
      <c r="D28">
        <f ca="1"/>
        <v>1</v>
      </c>
      <c r="E28" s="11">
        <f ca="1"/>
        <v>93.885182303317237</v>
      </c>
      <c r="F28" s="10">
        <f ca="1"/>
        <v>0</v>
      </c>
      <c r="G28" s="7">
        <f ca="1"/>
        <v>0</v>
      </c>
      <c r="H28" s="10">
        <f ca="1"/>
        <v>-92.706934797666236</v>
      </c>
      <c r="I28" s="7">
        <f ca="1"/>
        <v>1</v>
      </c>
      <c r="J28" s="7">
        <f ca="1"/>
        <v>1.1782475056510009</v>
      </c>
      <c r="K28">
        <f ca="1"/>
        <v>0</v>
      </c>
      <c r="L28">
        <f ca="1"/>
        <v>6.1148176966827634</v>
      </c>
    </row>
    <row r="29" spans="2:17">
      <c r="B29">
        <v>0.19</v>
      </c>
      <c r="C29">
        <f ca="1"/>
        <v>-0.50019035896044639</v>
      </c>
      <c r="D29">
        <f ca="1"/>
        <v>1</v>
      </c>
      <c r="E29" s="11">
        <f ca="1"/>
        <v>90.137124303457696</v>
      </c>
      <c r="F29" s="10">
        <f ca="1"/>
        <v>0</v>
      </c>
      <c r="G29" s="7">
        <f ca="1"/>
        <v>0</v>
      </c>
      <c r="H29" s="10">
        <f ca="1"/>
        <v>-92.706934797666236</v>
      </c>
      <c r="I29" s="7">
        <f ca="1"/>
        <v>1</v>
      </c>
      <c r="J29" s="7">
        <f ca="1"/>
        <v>-2.5698104942085394</v>
      </c>
      <c r="K29">
        <f ca="1"/>
        <v>0</v>
      </c>
      <c r="L29">
        <f ca="1"/>
        <v>9.8628756965423037</v>
      </c>
    </row>
    <row r="30" spans="2:17">
      <c r="B30">
        <v>0.2</v>
      </c>
      <c r="C30">
        <f ca="1"/>
        <v>-0.41548692041206253</v>
      </c>
      <c r="D30">
        <f ca="1"/>
        <v>1</v>
      </c>
      <c r="E30" s="11">
        <f ca="1"/>
        <v>91.658783022191116</v>
      </c>
      <c r="F30" s="10">
        <f ca="1"/>
        <v>0</v>
      </c>
      <c r="G30" s="7">
        <f ca="1"/>
        <v>0</v>
      </c>
      <c r="H30" s="10">
        <f ca="1"/>
        <v>-92.706934797666236</v>
      </c>
      <c r="I30" s="7">
        <f ca="1"/>
        <v>1</v>
      </c>
      <c r="J30" s="7">
        <f ca="1"/>
        <v>-1.0481517754751195</v>
      </c>
      <c r="K30">
        <f ca="1"/>
        <v>0</v>
      </c>
      <c r="L30">
        <f ca="1"/>
        <v>8.3412169778088838</v>
      </c>
    </row>
    <row r="31" spans="2:17">
      <c r="B31">
        <v>0.21</v>
      </c>
      <c r="C31">
        <f ca="1"/>
        <v>-0.41151601336656196</v>
      </c>
      <c r="D31">
        <f ca="1"/>
        <v>1</v>
      </c>
      <c r="E31" s="11">
        <f ca="1"/>
        <v>91.71326115038633</v>
      </c>
      <c r="F31" s="10">
        <f ca="1"/>
        <v>0</v>
      </c>
      <c r="G31" s="7">
        <f ca="1"/>
        <v>0</v>
      </c>
      <c r="H31" s="10">
        <f ca="1"/>
        <v>-92.706934797666236</v>
      </c>
      <c r="I31" s="7">
        <f ca="1"/>
        <v>1</v>
      </c>
      <c r="J31" s="7">
        <f ca="1"/>
        <v>-0.99367364727990548</v>
      </c>
      <c r="K31">
        <f ca="1"/>
        <v>0</v>
      </c>
      <c r="L31">
        <f ca="1"/>
        <v>8.2867388496136698</v>
      </c>
    </row>
    <row r="32" spans="2:17">
      <c r="B32">
        <v>0.22</v>
      </c>
      <c r="C32">
        <f ca="1"/>
        <v>-0.25020530631452731</v>
      </c>
      <c r="D32">
        <f ca="1"/>
        <v>1</v>
      </c>
      <c r="E32" s="11">
        <f ca="1"/>
        <v>94.701432304121056</v>
      </c>
      <c r="F32" s="10">
        <f ca="1"/>
        <v>0</v>
      </c>
      <c r="G32" s="7">
        <f ca="1"/>
        <v>0</v>
      </c>
      <c r="H32" s="10">
        <f ca="1"/>
        <v>-92.706934797666236</v>
      </c>
      <c r="I32" s="7">
        <f ca="1"/>
        <v>1</v>
      </c>
      <c r="J32" s="7">
        <f ca="1"/>
        <v>1.9944975064548203</v>
      </c>
      <c r="K32">
        <f ca="1"/>
        <v>0</v>
      </c>
      <c r="L32">
        <f ca="1"/>
        <v>5.2985676958789441</v>
      </c>
    </row>
    <row r="33" spans="2:12">
      <c r="B33">
        <v>0.23</v>
      </c>
      <c r="C33">
        <f ca="1"/>
        <v>-1.4914922560224364E-3</v>
      </c>
      <c r="D33">
        <f ca="1"/>
        <v>1</v>
      </c>
      <c r="E33" s="11">
        <f ca="1"/>
        <v>99.511367864887063</v>
      </c>
      <c r="F33" s="10">
        <f ca="1"/>
        <v>0</v>
      </c>
      <c r="G33" s="7">
        <f ca="1"/>
        <v>0</v>
      </c>
      <c r="H33" s="10">
        <f ca="1"/>
        <v>-92.706934797666236</v>
      </c>
      <c r="I33" s="7">
        <f ca="1"/>
        <v>1</v>
      </c>
      <c r="J33" s="7">
        <f ca="1"/>
        <v>6.8044330672208275</v>
      </c>
      <c r="K33">
        <f ca="1"/>
        <v>0</v>
      </c>
      <c r="L33">
        <f ca="1"/>
        <v>0.48863213511293679</v>
      </c>
    </row>
    <row r="34" spans="2:12">
      <c r="B34">
        <v>0.24</v>
      </c>
      <c r="C34">
        <f ca="1"/>
        <v>0.11458814158216765</v>
      </c>
      <c r="D34">
        <f ca="1"/>
        <v>1</v>
      </c>
      <c r="E34" s="11">
        <f ca="1"/>
        <v>101.82827482307033</v>
      </c>
      <c r="F34" s="10">
        <f ca="1"/>
        <v>101.82827482307033</v>
      </c>
      <c r="G34" s="7">
        <f ca="1"/>
        <v>-1</v>
      </c>
      <c r="H34" s="10">
        <f ca="1"/>
        <v>9.1213400254040948</v>
      </c>
      <c r="I34" s="7">
        <f ca="1"/>
        <v>0</v>
      </c>
      <c r="J34" s="7">
        <f ca="1"/>
        <v>9.1213400254040948</v>
      </c>
      <c r="K34">
        <f ca="1"/>
        <v>0</v>
      </c>
      <c r="L34">
        <f ca="1"/>
        <v>0</v>
      </c>
    </row>
    <row r="35" spans="2:12">
      <c r="B35">
        <v>0.25</v>
      </c>
      <c r="C35">
        <f ca="1"/>
        <v>0.14960248180772129</v>
      </c>
      <c r="D35">
        <f ca="1"/>
        <v>1</v>
      </c>
      <c r="E35" s="11">
        <f ca="1"/>
        <v>102.52336074821183</v>
      </c>
      <c r="F35" s="10">
        <f ca="1"/>
        <v>-9.1213400254040948</v>
      </c>
      <c r="G35" s="7">
        <f ca="1"/>
        <v>0</v>
      </c>
      <c r="H35" s="10">
        <f ca="1"/>
        <v>0</v>
      </c>
      <c r="I35" s="7">
        <f ca="1"/>
        <v>0</v>
      </c>
      <c r="J35" s="7">
        <f ca="1"/>
        <v>0</v>
      </c>
      <c r="K35">
        <f ca="1"/>
        <v>9.1213400254040948</v>
      </c>
      <c r="L35">
        <f ca="1"/>
        <v>0</v>
      </c>
    </row>
    <row r="36" spans="2:12">
      <c r="E36" s="11"/>
      <c r="F36" s="10"/>
      <c r="G36" s="7"/>
      <c r="H36" s="10"/>
      <c r="I36" s="7"/>
      <c r="J36" s="7"/>
    </row>
    <row r="37" spans="2:12">
      <c r="E37" s="11"/>
      <c r="F37" s="10"/>
      <c r="G37" s="7"/>
      <c r="H37" s="10"/>
      <c r="I37" s="7"/>
      <c r="J37" s="7"/>
    </row>
    <row r="38" spans="2:12">
      <c r="E38" s="11"/>
      <c r="F38" s="10"/>
      <c r="G38" s="7"/>
      <c r="H38" s="10"/>
      <c r="I38" s="7"/>
      <c r="J38" s="7"/>
    </row>
    <row r="39" spans="2:12">
      <c r="E39" s="11"/>
      <c r="F39" s="10"/>
      <c r="G39" s="7"/>
      <c r="H39" s="10"/>
      <c r="I39" s="7"/>
      <c r="J39" s="7"/>
    </row>
    <row r="40" spans="2:12">
      <c r="E40" s="11"/>
      <c r="F40" s="10"/>
      <c r="G40" s="7"/>
      <c r="H40" s="10"/>
      <c r="I40" s="7"/>
      <c r="J40" s="7"/>
    </row>
    <row r="41" spans="2:12">
      <c r="E41" s="11"/>
      <c r="F41" s="10"/>
      <c r="G41" s="7"/>
      <c r="H41" s="10"/>
      <c r="I41" s="7"/>
      <c r="J41" s="7"/>
    </row>
    <row r="42" spans="2:12">
      <c r="E42" s="11"/>
      <c r="F42" s="10"/>
      <c r="G42" s="7"/>
      <c r="H42" s="10"/>
      <c r="I42" s="7"/>
      <c r="J42" s="7"/>
    </row>
    <row r="43" spans="2:12">
      <c r="E43" s="11"/>
      <c r="F43" s="10"/>
      <c r="G43" s="7"/>
      <c r="H43" s="10"/>
      <c r="I43" s="7"/>
      <c r="J43" s="7"/>
    </row>
    <row r="44" spans="2:12">
      <c r="E44" s="11"/>
      <c r="F44" s="10"/>
      <c r="G44" s="7"/>
      <c r="H44" s="10"/>
      <c r="I44" s="7"/>
      <c r="J44" s="7"/>
    </row>
    <row r="45" spans="2:12">
      <c r="E45" s="11"/>
      <c r="F45" s="10"/>
      <c r="G45" s="7"/>
      <c r="H45" s="10"/>
      <c r="I45" s="7"/>
      <c r="J45" s="7"/>
    </row>
    <row r="46" spans="2:12">
      <c r="E46" s="11"/>
      <c r="F46" s="10"/>
      <c r="G46" s="7"/>
      <c r="H46" s="10"/>
      <c r="I46" s="7"/>
      <c r="J46" s="7"/>
    </row>
    <row r="47" spans="2:12">
      <c r="E47" s="11"/>
      <c r="F47" s="10"/>
      <c r="G47" s="7"/>
      <c r="H47" s="10"/>
      <c r="I47" s="7"/>
      <c r="J47" s="7"/>
    </row>
    <row r="48" spans="2:12">
      <c r="E48" s="11"/>
      <c r="F48" s="10"/>
      <c r="G48" s="7"/>
      <c r="H48" s="10"/>
      <c r="I48" s="7"/>
      <c r="J48" s="7"/>
    </row>
    <row r="49" spans="5:10">
      <c r="E49" s="11"/>
      <c r="F49" s="10"/>
      <c r="G49" s="7"/>
      <c r="H49" s="10"/>
      <c r="I49" s="7"/>
      <c r="J49" s="7"/>
    </row>
    <row r="50" spans="5:10">
      <c r="E50" s="11"/>
      <c r="F50" s="10"/>
      <c r="G50" s="7"/>
      <c r="H50" s="10"/>
      <c r="I50" s="7"/>
      <c r="J50" s="7"/>
    </row>
    <row r="51" spans="5:10">
      <c r="E51" s="11"/>
      <c r="F51" s="10"/>
      <c r="G51" s="7"/>
      <c r="H51" s="10"/>
      <c r="I51" s="7"/>
      <c r="J51" s="7"/>
    </row>
    <row r="52" spans="5:10">
      <c r="E52" s="11"/>
      <c r="F52" s="10"/>
      <c r="G52" s="7"/>
      <c r="H52" s="10"/>
      <c r="I52" s="7"/>
      <c r="J52" s="7"/>
    </row>
    <row r="53" spans="5:10">
      <c r="E53" s="11"/>
      <c r="F53" s="10"/>
      <c r="G53" s="7"/>
      <c r="H53" s="10"/>
      <c r="I53" s="7"/>
      <c r="J53" s="7"/>
    </row>
    <row r="54" spans="5:10">
      <c r="E54" s="11"/>
      <c r="F54" s="10"/>
      <c r="G54" s="7"/>
      <c r="H54" s="10"/>
      <c r="I54" s="7"/>
      <c r="J54" s="7"/>
    </row>
    <row r="55" spans="5:10">
      <c r="E55" s="11"/>
      <c r="F55" s="10"/>
      <c r="G55" s="7"/>
      <c r="H55" s="10"/>
      <c r="I55" s="7"/>
      <c r="J55" s="7"/>
    </row>
    <row r="56" spans="5:10">
      <c r="E56" s="11"/>
      <c r="F56" s="10"/>
      <c r="G56" s="7"/>
      <c r="H56" s="10"/>
      <c r="I56" s="7"/>
      <c r="J56" s="7"/>
    </row>
    <row r="57" spans="5:10">
      <c r="E57" s="11"/>
      <c r="F57" s="10"/>
      <c r="G57" s="7"/>
      <c r="H57" s="10"/>
      <c r="I57" s="7"/>
      <c r="J57" s="7"/>
    </row>
    <row r="58" spans="5:10">
      <c r="E58" s="11"/>
      <c r="F58" s="10"/>
      <c r="G58" s="7"/>
      <c r="H58" s="10"/>
      <c r="I58" s="7"/>
      <c r="J58" s="7"/>
    </row>
    <row r="59" spans="5:10">
      <c r="E59" s="11"/>
      <c r="F59" s="10"/>
      <c r="G59" s="7"/>
      <c r="H59" s="10"/>
      <c r="I59" s="7"/>
      <c r="J59" s="7"/>
    </row>
    <row r="60" spans="5:10">
      <c r="E60" s="11"/>
      <c r="F60" s="10"/>
      <c r="G60" s="7"/>
      <c r="H60" s="10"/>
      <c r="I60" s="7"/>
      <c r="J60" s="7"/>
    </row>
    <row r="61" spans="5:10">
      <c r="E61" s="11"/>
      <c r="F61" s="10"/>
      <c r="G61" s="7"/>
      <c r="H61" s="10"/>
      <c r="I61" s="7"/>
      <c r="J61" s="7"/>
    </row>
    <row r="62" spans="5:10">
      <c r="E62" s="11"/>
      <c r="F62" s="10"/>
      <c r="G62" s="7"/>
      <c r="H62" s="10"/>
      <c r="I62" s="7"/>
      <c r="J62" s="7"/>
    </row>
    <row r="63" spans="5:10">
      <c r="E63" s="11"/>
      <c r="F63" s="10"/>
      <c r="G63" s="7"/>
      <c r="H63" s="10"/>
      <c r="I63" s="7"/>
      <c r="J63" s="7"/>
    </row>
    <row r="64" spans="5:10">
      <c r="E64" s="11"/>
      <c r="F64" s="10"/>
      <c r="G64" s="7"/>
      <c r="H64" s="10"/>
      <c r="I64" s="7"/>
      <c r="J64" s="7"/>
    </row>
    <row r="65" spans="5:10">
      <c r="E65" s="11"/>
      <c r="F65" s="10"/>
      <c r="G65" s="7"/>
      <c r="H65" s="10"/>
      <c r="I65" s="7"/>
      <c r="J65" s="7"/>
    </row>
    <row r="66" spans="5:10">
      <c r="E66" s="11"/>
      <c r="F66" s="10"/>
      <c r="G66" s="7"/>
      <c r="H66" s="10"/>
      <c r="I66" s="7"/>
      <c r="J66" s="7"/>
    </row>
    <row r="67" spans="5:10">
      <c r="E67" s="11"/>
      <c r="F67" s="10"/>
      <c r="G67" s="7"/>
      <c r="H67" s="10"/>
      <c r="I67" s="7"/>
      <c r="J67" s="7"/>
    </row>
    <row r="68" spans="5:10">
      <c r="E68" s="11"/>
      <c r="F68" s="10"/>
      <c r="G68" s="7"/>
      <c r="H68" s="10"/>
      <c r="I68" s="7"/>
      <c r="J68" s="7"/>
    </row>
    <row r="69" spans="5:10">
      <c r="E69" s="11"/>
      <c r="F69" s="10"/>
      <c r="G69" s="7"/>
      <c r="H69" s="10"/>
      <c r="I69" s="7"/>
      <c r="J69" s="7"/>
    </row>
    <row r="70" spans="5:10">
      <c r="E70" s="11"/>
      <c r="F70" s="10"/>
      <c r="G70" s="7"/>
      <c r="H70" s="10"/>
      <c r="I70" s="7"/>
      <c r="J70" s="7"/>
    </row>
    <row r="71" spans="5:10">
      <c r="E71" s="11"/>
      <c r="F71" s="10"/>
      <c r="G71" s="7"/>
      <c r="H71" s="10"/>
      <c r="I71" s="7"/>
      <c r="J71" s="7"/>
    </row>
    <row r="72" spans="5:10">
      <c r="E72" s="11"/>
      <c r="F72" s="10"/>
      <c r="G72" s="7"/>
      <c r="H72" s="10"/>
      <c r="I72" s="7"/>
      <c r="J72" s="7"/>
    </row>
    <row r="73" spans="5:10">
      <c r="E73" s="11"/>
      <c r="F73" s="10"/>
      <c r="G73" s="7"/>
      <c r="H73" s="10"/>
      <c r="I73" s="7"/>
      <c r="J73" s="7"/>
    </row>
    <row r="74" spans="5:10">
      <c r="E74" s="11"/>
      <c r="F74" s="10"/>
      <c r="G74" s="7"/>
      <c r="H74" s="10"/>
      <c r="I74" s="7"/>
      <c r="J74" s="7"/>
    </row>
    <row r="75" spans="5:10">
      <c r="E75" s="11"/>
      <c r="F75" s="10"/>
      <c r="G75" s="7"/>
      <c r="H75" s="10"/>
      <c r="I75" s="7"/>
      <c r="J75" s="7"/>
    </row>
    <row r="76" spans="5:10">
      <c r="E76" s="11"/>
      <c r="F76" s="10"/>
      <c r="G76" s="7"/>
      <c r="H76" s="10"/>
      <c r="I76" s="7"/>
      <c r="J76" s="7"/>
    </row>
    <row r="77" spans="5:10">
      <c r="E77" s="11"/>
      <c r="F77" s="10"/>
      <c r="G77" s="7"/>
      <c r="H77" s="10"/>
      <c r="I77" s="7"/>
      <c r="J77" s="7"/>
    </row>
    <row r="78" spans="5:10">
      <c r="E78" s="11"/>
      <c r="F78" s="10"/>
      <c r="G78" s="7"/>
      <c r="H78" s="10"/>
      <c r="I78" s="7"/>
      <c r="J78" s="7"/>
    </row>
    <row r="79" spans="5:10">
      <c r="E79" s="11"/>
      <c r="F79" s="10"/>
      <c r="G79" s="7"/>
      <c r="H79" s="10"/>
      <c r="I79" s="7"/>
      <c r="J79" s="7"/>
    </row>
    <row r="80" spans="5:10">
      <c r="E80" s="11"/>
      <c r="F80" s="10"/>
      <c r="G80" s="7"/>
      <c r="H80" s="10"/>
      <c r="I80" s="7"/>
      <c r="J80" s="7"/>
    </row>
    <row r="81" spans="5:10">
      <c r="E81" s="11"/>
      <c r="F81" s="10"/>
      <c r="G81" s="7"/>
      <c r="H81" s="10"/>
      <c r="I81" s="7"/>
      <c r="J81" s="7"/>
    </row>
    <row r="82" spans="5:10">
      <c r="E82" s="11"/>
      <c r="F82" s="10"/>
      <c r="G82" s="7"/>
      <c r="H82" s="10"/>
      <c r="I82" s="7"/>
      <c r="J82" s="7"/>
    </row>
    <row r="83" spans="5:10">
      <c r="E83" s="11"/>
      <c r="F83" s="10"/>
      <c r="G83" s="7"/>
      <c r="H83" s="10"/>
      <c r="I83" s="7"/>
      <c r="J83" s="7"/>
    </row>
    <row r="84" spans="5:10">
      <c r="E84" s="11"/>
      <c r="F84" s="10"/>
      <c r="G84" s="7"/>
      <c r="H84" s="10"/>
      <c r="I84" s="7"/>
      <c r="J84" s="7"/>
    </row>
    <row r="85" spans="5:10">
      <c r="E85" s="11"/>
      <c r="F85" s="10"/>
      <c r="G85" s="7"/>
      <c r="H85" s="10"/>
      <c r="I85" s="7"/>
      <c r="J85" s="7"/>
    </row>
    <row r="86" spans="5:10">
      <c r="E86" s="11"/>
      <c r="F86" s="10"/>
      <c r="G86" s="7"/>
      <c r="H86" s="10"/>
      <c r="I86" s="7"/>
      <c r="J86" s="7"/>
    </row>
    <row r="87" spans="5:10">
      <c r="E87" s="11"/>
      <c r="F87" s="10"/>
      <c r="G87" s="7"/>
      <c r="H87" s="10"/>
      <c r="I87" s="7"/>
      <c r="J87" s="7"/>
    </row>
    <row r="88" spans="5:10">
      <c r="E88" s="11"/>
      <c r="F88" s="10"/>
      <c r="G88" s="7"/>
      <c r="H88" s="10"/>
      <c r="I88" s="7"/>
      <c r="J88" s="7"/>
    </row>
    <row r="89" spans="5:10">
      <c r="E89" s="11"/>
      <c r="F89" s="10"/>
      <c r="G89" s="7"/>
      <c r="H89" s="10"/>
      <c r="I89" s="7"/>
      <c r="J89" s="7"/>
    </row>
    <row r="90" spans="5:10">
      <c r="E90" s="11"/>
      <c r="F90" s="10"/>
      <c r="G90" s="7"/>
      <c r="H90" s="10"/>
      <c r="I90" s="7"/>
      <c r="J90" s="7"/>
    </row>
    <row r="91" spans="5:10">
      <c r="E91" s="11"/>
      <c r="F91" s="10"/>
      <c r="G91" s="7"/>
      <c r="H91" s="10"/>
      <c r="I91" s="7"/>
      <c r="J91" s="7"/>
    </row>
    <row r="92" spans="5:10">
      <c r="E92" s="11"/>
      <c r="F92" s="10"/>
      <c r="G92" s="7"/>
      <c r="H92" s="10"/>
      <c r="I92" s="7"/>
      <c r="J92" s="7"/>
    </row>
    <row r="93" spans="5:10">
      <c r="E93" s="11"/>
      <c r="F93" s="10"/>
      <c r="G93" s="7"/>
      <c r="H93" s="10"/>
      <c r="I93" s="7"/>
      <c r="J93" s="7"/>
    </row>
    <row r="94" spans="5:10">
      <c r="E94" s="11"/>
      <c r="F94" s="10"/>
      <c r="G94" s="7"/>
      <c r="H94" s="10"/>
      <c r="I94" s="7"/>
      <c r="J94" s="7"/>
    </row>
    <row r="95" spans="5:10">
      <c r="E95" s="11"/>
      <c r="F95" s="10"/>
      <c r="G95" s="7"/>
      <c r="H95" s="10"/>
      <c r="I95" s="7"/>
      <c r="J95" s="7"/>
    </row>
    <row r="96" spans="5:10">
      <c r="E96" s="11"/>
      <c r="F96" s="10"/>
      <c r="G96" s="7"/>
      <c r="H96" s="10"/>
      <c r="I96" s="7"/>
      <c r="J96" s="7"/>
    </row>
    <row r="97" spans="5:10">
      <c r="E97" s="11"/>
      <c r="F97" s="10"/>
      <c r="G97" s="7"/>
      <c r="H97" s="10"/>
      <c r="I97" s="7"/>
      <c r="J97" s="7"/>
    </row>
    <row r="98" spans="5:10">
      <c r="E98" s="11"/>
      <c r="F98" s="10"/>
      <c r="G98" s="7"/>
      <c r="H98" s="10"/>
      <c r="I98" s="7"/>
      <c r="J98" s="7"/>
    </row>
    <row r="99" spans="5:10">
      <c r="E99" s="11"/>
      <c r="F99" s="10"/>
      <c r="G99" s="7"/>
      <c r="H99" s="10"/>
      <c r="I99" s="7"/>
    </row>
    <row r="100" spans="5:10">
      <c r="E100" s="11"/>
      <c r="F100" s="10"/>
      <c r="G100" s="7"/>
      <c r="H100" s="10"/>
      <c r="I100" s="7"/>
    </row>
    <row r="101" spans="5:10">
      <c r="E101" s="11"/>
      <c r="F101" s="10"/>
      <c r="G101" s="7"/>
      <c r="H101" s="10"/>
      <c r="I101" s="7"/>
    </row>
    <row r="102" spans="5:10">
      <c r="E102" s="11"/>
      <c r="F102" s="10"/>
      <c r="G102" s="7"/>
      <c r="H102" s="10"/>
      <c r="I102" s="7"/>
    </row>
    <row r="103" spans="5:10">
      <c r="E103" s="11"/>
      <c r="F103" s="10"/>
      <c r="G103" s="7"/>
      <c r="H103" s="10"/>
      <c r="I103" s="7"/>
    </row>
    <row r="104" spans="5:10">
      <c r="E104" s="11"/>
      <c r="F104" s="10"/>
      <c r="G104" s="7"/>
      <c r="H104" s="10"/>
      <c r="I104" s="7"/>
    </row>
    <row r="105" spans="5:10">
      <c r="E105" s="11"/>
      <c r="F105" s="10"/>
      <c r="G105" s="7"/>
      <c r="H105" s="10"/>
      <c r="I105" s="7"/>
    </row>
    <row r="106" spans="5:10">
      <c r="E106" s="11"/>
      <c r="F106" s="10"/>
      <c r="G106" s="7"/>
      <c r="H106" s="10"/>
      <c r="I106" s="7"/>
    </row>
    <row r="107" spans="5:10">
      <c r="E107" s="11"/>
      <c r="F107" s="10"/>
      <c r="G107" s="7"/>
      <c r="H107" s="10"/>
      <c r="I107" s="7"/>
    </row>
    <row r="108" spans="5:10">
      <c r="E108" s="11"/>
      <c r="F108" s="10"/>
      <c r="G108" s="7"/>
      <c r="H108" s="10"/>
      <c r="I108" s="7"/>
    </row>
    <row r="109" spans="5:10">
      <c r="E109" s="11"/>
      <c r="F109" s="10"/>
      <c r="G109" s="7"/>
      <c r="H109" s="10"/>
      <c r="I109" s="7"/>
    </row>
    <row r="110" spans="5:10">
      <c r="E110" s="11"/>
      <c r="F110" s="10"/>
      <c r="G110" s="7"/>
      <c r="H110" s="10"/>
      <c r="I110" s="7"/>
    </row>
    <row r="111" spans="5:10">
      <c r="F111" s="10"/>
      <c r="G111" s="7"/>
      <c r="H111" s="10"/>
      <c r="I111" s="7"/>
    </row>
    <row r="112" spans="5:10">
      <c r="F112" s="10"/>
      <c r="G112" s="7"/>
      <c r="H112" s="10"/>
      <c r="I112" s="7"/>
    </row>
    <row r="113" spans="6:9">
      <c r="F113" s="10"/>
      <c r="G113" s="7"/>
      <c r="H113" s="10"/>
      <c r="I113" s="7"/>
    </row>
    <row r="114" spans="6:9">
      <c r="F114" s="10"/>
      <c r="G114" s="7"/>
      <c r="H114" s="10"/>
      <c r="I114" s="7"/>
    </row>
    <row r="115" spans="6:9">
      <c r="F115" s="10"/>
      <c r="G115" s="7"/>
      <c r="H115" s="10"/>
      <c r="I115" s="7"/>
    </row>
    <row r="116" spans="6:9">
      <c r="F116" s="10"/>
      <c r="G116" s="7"/>
      <c r="H116" s="10"/>
      <c r="I116" s="7"/>
    </row>
    <row r="117" spans="6:9">
      <c r="F117" s="10"/>
      <c r="G117" s="7"/>
      <c r="H117" s="10"/>
      <c r="I117" s="7"/>
    </row>
    <row r="118" spans="6:9">
      <c r="F118" s="10"/>
      <c r="G118" s="7"/>
      <c r="H118" s="10"/>
      <c r="I118" s="7"/>
    </row>
    <row r="119" spans="6:9">
      <c r="F119" s="10"/>
      <c r="G119" s="7"/>
      <c r="H119" s="10"/>
      <c r="I119" s="7"/>
    </row>
    <row r="120" spans="6:9">
      <c r="F120" s="10"/>
      <c r="G120" s="7"/>
      <c r="H120" s="10"/>
      <c r="I120" s="7"/>
    </row>
    <row r="121" spans="6:9">
      <c r="F121" s="10"/>
      <c r="G121" s="7"/>
      <c r="H121" s="10"/>
      <c r="I121" s="7"/>
    </row>
    <row r="122" spans="6:9">
      <c r="F122" s="10"/>
      <c r="G122" s="7"/>
      <c r="H122" s="10"/>
      <c r="I122" s="7"/>
    </row>
    <row r="123" spans="6:9">
      <c r="F123" s="10"/>
      <c r="G123" s="7"/>
      <c r="H123" s="10"/>
      <c r="I123" s="7"/>
    </row>
    <row r="124" spans="6:9">
      <c r="F124" s="10"/>
      <c r="G124" s="7"/>
      <c r="H124" s="10"/>
      <c r="I124" s="7"/>
    </row>
    <row r="125" spans="6:9">
      <c r="F125" s="10"/>
      <c r="G125" s="7"/>
      <c r="H125" s="10"/>
      <c r="I125" s="7"/>
    </row>
    <row r="126" spans="6:9">
      <c r="F126" s="10"/>
      <c r="G126" s="7"/>
      <c r="H126" s="10"/>
      <c r="I126" s="7"/>
    </row>
    <row r="127" spans="6:9">
      <c r="F127" s="10"/>
      <c r="G127" s="7"/>
      <c r="H127" s="10"/>
      <c r="I127" s="7"/>
    </row>
    <row r="128" spans="6:9">
      <c r="F128" s="10"/>
      <c r="G128" s="7"/>
      <c r="H128" s="10"/>
      <c r="I128" s="7"/>
    </row>
    <row r="129" spans="6:9">
      <c r="F129" s="10"/>
      <c r="G129" s="7"/>
      <c r="H129" s="10"/>
      <c r="I129" s="7"/>
    </row>
    <row r="130" spans="6:9">
      <c r="F130" s="10"/>
      <c r="G130" s="7"/>
      <c r="H130" s="10"/>
      <c r="I130" s="7"/>
    </row>
    <row r="131" spans="6:9">
      <c r="F131" s="10"/>
      <c r="G131" s="7"/>
      <c r="H131" s="10"/>
      <c r="I131" s="7"/>
    </row>
    <row r="132" spans="6:9">
      <c r="F132" s="10"/>
      <c r="G132" s="7"/>
      <c r="H132" s="10"/>
      <c r="I132" s="7"/>
    </row>
    <row r="133" spans="6:9">
      <c r="F133" s="10"/>
      <c r="G133" s="7"/>
      <c r="H133" s="10"/>
      <c r="I133" s="7"/>
    </row>
    <row r="134" spans="6:9">
      <c r="F134" s="10"/>
      <c r="G134" s="7"/>
      <c r="H134" s="10"/>
      <c r="I134" s="7"/>
    </row>
    <row r="135" spans="6:9">
      <c r="F135" s="10"/>
      <c r="G135" s="7"/>
      <c r="H135" s="10"/>
      <c r="I135" s="7"/>
    </row>
    <row r="136" spans="6:9">
      <c r="F136" s="10"/>
      <c r="G136" s="7"/>
      <c r="H136" s="10"/>
      <c r="I136" s="7"/>
    </row>
    <row r="137" spans="6:9">
      <c r="F137" s="10"/>
      <c r="G137" s="7"/>
      <c r="H137" s="10"/>
      <c r="I137" s="7"/>
    </row>
    <row r="138" spans="6:9">
      <c r="F138" s="10"/>
      <c r="G138" s="7"/>
      <c r="H138" s="10"/>
      <c r="I138" s="7"/>
    </row>
    <row r="139" spans="6:9">
      <c r="F139" s="10"/>
      <c r="G139" s="7"/>
      <c r="H139" s="10"/>
      <c r="I139" s="7"/>
    </row>
    <row r="140" spans="6:9">
      <c r="F140" s="10"/>
      <c r="G140" s="7"/>
      <c r="H140" s="10"/>
      <c r="I140" s="7"/>
    </row>
    <row r="141" spans="6:9">
      <c r="F141" s="10"/>
      <c r="G141" s="7"/>
      <c r="H141" s="10"/>
      <c r="I141" s="7"/>
    </row>
    <row r="142" spans="6:9">
      <c r="F142" s="10"/>
      <c r="G142" s="7"/>
      <c r="H142" s="10"/>
      <c r="I142" s="7"/>
    </row>
    <row r="143" spans="6:9">
      <c r="F143" s="10"/>
      <c r="G143" s="7"/>
      <c r="I143" s="7"/>
    </row>
    <row r="144" spans="6:9">
      <c r="F144" s="10"/>
      <c r="G144" s="7"/>
      <c r="I144" s="7"/>
    </row>
    <row r="145" spans="6:9">
      <c r="F145" s="10"/>
      <c r="G145" s="7"/>
      <c r="I145" s="7"/>
    </row>
    <row r="146" spans="6:9">
      <c r="F146" s="10"/>
      <c r="G146" s="7"/>
      <c r="I146" s="7"/>
    </row>
    <row r="147" spans="6:9">
      <c r="F147" s="10"/>
      <c r="G147" s="7"/>
      <c r="I147" s="7"/>
    </row>
    <row r="148" spans="6:9">
      <c r="F148" s="10"/>
      <c r="G148" s="7"/>
      <c r="I148" s="7"/>
    </row>
    <row r="149" spans="6:9">
      <c r="F149" s="10"/>
      <c r="G149" s="7"/>
      <c r="I149" s="7"/>
    </row>
    <row r="150" spans="6:9">
      <c r="F150" s="10"/>
      <c r="G150" s="7"/>
      <c r="I150" s="7"/>
    </row>
    <row r="151" spans="6:9">
      <c r="F151" s="10"/>
      <c r="G151" s="7"/>
      <c r="I151" s="7"/>
    </row>
    <row r="152" spans="6:9">
      <c r="F152" s="10"/>
      <c r="G152" s="7"/>
      <c r="I152" s="7"/>
    </row>
    <row r="153" spans="6:9">
      <c r="F153" s="10"/>
      <c r="G153" s="7"/>
      <c r="I153" s="7"/>
    </row>
    <row r="154" spans="6:9">
      <c r="F154" s="10"/>
      <c r="G154" s="7"/>
      <c r="I154" s="7"/>
    </row>
    <row r="155" spans="6:9">
      <c r="F155" s="10"/>
      <c r="G155" s="7"/>
      <c r="I155" s="7"/>
    </row>
    <row r="156" spans="6:9">
      <c r="F156" s="10"/>
      <c r="G156" s="7"/>
      <c r="I156" s="7"/>
    </row>
    <row r="157" spans="6:9">
      <c r="F157" s="10"/>
      <c r="G157" s="7"/>
      <c r="I157" s="7"/>
    </row>
    <row r="158" spans="6:9">
      <c r="F158" s="10"/>
      <c r="G158" s="7"/>
      <c r="I158" s="7"/>
    </row>
    <row r="159" spans="6:9">
      <c r="F159" s="10"/>
      <c r="G159" s="7"/>
      <c r="I159" s="7"/>
    </row>
    <row r="160" spans="6:9">
      <c r="F160" s="10"/>
      <c r="G160" s="7"/>
      <c r="I160" s="7"/>
    </row>
    <row r="161" spans="6:9">
      <c r="F161" s="10"/>
      <c r="G161" s="7"/>
      <c r="I161" s="7"/>
    </row>
    <row r="162" spans="6:9">
      <c r="F162" s="10"/>
      <c r="G162" s="7"/>
      <c r="I162" s="7"/>
    </row>
    <row r="163" spans="6:9">
      <c r="F163" s="10"/>
      <c r="G163" s="7"/>
      <c r="I163" s="7"/>
    </row>
    <row r="164" spans="6:9">
      <c r="F164" s="10"/>
      <c r="G164" s="7"/>
      <c r="I164" s="7"/>
    </row>
    <row r="165" spans="6:9">
      <c r="F165" s="10"/>
      <c r="G165" s="7"/>
    </row>
    <row r="166" spans="6:9">
      <c r="F166" s="10"/>
      <c r="G166" s="7"/>
    </row>
    <row r="167" spans="6:9">
      <c r="F167" s="10"/>
      <c r="G167" s="7"/>
    </row>
    <row r="168" spans="6:9">
      <c r="F168" s="10"/>
      <c r="G168" s="7"/>
    </row>
    <row r="169" spans="6:9">
      <c r="F169" s="10"/>
      <c r="G169" s="7"/>
    </row>
    <row r="170" spans="6:9">
      <c r="F170" s="10"/>
      <c r="G170" s="7"/>
    </row>
    <row r="171" spans="6:9">
      <c r="F171" s="10"/>
      <c r="G171" s="7"/>
    </row>
    <row r="172" spans="6:9">
      <c r="F172" s="10"/>
      <c r="G172" s="7"/>
    </row>
    <row r="173" spans="6:9">
      <c r="F173" s="10"/>
      <c r="G173" s="7"/>
    </row>
    <row r="174" spans="6:9">
      <c r="F174" s="10"/>
      <c r="G174" s="7"/>
    </row>
    <row r="175" spans="6:9">
      <c r="F175" s="10"/>
      <c r="G175" s="7"/>
    </row>
    <row r="176" spans="6:9">
      <c r="F176" s="10"/>
      <c r="G176" s="7"/>
    </row>
    <row r="177" spans="6:7">
      <c r="F177" s="10"/>
      <c r="G177" s="7"/>
    </row>
    <row r="178" spans="6:7">
      <c r="F178" s="10"/>
      <c r="G178" s="7"/>
    </row>
    <row r="179" spans="6:7">
      <c r="F179" s="10"/>
      <c r="G179" s="7"/>
    </row>
    <row r="180" spans="6:7">
      <c r="F180" s="10"/>
      <c r="G180" s="7"/>
    </row>
    <row r="181" spans="6:7">
      <c r="F181" s="10"/>
      <c r="G181" s="7"/>
    </row>
    <row r="182" spans="6:7">
      <c r="F182" s="10"/>
      <c r="G182" s="7"/>
    </row>
    <row r="183" spans="6:7">
      <c r="F183" s="10"/>
      <c r="G183" s="7"/>
    </row>
    <row r="184" spans="6:7">
      <c r="F184" s="10"/>
      <c r="G184" s="7"/>
    </row>
    <row r="185" spans="6:7">
      <c r="F185" s="10"/>
      <c r="G185" s="7"/>
    </row>
    <row r="186" spans="6:7">
      <c r="F186" s="10"/>
      <c r="G186" s="7"/>
    </row>
    <row r="187" spans="6:7">
      <c r="G187" s="7"/>
    </row>
    <row r="188" spans="6:7">
      <c r="G188" s="7"/>
    </row>
    <row r="189" spans="6:7">
      <c r="G189" s="7"/>
    </row>
    <row r="190" spans="6:7">
      <c r="G190" s="7"/>
    </row>
    <row r="191" spans="6:7">
      <c r="G191" s="7"/>
    </row>
    <row r="192" spans="6:7">
      <c r="G192" s="7"/>
    </row>
    <row r="193" spans="7:7">
      <c r="G193" s="7"/>
    </row>
    <row r="194" spans="7:7">
      <c r="G194" s="7"/>
    </row>
    <row r="195" spans="7:7">
      <c r="G195" s="7"/>
    </row>
    <row r="196" spans="7:7">
      <c r="G196" s="7"/>
    </row>
    <row r="197" spans="7:7">
      <c r="G197" s="7"/>
    </row>
    <row r="198" spans="7:7">
      <c r="G198" s="7"/>
    </row>
    <row r="199" spans="7:7">
      <c r="G199" s="7"/>
    </row>
    <row r="200" spans="7:7">
      <c r="G200" s="7"/>
    </row>
    <row r="201" spans="7:7">
      <c r="G201" s="7"/>
    </row>
    <row r="202" spans="7:7">
      <c r="G202" s="7"/>
    </row>
    <row r="203" spans="7:7">
      <c r="G203" s="7"/>
    </row>
    <row r="204" spans="7:7">
      <c r="G204" s="7"/>
    </row>
    <row r="205" spans="7:7">
      <c r="G205" s="7"/>
    </row>
    <row r="206" spans="7:7">
      <c r="G206" s="7"/>
    </row>
    <row r="207" spans="7:7">
      <c r="G207" s="7"/>
    </row>
    <row r="208" spans="7:7">
      <c r="G208" s="7"/>
    </row>
  </sheetData>
  <mergeCells count="3">
    <mergeCell ref="D8:E8"/>
    <mergeCell ref="F8:G8"/>
    <mergeCell ref="H8:I8"/>
  </mergeCells>
  <phoneticPr fontId="13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44833-F979-45E3-8E25-7553B0455C68}">
  <dimension ref="B2:K17"/>
  <sheetViews>
    <sheetView tabSelected="1" topLeftCell="A4" workbookViewId="0">
      <selection activeCell="G15" sqref="G15:K17"/>
    </sheetView>
  </sheetViews>
  <sheetFormatPr defaultRowHeight="17.5"/>
  <sheetData>
    <row r="2" spans="2:11">
      <c r="B2" t="s">
        <v>32</v>
      </c>
      <c r="C2" t="s">
        <v>33</v>
      </c>
      <c r="D2" t="s">
        <v>34</v>
      </c>
      <c r="E2" t="s">
        <v>35</v>
      </c>
    </row>
    <row r="3" spans="2:11">
      <c r="B3" cm="1">
        <f t="array" ref="B3:B12">_xlfn.SEQUENCE(10, 1, 0.001, 0.001)</f>
        <v>1E-3</v>
      </c>
      <c r="C3" s="24">
        <v>3.0268645934436855</v>
      </c>
      <c r="D3">
        <f>LN(B3)</f>
        <v>-6.9077552789821368</v>
      </c>
      <c r="E3">
        <f>LN(C3)</f>
        <v>1.1075272961165654</v>
      </c>
    </row>
    <row r="4" spans="2:11">
      <c r="B4">
        <v>2E-3</v>
      </c>
      <c r="C4" s="24">
        <v>2.9815611595906195</v>
      </c>
      <c r="D4">
        <f t="shared" ref="D4:D12" si="0">LN(B4)</f>
        <v>-6.2146080984221914</v>
      </c>
      <c r="E4">
        <f t="shared" ref="E4:E12" si="1">LN(C4)</f>
        <v>1.0924470423978418</v>
      </c>
    </row>
    <row r="5" spans="2:11">
      <c r="B5">
        <v>3.0000000000000001E-3</v>
      </c>
      <c r="C5" s="24">
        <v>3.0022199248696562</v>
      </c>
      <c r="D5">
        <f t="shared" si="0"/>
        <v>-5.8091429903140277</v>
      </c>
      <c r="E5">
        <f t="shared" si="1"/>
        <v>1.0993519899781796</v>
      </c>
    </row>
    <row r="6" spans="2:11">
      <c r="B6" s="3">
        <v>4.0000000000000001E-3</v>
      </c>
      <c r="C6" s="24">
        <v>2.9864203164372047</v>
      </c>
      <c r="D6">
        <f t="shared" si="0"/>
        <v>-5.521460917862246</v>
      </c>
      <c r="E6">
        <f t="shared" si="1"/>
        <v>1.0940754515810347</v>
      </c>
    </row>
    <row r="7" spans="2:11">
      <c r="B7">
        <v>5.0000000000000001E-3</v>
      </c>
      <c r="C7" s="24">
        <v>2.9900533967750418</v>
      </c>
      <c r="D7">
        <f t="shared" si="0"/>
        <v>-5.2983173665480363</v>
      </c>
      <c r="E7">
        <f t="shared" si="1"/>
        <v>1.095291245696326</v>
      </c>
    </row>
    <row r="8" spans="2:11">
      <c r="B8">
        <v>6.0000000000000001E-3</v>
      </c>
      <c r="C8" s="24">
        <v>2.9722508440734146</v>
      </c>
      <c r="D8">
        <f t="shared" si="0"/>
        <v>-5.1159958097540823</v>
      </c>
      <c r="E8">
        <f t="shared" si="1"/>
        <v>1.0893195257411397</v>
      </c>
    </row>
    <row r="9" spans="2:11">
      <c r="B9">
        <v>7.0000000000000001E-3</v>
      </c>
      <c r="C9" s="24">
        <v>2.9220972596330319</v>
      </c>
      <c r="D9">
        <f t="shared" si="0"/>
        <v>-4.9618451299268234</v>
      </c>
      <c r="E9">
        <f t="shared" si="1"/>
        <v>1.0723015980699211</v>
      </c>
    </row>
    <row r="10" spans="2:11">
      <c r="B10">
        <v>8.0000000000000002E-3</v>
      </c>
      <c r="C10" s="24">
        <v>2.9180800172791819</v>
      </c>
      <c r="D10">
        <f t="shared" si="0"/>
        <v>-4.8283137373023015</v>
      </c>
      <c r="E10">
        <f t="shared" si="1"/>
        <v>1.0709258716845853</v>
      </c>
    </row>
    <row r="11" spans="2:11">
      <c r="B11">
        <v>9.0000000000000011E-3</v>
      </c>
      <c r="C11" s="24">
        <v>2.913992503544006</v>
      </c>
      <c r="D11">
        <f t="shared" si="0"/>
        <v>-4.7105307016459177</v>
      </c>
      <c r="E11">
        <f t="shared" si="1"/>
        <v>1.0695241352041605</v>
      </c>
    </row>
    <row r="12" spans="2:11">
      <c r="B12">
        <v>1.0000000000000002E-2</v>
      </c>
      <c r="C12" s="24">
        <v>2.9627823471347252</v>
      </c>
      <c r="D12">
        <f t="shared" si="0"/>
        <v>-4.6051701859880909</v>
      </c>
      <c r="E12">
        <f t="shared" si="1"/>
        <v>1.0861288089695176</v>
      </c>
    </row>
    <row r="15" spans="2:11">
      <c r="G15" s="25" t="s">
        <v>36</v>
      </c>
      <c r="H15" s="25"/>
      <c r="I15" s="25"/>
      <c r="J15" s="25"/>
      <c r="K15" s="25"/>
    </row>
    <row r="16" spans="2:11">
      <c r="G16" s="25"/>
      <c r="H16" s="25"/>
      <c r="I16" s="25"/>
      <c r="J16" s="25"/>
      <c r="K16" s="25"/>
    </row>
    <row r="17" spans="7:11">
      <c r="G17" s="25"/>
      <c r="H17" s="25"/>
      <c r="I17" s="25"/>
      <c r="J17" s="25"/>
      <c r="K17" s="25"/>
    </row>
  </sheetData>
  <mergeCells count="1">
    <mergeCell ref="G15:K17"/>
  </mergeCells>
  <phoneticPr fontId="1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11</vt:i4>
      </vt:variant>
    </vt:vector>
  </HeadingPairs>
  <TitlesOfParts>
    <vt:vector size="14" baseType="lpstr">
      <vt:lpstr>Elementary</vt:lpstr>
      <vt:lpstr>Simulation</vt:lpstr>
      <vt:lpstr>Plot</vt:lpstr>
      <vt:lpstr>dt</vt:lpstr>
      <vt:lpstr>error</vt:lpstr>
      <vt:lpstr>f</vt:lpstr>
      <vt:lpstr>hedge</vt:lpstr>
      <vt:lpstr>k</vt:lpstr>
      <vt:lpstr>last</vt:lpstr>
      <vt:lpstr>mu</vt:lpstr>
      <vt:lpstr>payoff</vt:lpstr>
      <vt:lpstr>put</vt:lpstr>
      <vt:lpstr>sigma</vt:lpstr>
      <vt:lpstr>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Keith Lewis</dc:creator>
  <cp:lastModifiedBy>zm h</cp:lastModifiedBy>
  <dcterms:created xsi:type="dcterms:W3CDTF">2026-02-23T20:58:14Z</dcterms:created>
  <dcterms:modified xsi:type="dcterms:W3CDTF">2026-03-02T01:51:53Z</dcterms:modified>
</cp:coreProperties>
</file>