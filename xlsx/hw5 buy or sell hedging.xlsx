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81303\source\repos\xll_ml\xlsx\"/>
    </mc:Choice>
  </mc:AlternateContent>
  <xr:revisionPtr revIDLastSave="0" documentId="13_ncr:1_{2CAB2072-A58C-4F66-AFBB-2408782DBC2A}" xr6:coauthVersionLast="47" xr6:coauthVersionMax="47" xr10:uidLastSave="{00000000-0000-0000-0000-000000000000}"/>
  <bookViews>
    <workbookView xWindow="5190" yWindow="2670" windowWidth="21600" windowHeight="11835" xr2:uid="{00000000-000D-0000-FFFF-FFFF00000000}"/>
  </bookViews>
  <sheets>
    <sheet name="Sheet1" sheetId="1" r:id="rId1"/>
  </sheets>
  <definedNames>
    <definedName name="_M">_xlfn.ANCHORARRAY(Sheet1!$H$10)</definedName>
    <definedName name="_N">_xlfn.ANCHORARRAY(Sheet1!$I$10)</definedName>
    <definedName name="A">_xlfn.ANCHORARRAY(Sheet1!$K$10)</definedName>
    <definedName name="ad">_xlfn.LAMBDA(_xlpm.x, _xlfn.VSTACK(_xlfn.TAKE(_xlpm.x,1), _xlfn.DROP(_xlpm.x,1) - _xlfn.DROP(_xlpm.x,-1)))</definedName>
    <definedName name="B_">_xlfn.ANCHORARRAY(Sheet1!$C$10)</definedName>
    <definedName name="co">_xlfn.LAMBDA(_xlpm.x,_xlfn.LET(_xlpm.x_,_xlfn.DROP(_xlpm.x,-1),_xlfn.VSTACK(_xlpm.x_, -SUM(_xlpm.x_))))</definedName>
    <definedName name="dt">Sheet1!$C$6</definedName>
    <definedName name="error">Sheet1!$G$6</definedName>
    <definedName name="f">Sheet1!$C$3</definedName>
    <definedName name="hedge">Sheet1!$G$5</definedName>
    <definedName name="k">Sheet1!$C$7</definedName>
    <definedName name="last">Sheet1!$G$3</definedName>
    <definedName name="M">_xlfn.ANCHORARRAY(Sheet1!$F$10)</definedName>
    <definedName name="mu">Sheet1!$C$2</definedName>
    <definedName name="N">_xlfn.ANCHORARRAY(Sheet1!$G$10)</definedName>
    <definedName name="payoff">Sheet1!$G$4</definedName>
    <definedName name="put">Sheet1!$G$2</definedName>
    <definedName name="R_">_xlfn.ANCHORARRAY(Sheet1!$D$10)</definedName>
    <definedName name="S_">_xlfn.ANCHORARRAY(Sheet1!$E$10)</definedName>
    <definedName name="sigma">Sheet1!$C$4</definedName>
    <definedName name="t">Sheet1!$C$5</definedName>
    <definedName name="t_">_xlfn.ANCHORARRAY(Sheet1!$B$10)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R7" i="1" a="1"/>
  <c r="O3" i="1" a="1"/>
  <c r="I2" i="1" a="1"/>
  <c r="G2" i="1" a="1"/>
  <c r="K2" i="1" a="1"/>
  <c r="J2" i="1" a="1"/>
  <c r="B10" i="1" a="1"/>
  <c r="B1" i="1" a="1"/>
  <c r="J2" i="1" l="1"/>
  <c r="N21" i="1"/>
  <c r="P20" i="1"/>
  <c r="B10" i="1"/>
  <c r="K2" i="1"/>
  <c r="B1" i="1"/>
  <c r="G2" i="1"/>
  <c r="I2" i="1"/>
  <c r="P3" i="1" a="1"/>
  <c r="P3" i="1" s="1"/>
  <c r="U7" i="1" a="1"/>
  <c r="U7" i="1" s="1"/>
  <c r="O3" i="1"/>
  <c r="R7" i="1"/>
  <c r="C10" i="1" a="1"/>
  <c r="M20" i="1" s="1" a="1"/>
  <c r="M21" i="1" l="1"/>
  <c r="M20" i="1"/>
  <c r="C10" i="1"/>
  <c r="E10" i="1" s="1" a="1"/>
  <c r="M14" i="1"/>
  <c r="T13" i="1"/>
  <c r="T12" i="1"/>
  <c r="T11" i="1"/>
  <c r="T10" i="1"/>
  <c r="T16" i="1"/>
  <c r="T15" i="1"/>
  <c r="T14" i="1"/>
  <c r="T9" i="1"/>
  <c r="T8" i="1"/>
  <c r="L2" i="1"/>
  <c r="M2" i="1" s="1"/>
  <c r="O20" i="1" a="1"/>
  <c r="M16" i="1" a="1"/>
  <c r="D10" i="1" l="1" a="1"/>
  <c r="D10" i="1" s="1"/>
  <c r="O21" i="1"/>
  <c r="O20" i="1"/>
  <c r="M16" i="1"/>
  <c r="N14" i="1"/>
  <c r="E10" i="1"/>
  <c r="I10" i="1" s="1" a="1"/>
  <c r="I10" i="1" s="1"/>
  <c r="L10" i="1" a="1"/>
  <c r="L10" i="1" s="1"/>
  <c r="G3" i="1" a="1"/>
  <c r="G3" i="1" s="1"/>
  <c r="G4" i="1" s="1"/>
  <c r="H4" i="1" a="1"/>
  <c r="G10" i="1" l="1" a="1"/>
  <c r="N16" i="1"/>
  <c r="I4" i="1"/>
  <c r="H4" i="1"/>
  <c r="G10" i="1" l="1"/>
  <c r="M10" i="1" s="1"/>
  <c r="M11" i="1"/>
  <c r="F10" i="1" a="1"/>
  <c r="N11" i="1" l="1"/>
  <c r="F10" i="1"/>
  <c r="N10" i="1" s="1"/>
  <c r="K10" i="1" l="1" a="1"/>
  <c r="H10" i="1" a="1"/>
  <c r="H10" i="1" l="1"/>
  <c r="J10" i="1" s="1" a="1"/>
  <c r="J10" i="1" s="1"/>
  <c r="K10" i="1"/>
  <c r="G5" i="1" a="1"/>
  <c r="G5" i="1" s="1"/>
  <c r="G6" i="1" s="1"/>
  <c r="H6" i="1" a="1"/>
  <c r="I6" i="1" l="1"/>
  <c r="J6" i="1" s="1"/>
  <c r="H6" i="1"/>
  <c r="S7" i="1"/>
  <c r="T7" i="1" s="1"/>
  <c r="V7" i="1" s="1" a="1"/>
  <c r="V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H4" authorId="0" shapeId="0" xr:uid="{D9AEAE0F-546A-421E-9C5D-A651DB0FA6BE}">
      <text>
        <r>
          <rPr>
            <b/>
            <sz val="11"/>
            <color indexed="81"/>
            <rFont val="Tahoma"/>
            <family val="2"/>
          </rPr>
          <t>E[max(k - F, 0)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<sst xmlns="http://schemas.openxmlformats.org/spreadsheetml/2006/main" count="34" uniqueCount="33">
  <si>
    <t>mu</t>
  </si>
  <si>
    <t>put</t>
  </si>
  <si>
    <t>f</t>
  </si>
  <si>
    <t>last</t>
  </si>
  <si>
    <t>sigma</t>
  </si>
  <si>
    <t>payoff</t>
  </si>
  <si>
    <t>t</t>
  </si>
  <si>
    <t>hedge</t>
  </si>
  <si>
    <t>dt</t>
    <phoneticPr fontId="3" type="noConversion"/>
  </si>
  <si>
    <t>error</t>
  </si>
  <si>
    <t>accuracy</t>
  </si>
  <si>
    <t>error</t>
    <phoneticPr fontId="3" type="noConversion"/>
  </si>
  <si>
    <t>accuracy</t>
    <phoneticPr fontId="3" type="noConversion"/>
  </si>
  <si>
    <t>log(dt)</t>
    <phoneticPr fontId="3" type="noConversion"/>
  </si>
  <si>
    <t>log(accuracy)</t>
    <phoneticPr fontId="3" type="noConversion"/>
  </si>
  <si>
    <t>k</t>
  </si>
  <si>
    <t>X</t>
  </si>
  <si>
    <t>Γ</t>
  </si>
  <si>
    <t>Δ+Γ</t>
  </si>
  <si>
    <t>(Δ+Γ).X</t>
  </si>
  <si>
    <t>-Γ.X</t>
  </si>
  <si>
    <t>t_</t>
  </si>
  <si>
    <t>B_</t>
    <phoneticPr fontId="3" type="noConversion"/>
  </si>
  <si>
    <t>R_</t>
  </si>
  <si>
    <t>S_</t>
  </si>
  <si>
    <t>M</t>
  </si>
  <si>
    <t>N</t>
  </si>
  <si>
    <t>_M</t>
  </si>
  <si>
    <t>_N</t>
  </si>
  <si>
    <t>V</t>
  </si>
  <si>
    <t>A</t>
  </si>
  <si>
    <t>intrinsic</t>
  </si>
  <si>
    <t>Accuracy is not determined by dt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</si>
</sst>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6" formatCode="_(* #,##0_);_(* \(#,##0\);_(* &quot;-&quot;??_);_(@_)"/>
    <numFmt numFmtId="177" formatCode="0.0000"/>
    <numFmt numFmtId="178" formatCode="0.000"/>
    <numFmt numFmtId="179" formatCode="0.0%"/>
  </numFmts>
  <fonts count="10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4"/>
      <color theme="0" tint="-0.34998626667073579"/>
      <name val="等线"/>
      <family val="2"/>
      <scheme val="minor"/>
    </font>
    <font>
      <b/>
      <sz val="14"/>
      <color theme="1"/>
      <name val="等线"/>
      <family val="2"/>
      <scheme val="minor"/>
    </font>
    <font>
      <sz val="14"/>
      <color theme="1"/>
      <name val="Aptos Narrow"/>
      <family val="2"/>
    </font>
    <font>
      <sz val="14"/>
      <color theme="0" tint="-0.499984740745262"/>
      <name val="等线"/>
      <family val="2"/>
      <scheme val="minor"/>
    </font>
    <font>
      <b/>
      <sz val="11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</cellStyleXfs>
  <cellXfs count="19">
    <xf numFmtId="0" fontId="0" fillId="0" borderId="0" xfId="0"/>
    <xf numFmtId="176" fontId="4" fillId="0" borderId="0" xfId="1" applyNumberFormat="1" applyFont="1" applyAlignment="1"/>
    <xf numFmtId="0" fontId="0" fillId="0" borderId="0" xfId="0" applyAlignment="1">
      <alignment horizontal="right"/>
    </xf>
    <xf numFmtId="177" fontId="0" fillId="0" borderId="0" xfId="0" applyNumberFormat="1"/>
    <xf numFmtId="177" fontId="5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/>
    <xf numFmtId="178" fontId="0" fillId="0" borderId="0" xfId="0" applyNumberFormat="1"/>
    <xf numFmtId="177" fontId="2" fillId="2" borderId="1" xfId="3" applyNumberFormat="1" applyAlignment="1"/>
    <xf numFmtId="179" fontId="0" fillId="0" borderId="0" xfId="2" applyNumberFormat="1" applyFont="1" applyAlignment="1">
      <alignment horizontal="center"/>
    </xf>
    <xf numFmtId="0" fontId="6" fillId="0" borderId="0" xfId="0" applyFont="1"/>
    <xf numFmtId="0" fontId="0" fillId="0" borderId="2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8" fillId="0" borderId="0" xfId="0" applyFont="1"/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4">
    <cellStyle name="Comma" xfId="1" builtinId="3"/>
    <cellStyle name="Normal" xfId="0" builtinId="0"/>
    <cellStyle name="Output" xfId="3" builtinId="2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buy or sell hedge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Sheet1!$U$7:$U$16</c:f>
              <c:numCache>
                <c:formatCode>General</c:formatCode>
                <c:ptCount val="10"/>
                <c:pt idx="0">
                  <c:v>-3</c:v>
                </c:pt>
                <c:pt idx="1">
                  <c:v>-2.6989700043360187</c:v>
                </c:pt>
                <c:pt idx="2">
                  <c:v>-2.5228787452803374</c:v>
                </c:pt>
                <c:pt idx="3">
                  <c:v>-2.3979400086720375</c:v>
                </c:pt>
                <c:pt idx="4">
                  <c:v>-2.3010299956639813</c:v>
                </c:pt>
                <c:pt idx="5">
                  <c:v>-2.2218487496163561</c:v>
                </c:pt>
                <c:pt idx="6">
                  <c:v>-2.1549019599857431</c:v>
                </c:pt>
                <c:pt idx="7">
                  <c:v>-2.0969100130080562</c:v>
                </c:pt>
                <c:pt idx="8">
                  <c:v>-2.0457574905606752</c:v>
                </c:pt>
                <c:pt idx="9">
                  <c:v>-2</c:v>
                </c:pt>
              </c:numCache>
            </c:numRef>
          </c:xVal>
          <c:yVal>
            <c:numRef>
              <c:f>Sheet1!$V$7:$V$16</c:f>
              <c:numCache>
                <c:formatCode>General</c:formatCode>
                <c:ptCount val="10"/>
                <c:pt idx="0">
                  <c:v>2.3928690911709311E-2</c:v>
                </c:pt>
                <c:pt idx="1">
                  <c:v>0.76525041355202927</c:v>
                </c:pt>
                <c:pt idx="2">
                  <c:v>0.67978147583067816</c:v>
                </c:pt>
                <c:pt idx="3">
                  <c:v>0.11504662910452669</c:v>
                </c:pt>
                <c:pt idx="4">
                  <c:v>-0.55198615642050608</c:v>
                </c:pt>
                <c:pt idx="5">
                  <c:v>0.1386392274523757</c:v>
                </c:pt>
                <c:pt idx="6">
                  <c:v>0.11768838164661385</c:v>
                </c:pt>
                <c:pt idx="7">
                  <c:v>1.8120231594719164E-3</c:v>
                </c:pt>
                <c:pt idx="8">
                  <c:v>0.21621843616615508</c:v>
                </c:pt>
                <c:pt idx="9">
                  <c:v>-0.17700624533483084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EA-406F-A038-ED73BA6E3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823"/>
        <c:axId val="1951182352"/>
      </c:scatterChart>
      <c:valAx>
        <c:axId val="140092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1182352"/>
        <c:crosses val="autoZero"/>
        <c:crossBetween val="midCat"/>
      </c:valAx>
      <c:valAx>
        <c:axId val="195118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092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147637</xdr:colOff>
      <xdr:row>16</xdr:row>
      <xdr:rowOff>147637</xdr:rowOff>
    </xdr:from>
    <xdr:to>
      <xdr:col>22</xdr:col>
      <xdr:colOff>604837</xdr:colOff>
      <xdr:row>31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547867-28E8-B3F2-7316-3089C79BF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8"/>
  <sheetViews>
    <sheetView tabSelected="1" topLeftCell="G1" workbookViewId="0">
      <selection activeCell="R3" sqref="R3"/>
    </sheetView>
  </sheetViews>
  <sheetFormatPr defaultRowHeight="14.25"/>
  <cols>
    <col min="1" max="1" width="4.5" customWidth="1"/>
    <col min="2" max="2" width="12.375" bestFit="1" customWidth="1"/>
    <col min="7" max="7" width="14.625" bestFit="1" customWidth="1"/>
    <col min="10" max="10" width="12.75" bestFit="1" customWidth="1"/>
    <col min="13" max="13" width="14.625" bestFit="1" customWidth="1"/>
  </cols>
  <sheetData>
    <row r="1" spans="2:22" ht="15.75">
      <c r="B1" s="1" cm="1">
        <f t="array" aca="1" ref="B1" ca="1">_xll.MONTE.COUNT()</f>
        <v>0</v>
      </c>
    </row>
    <row r="2" spans="2:22" ht="18">
      <c r="B2" s="2" t="s">
        <v>0</v>
      </c>
      <c r="C2">
        <v>0</v>
      </c>
      <c r="F2" s="2" t="s">
        <v>1</v>
      </c>
      <c r="G2" s="3" cm="1">
        <f t="array" ref="G2">_xll.OPTION.BLACK.PUT(f, sigma*SQRT(t), k)</f>
        <v>3.987761167674492</v>
      </c>
      <c r="I2" s="4" cm="1">
        <f t="array" ref="I2">_xll.OPTION.BLACK.PUT_DELTA(f, sigma*SQRT(t), k)</f>
        <v>-0.48006119416162751</v>
      </c>
      <c r="J2" s="4" cm="1">
        <f t="array" ref="J2">_xll.OPTION.BLACK.PUT(f+0.01, sigma*SQRT(t), k)</f>
        <v>3.9829625478526722</v>
      </c>
      <c r="K2" s="4" cm="1">
        <f t="array" ref="K2">_xll.OPTION.BLACK.PUT(f-0.01, sigma*SQRT(t), k)</f>
        <v>3.9925637719351386</v>
      </c>
      <c r="L2" s="4">
        <f>(J2-K2)/0.02</f>
        <v>-0.48006120412331654</v>
      </c>
      <c r="M2" s="5">
        <f>I2-L2</f>
        <v>9.9616890292253402E-9</v>
      </c>
    </row>
    <row r="3" spans="2:22" ht="18">
      <c r="B3" s="2" t="s">
        <v>2</v>
      </c>
      <c r="C3">
        <v>100</v>
      </c>
      <c r="F3" s="2" t="s">
        <v>3</v>
      </c>
      <c r="G3" s="3" cm="1">
        <f t="array" aca="1" ref="G3" ca="1">_xlfn.TAKE(S_,-1)</f>
        <v>103.51570788556606</v>
      </c>
      <c r="N3" s="6">
        <v>1</v>
      </c>
      <c r="O3" s="6" cm="1">
        <f t="array" ref="O3:O5">ad(N3:N5)</f>
        <v>1</v>
      </c>
      <c r="P3" s="6" cm="1">
        <f t="array" ref="P3:P5">_xlfn.SCAN(0,_xlfn.ANCHORARRAY(O3),_xlfn.LAMBDA(_xlpm.a,_xlpm.b,_xlpm.a+_xlpm.b))</f>
        <v>1</v>
      </c>
    </row>
    <row r="4" spans="2:22" ht="18">
      <c r="B4" s="2" t="s">
        <v>4</v>
      </c>
      <c r="C4">
        <v>0.2</v>
      </c>
      <c r="F4" s="2" t="s">
        <v>5</v>
      </c>
      <c r="G4" s="7">
        <f ca="1">MAX(k - last,0)</f>
        <v>0</v>
      </c>
      <c r="H4" s="7">
        <f t="array" aca="1" ref="H4:I4" ca="1">_xll.MONTE.STDEV(G4)</f>
        <v>3.9809247744181899</v>
      </c>
      <c r="I4" s="7">
        <f ca="1"/>
        <v>5.4664008231117904</v>
      </c>
      <c r="M4">
        <v>1E-3</v>
      </c>
      <c r="N4" s="6">
        <v>2</v>
      </c>
      <c r="O4" s="6">
        <v>1</v>
      </c>
      <c r="P4" s="6">
        <v>2</v>
      </c>
    </row>
    <row r="5" spans="2:22" ht="18">
      <c r="B5" s="2" t="s">
        <v>6</v>
      </c>
      <c r="C5">
        <v>0.25</v>
      </c>
      <c r="F5" s="2" t="s">
        <v>7</v>
      </c>
      <c r="G5" s="7" cm="1">
        <f t="array" aca="1" ref="G5" ca="1">_xlfn.TAKE(A,-1)</f>
        <v>8.2014050751437821</v>
      </c>
      <c r="H5" s="7"/>
      <c r="I5" s="7"/>
      <c r="M5">
        <v>0.01</v>
      </c>
      <c r="N5" s="6">
        <v>3</v>
      </c>
      <c r="O5" s="6">
        <v>1</v>
      </c>
      <c r="P5" s="6">
        <v>3</v>
      </c>
      <c r="R5" t="s">
        <v>32</v>
      </c>
    </row>
    <row r="6" spans="2:22" ht="18">
      <c r="B6" s="2" t="s">
        <v>8</v>
      </c>
      <c r="C6">
        <f>1/500</f>
        <v>2E-3</v>
      </c>
      <c r="F6" s="2" t="s">
        <v>9</v>
      </c>
      <c r="G6" s="7">
        <f ca="1">payoff-hedge</f>
        <v>-8.2014050751437821</v>
      </c>
      <c r="H6" s="3" t="e">
        <f t="array" aca="1" ref="H6:I6" ca="1">_xll.MONTE.STDEV(error)</f>
        <v>#VALUE!</v>
      </c>
      <c r="I6" s="8" t="e">
        <f ca="1"/>
        <v>#VALUE!</v>
      </c>
      <c r="J6" s="9" t="e">
        <f ca="1">I6/put</f>
        <v>#VALUE!</v>
      </c>
      <c r="K6" s="10" t="s">
        <v>10</v>
      </c>
      <c r="M6">
        <v>0.1</v>
      </c>
      <c r="R6" t="s">
        <v>8</v>
      </c>
      <c r="S6" t="s">
        <v>11</v>
      </c>
      <c r="T6" t="s">
        <v>12</v>
      </c>
      <c r="U6" t="s">
        <v>13</v>
      </c>
      <c r="V6" t="s">
        <v>14</v>
      </c>
    </row>
    <row r="7" spans="2:22">
      <c r="B7" s="2" t="s">
        <v>15</v>
      </c>
      <c r="C7">
        <v>100</v>
      </c>
      <c r="R7" cm="1">
        <f t="array" ref="R7:R16">_xlfn.SEQUENCE(10, 1, 0.001, 0.001)</f>
        <v>1E-3</v>
      </c>
      <c r="S7">
        <f ca="1">error</f>
        <v>-8.2014050751437821</v>
      </c>
      <c r="T7">
        <f t="shared" ref="T7" ca="1" si="0">1-ABS(S7)/put</f>
        <v>-1.0566439990503556</v>
      </c>
      <c r="U7" cm="1">
        <f t="array" ref="U7:U16">LOG(_xlfn.ANCHORARRAY(R7))</f>
        <v>-3</v>
      </c>
      <c r="V7" cm="1">
        <f t="array" aca="1" ref="V7:V16" ca="1">LOG(ABS(T7:T16))</f>
        <v>2.3928690911709311E-2</v>
      </c>
    </row>
    <row r="8" spans="2:22" ht="18.75">
      <c r="D8" s="17" t="s">
        <v>16</v>
      </c>
      <c r="E8" s="17"/>
      <c r="F8" s="18" t="s">
        <v>17</v>
      </c>
      <c r="G8" s="18"/>
      <c r="H8" s="18" t="s">
        <v>18</v>
      </c>
      <c r="I8" s="18"/>
      <c r="J8" s="12" t="s">
        <v>19</v>
      </c>
      <c r="K8" s="13" t="s">
        <v>20</v>
      </c>
      <c r="R8">
        <v>2E-3</v>
      </c>
      <c r="S8">
        <f t="dataTable" ref="S8:S16" dt2D="0" dtr="0" r1="C6" ca="1"/>
        <v>27.214035616781828</v>
      </c>
      <c r="T8">
        <f t="shared" ref="T8:T9" si="1">1-ABS(S8)/put</f>
        <v>-5.824389544033802</v>
      </c>
      <c r="U8">
        <v>-2.6989700043360187</v>
      </c>
      <c r="V8">
        <f ca="1"/>
        <v>0.76525041355202927</v>
      </c>
    </row>
    <row r="9" spans="2:22">
      <c r="B9" s="11" t="s">
        <v>21</v>
      </c>
      <c r="C9" s="11" t="s">
        <v>22</v>
      </c>
      <c r="D9" s="11" t="s">
        <v>23</v>
      </c>
      <c r="E9" s="11" t="s">
        <v>24</v>
      </c>
      <c r="F9" s="11" t="s">
        <v>25</v>
      </c>
      <c r="G9" s="11" t="s">
        <v>26</v>
      </c>
      <c r="H9" s="11" t="s">
        <v>27</v>
      </c>
      <c r="I9" s="11" t="s">
        <v>28</v>
      </c>
      <c r="J9" s="11" t="s">
        <v>29</v>
      </c>
      <c r="K9" s="11" t="s">
        <v>30</v>
      </c>
      <c r="L9" s="14" t="s">
        <v>31</v>
      </c>
      <c r="R9">
        <v>3.0000000000000001E-3</v>
      </c>
      <c r="S9">
        <v>23.064784715373861</v>
      </c>
      <c r="T9">
        <f t="shared" si="1"/>
        <v>-4.783893203620404</v>
      </c>
      <c r="U9">
        <v>-2.5228787452803374</v>
      </c>
      <c r="V9">
        <f ca="1"/>
        <v>0.67978147583067816</v>
      </c>
    </row>
    <row r="10" spans="2:22" ht="18">
      <c r="B10" cm="1">
        <f t="array" ref="B10:B135">_xll.ARRAY.SEQUENCE(0, t, dt)</f>
        <v>0</v>
      </c>
      <c r="C10" cm="1">
        <f t="array" aca="1" ref="C10:C135" ca="1">_xll.RANDOM.BROWNIAN(t_)</f>
        <v>0</v>
      </c>
      <c r="D10" cm="1">
        <f t="array" aca="1" ref="D10:D135" ca="1">1+0*B_</f>
        <v>1</v>
      </c>
      <c r="E10" cm="1">
        <f t="array" aca="1" ref="E10:E135" ca="1">f*EXP(sigma*B_+(mu-sigma*sigma/2)*t_)</f>
        <v>100</v>
      </c>
      <c r="F10" s="7" cm="1">
        <f t="array" aca="1" ref="F10:F135" ca="1">co(put*(t_ = 0) - N*S_/R_)</f>
        <v>3.987761167674492</v>
      </c>
      <c r="G10" s="3" cm="1">
        <f t="array" aca="1" ref="G10:G135" ca="1">co(ad(_N))</f>
        <v>0</v>
      </c>
      <c r="H10" s="7" cm="1">
        <f t="array" aca="1" ref="H10:H135" ca="1">_xlfn.SCAN(0,M,_xlfn.LAMBDA(_xlpm.a,_xlpm.b,_xlpm.a+_xlpm.b))</f>
        <v>3.987761167674492</v>
      </c>
      <c r="I10" s="3" cm="1">
        <f t="array" aca="1" ref="I10:I135" ca="1">1*(S_&lt;k)</f>
        <v>0</v>
      </c>
      <c r="J10" s="3" cm="1">
        <f t="array" aca="1" ref="J10:J135" ca="1">_M * R_ + _N * S_</f>
        <v>3.987761167674492</v>
      </c>
      <c r="K10" cm="1">
        <f t="array" aca="1" ref="K10:K135" ca="1">-M * R_ - N * S_</f>
        <v>-3.987761167674492</v>
      </c>
      <c r="L10" cm="1">
        <f t="array" aca="1" ref="L10:L135" ca="1">_xlfn.MAP(S_,_xlfn.LAMBDA(_xlpm.s,MAX(k-_xlpm.s,0)))</f>
        <v>0</v>
      </c>
      <c r="M10" s="16">
        <f ca="1">put - G10*E10</f>
        <v>3.987761167674492</v>
      </c>
      <c r="N10" s="16">
        <f ca="1">F10-M10</f>
        <v>0</v>
      </c>
      <c r="R10" s="2">
        <v>4.0000000000000001E-3</v>
      </c>
      <c r="S10">
        <v>9.1850370302519337</v>
      </c>
      <c r="T10">
        <f t="shared" ref="T10:T15" si="2">1-ABS(S10)/put</f>
        <v>-1.3033067036981785</v>
      </c>
      <c r="U10">
        <v>-2.3979400086720375</v>
      </c>
      <c r="V10">
        <f ca="1"/>
        <v>0.11504662910452669</v>
      </c>
    </row>
    <row r="11" spans="2:22" ht="18">
      <c r="B11">
        <v>2E-3</v>
      </c>
      <c r="C11">
        <f ca="1"/>
        <v>-4.5091736011070357E-3</v>
      </c>
      <c r="D11">
        <f ca="1"/>
        <v>1</v>
      </c>
      <c r="E11" s="15">
        <f ca="1"/>
        <v>99.905860866688869</v>
      </c>
      <c r="F11" s="7">
        <f ca="1"/>
        <v>-99.905860866688869</v>
      </c>
      <c r="G11" s="3">
        <f ca="1"/>
        <v>1</v>
      </c>
      <c r="H11" s="7">
        <f ca="1"/>
        <v>-95.918099699014377</v>
      </c>
      <c r="I11" s="3">
        <f ca="1"/>
        <v>1</v>
      </c>
      <c r="J11" s="3">
        <f ca="1"/>
        <v>3.987761167674492</v>
      </c>
      <c r="K11">
        <f ca="1"/>
        <v>0</v>
      </c>
      <c r="L11">
        <f ca="1"/>
        <v>9.4139133311131218E-2</v>
      </c>
      <c r="M11" s="16">
        <f ca="1" xml:space="preserve"> - G11*E11</f>
        <v>-99.905860866688869</v>
      </c>
      <c r="N11" s="16">
        <f ca="1">F11-M11</f>
        <v>0</v>
      </c>
      <c r="R11">
        <v>5.0000000000000001E-3</v>
      </c>
      <c r="S11">
        <v>-5.1065367612102222</v>
      </c>
      <c r="T11">
        <f t="shared" si="2"/>
        <v>-0.28055230654351271</v>
      </c>
      <c r="U11">
        <v>-2.3010299956639813</v>
      </c>
      <c r="V11">
        <f ca="1"/>
        <v>-0.55198615642050608</v>
      </c>
    </row>
    <row r="12" spans="2:22">
      <c r="B12">
        <v>4.0000000000000001E-3</v>
      </c>
      <c r="C12">
        <f ca="1"/>
        <v>-8.4233065705568835E-2</v>
      </c>
      <c r="D12">
        <f ca="1"/>
        <v>1</v>
      </c>
      <c r="E12" s="15">
        <f ca="1"/>
        <v>98.321583710924827</v>
      </c>
      <c r="F12" s="7">
        <f ca="1"/>
        <v>0</v>
      </c>
      <c r="G12" s="3">
        <f ca="1"/>
        <v>0</v>
      </c>
      <c r="H12" s="7">
        <f ca="1"/>
        <v>-95.918099699014377</v>
      </c>
      <c r="I12" s="3">
        <f ca="1"/>
        <v>1</v>
      </c>
      <c r="J12" s="3">
        <f ca="1"/>
        <v>2.4034840119104501</v>
      </c>
      <c r="K12">
        <f ca="1"/>
        <v>0</v>
      </c>
      <c r="L12">
        <f ca="1"/>
        <v>1.678416289075173</v>
      </c>
      <c r="R12">
        <v>6.0000000000000001E-3</v>
      </c>
      <c r="S12">
        <v>-9.4751832599752817</v>
      </c>
      <c r="T12">
        <f t="shared" si="2"/>
        <v>-1.3760658829778518</v>
      </c>
      <c r="U12">
        <v>-2.2218487496163561</v>
      </c>
      <c r="V12">
        <f ca="1"/>
        <v>0.1386392274523757</v>
      </c>
    </row>
    <row r="13" spans="2:22">
      <c r="B13">
        <v>6.0000000000000001E-3</v>
      </c>
      <c r="C13">
        <f ca="1"/>
        <v>-0.11596190329637954</v>
      </c>
      <c r="D13">
        <f ca="1"/>
        <v>1</v>
      </c>
      <c r="E13" s="15">
        <f ca="1"/>
        <v>97.695725355080157</v>
      </c>
      <c r="F13" s="7">
        <f ca="1"/>
        <v>0</v>
      </c>
      <c r="G13" s="3">
        <f ca="1"/>
        <v>0</v>
      </c>
      <c r="H13" s="7">
        <f ca="1"/>
        <v>-95.918099699014377</v>
      </c>
      <c r="I13" s="3">
        <f ca="1"/>
        <v>1</v>
      </c>
      <c r="J13" s="3">
        <f ca="1"/>
        <v>1.7776256560657799</v>
      </c>
      <c r="K13">
        <f ca="1"/>
        <v>0</v>
      </c>
      <c r="L13">
        <f ca="1"/>
        <v>2.3042746449198432</v>
      </c>
      <c r="R13">
        <v>7.0000000000000001E-3</v>
      </c>
      <c r="S13">
        <v>-9.2167476797673515</v>
      </c>
      <c r="T13">
        <f t="shared" si="2"/>
        <v>-1.3112586968547575</v>
      </c>
      <c r="U13">
        <v>-2.1549019599857431</v>
      </c>
      <c r="V13">
        <f ca="1"/>
        <v>0.11768838164661385</v>
      </c>
    </row>
    <row r="14" spans="2:22" ht="18">
      <c r="B14">
        <v>8.0000000000000002E-3</v>
      </c>
      <c r="C14">
        <f ca="1"/>
        <v>-0.1567422576569808</v>
      </c>
      <c r="D14">
        <f ca="1"/>
        <v>1</v>
      </c>
      <c r="E14" s="15">
        <f ca="1"/>
        <v>96.898276703085529</v>
      </c>
      <c r="F14" s="7">
        <f ca="1"/>
        <v>0</v>
      </c>
      <c r="G14" s="3">
        <f ca="1"/>
        <v>0</v>
      </c>
      <c r="H14" s="7">
        <f ca="1"/>
        <v>-95.918099699014377</v>
      </c>
      <c r="I14" s="3">
        <f ca="1"/>
        <v>1</v>
      </c>
      <c r="J14" s="3">
        <f ca="1"/>
        <v>0.98017700407115171</v>
      </c>
      <c r="K14">
        <f ca="1"/>
        <v>0</v>
      </c>
      <c r="L14">
        <f ca="1"/>
        <v>3.1017232969144715</v>
      </c>
      <c r="M14" s="16">
        <f ca="1">f*EXP(sigma*C14-sigma^2*B14/2)</f>
        <v>96.898276703085529</v>
      </c>
      <c r="N14" s="16">
        <f ca="1">E14-M14</f>
        <v>0</v>
      </c>
      <c r="R14">
        <v>8.0000000000000002E-3</v>
      </c>
      <c r="S14">
        <v>-7.9921953794665228</v>
      </c>
      <c r="T14">
        <f t="shared" si="2"/>
        <v>-1.0041810538335882</v>
      </c>
      <c r="U14">
        <v>-2.0969100130080562</v>
      </c>
      <c r="V14">
        <f ca="1"/>
        <v>1.8120231594719164E-3</v>
      </c>
    </row>
    <row r="15" spans="2:22">
      <c r="B15">
        <v>0.01</v>
      </c>
      <c r="C15">
        <f ca="1"/>
        <v>-0.27528322338777506</v>
      </c>
      <c r="D15">
        <f ca="1"/>
        <v>1</v>
      </c>
      <c r="E15" s="15">
        <f ca="1"/>
        <v>94.624226874603778</v>
      </c>
      <c r="F15" s="7">
        <f ca="1"/>
        <v>0</v>
      </c>
      <c r="G15" s="3">
        <f ca="1"/>
        <v>0</v>
      </c>
      <c r="H15" s="7">
        <f ca="1"/>
        <v>-95.918099699014377</v>
      </c>
      <c r="I15" s="3">
        <f ca="1"/>
        <v>1</v>
      </c>
      <c r="J15" s="3">
        <f ca="1"/>
        <v>-1.2938728244105988</v>
      </c>
      <c r="K15">
        <f ca="1"/>
        <v>0</v>
      </c>
      <c r="L15">
        <f ca="1"/>
        <v>5.375773125396222</v>
      </c>
      <c r="R15">
        <v>9.0000000000000011E-3</v>
      </c>
      <c r="S15">
        <v>-10.548421842484586</v>
      </c>
      <c r="T15">
        <f t="shared" si="2"/>
        <v>-1.6451989973702505</v>
      </c>
      <c r="U15">
        <v>-2.0457574905606752</v>
      </c>
      <c r="V15">
        <f ca="1"/>
        <v>0.21621843616615508</v>
      </c>
    </row>
    <row r="16" spans="2:22" ht="18">
      <c r="B16">
        <v>1.2E-2</v>
      </c>
      <c r="C16">
        <f ca="1"/>
        <v>-0.2732925518641543</v>
      </c>
      <c r="D16">
        <f ca="1"/>
        <v>1</v>
      </c>
      <c r="E16" s="15">
        <f ca="1"/>
        <v>94.658121125290251</v>
      </c>
      <c r="F16" s="7">
        <f ca="1"/>
        <v>0</v>
      </c>
      <c r="G16" s="3">
        <f ca="1"/>
        <v>0</v>
      </c>
      <c r="H16" s="7">
        <f ca="1"/>
        <v>-95.918099699014377</v>
      </c>
      <c r="I16" s="3">
        <f ca="1"/>
        <v>1</v>
      </c>
      <c r="J16" s="3">
        <f ca="1"/>
        <v>-1.2599785737241262</v>
      </c>
      <c r="K16">
        <f ca="1"/>
        <v>0</v>
      </c>
      <c r="L16">
        <f ca="1"/>
        <v>5.3418788747097494</v>
      </c>
      <c r="M16" s="16" cm="1">
        <f t="array" aca="1" ref="M16" ca="1">_xll.OPTION.BLACK.PUT_DELTA(E16,sigma*SQRT(t - B16),k)</f>
        <v>-0.69632842953451424</v>
      </c>
      <c r="N16" s="16">
        <f ca="1">I16-M16</f>
        <v>1.6963284295345142</v>
      </c>
      <c r="R16">
        <v>1.0000000000000002E-2</v>
      </c>
      <c r="S16">
        <v>-6.640673475618101</v>
      </c>
      <c r="T16">
        <f t="shared" ref="T16" si="3">1-ABS(S16)/put</f>
        <v>-0.66526358936653285</v>
      </c>
      <c r="U16">
        <v>-2</v>
      </c>
      <c r="V16">
        <f ca="1"/>
        <v>-0.17700624533483084</v>
      </c>
    </row>
    <row r="17" spans="2:16">
      <c r="B17">
        <v>1.4E-2</v>
      </c>
      <c r="C17">
        <f ca="1"/>
        <v>-0.31048883472174954</v>
      </c>
      <c r="D17">
        <f ca="1"/>
        <v>1</v>
      </c>
      <c r="E17" s="15">
        <f ca="1"/>
        <v>93.952789716079465</v>
      </c>
      <c r="F17" s="7">
        <f ca="1"/>
        <v>0</v>
      </c>
      <c r="G17" s="3">
        <f ca="1"/>
        <v>0</v>
      </c>
      <c r="H17" s="7">
        <f ca="1"/>
        <v>-95.918099699014377</v>
      </c>
      <c r="I17" s="3">
        <f ca="1"/>
        <v>1</v>
      </c>
      <c r="J17" s="3">
        <f ca="1"/>
        <v>-1.9653099829349117</v>
      </c>
      <c r="K17">
        <f ca="1"/>
        <v>0</v>
      </c>
      <c r="L17">
        <f ca="1"/>
        <v>6.0472102839205348</v>
      </c>
    </row>
    <row r="18" spans="2:16">
      <c r="B18">
        <v>1.6E-2</v>
      </c>
      <c r="C18">
        <f ca="1"/>
        <v>-0.29467941098986783</v>
      </c>
      <c r="D18">
        <f ca="1"/>
        <v>1</v>
      </c>
      <c r="E18" s="15">
        <f ca="1"/>
        <v>94.246557813652359</v>
      </c>
      <c r="F18" s="7">
        <f ca="1"/>
        <v>0</v>
      </c>
      <c r="G18" s="3">
        <f ca="1"/>
        <v>0</v>
      </c>
      <c r="H18" s="7">
        <f ca="1"/>
        <v>-95.918099699014377</v>
      </c>
      <c r="I18" s="3">
        <f ca="1"/>
        <v>1</v>
      </c>
      <c r="J18" s="3">
        <f ca="1"/>
        <v>-1.6715418853620179</v>
      </c>
      <c r="K18">
        <f ca="1"/>
        <v>0</v>
      </c>
      <c r="L18">
        <f ca="1"/>
        <v>5.753442186347641</v>
      </c>
    </row>
    <row r="19" spans="2:16">
      <c r="B19">
        <v>1.8000000000000002E-2</v>
      </c>
      <c r="C19">
        <f ca="1"/>
        <v>-0.31209794638807664</v>
      </c>
      <c r="D19">
        <f ca="1"/>
        <v>1</v>
      </c>
      <c r="E19" s="15">
        <f ca="1"/>
        <v>93.915044970747644</v>
      </c>
      <c r="F19" s="7">
        <f ca="1"/>
        <v>0</v>
      </c>
      <c r="G19" s="3">
        <f ca="1"/>
        <v>0</v>
      </c>
      <c r="H19" s="7">
        <f ca="1"/>
        <v>-95.918099699014377</v>
      </c>
      <c r="I19" s="3">
        <f ca="1"/>
        <v>1</v>
      </c>
      <c r="J19" s="3">
        <f ca="1"/>
        <v>-2.0030547282667328</v>
      </c>
      <c r="K19">
        <f ca="1"/>
        <v>0</v>
      </c>
      <c r="L19">
        <f ca="1"/>
        <v>6.084955029252356</v>
      </c>
    </row>
    <row r="20" spans="2:16" ht="18">
      <c r="B20">
        <v>0.02</v>
      </c>
      <c r="C20">
        <f ca="1"/>
        <v>-0.34394160360839737</v>
      </c>
      <c r="D20">
        <f ca="1"/>
        <v>1</v>
      </c>
      <c r="E20" s="15">
        <f ca="1"/>
        <v>93.315093187328074</v>
      </c>
      <c r="F20" s="7">
        <f ca="1"/>
        <v>0</v>
      </c>
      <c r="G20" s="3">
        <f ca="1"/>
        <v>0</v>
      </c>
      <c r="H20" s="7">
        <f ca="1"/>
        <v>-95.918099699014377</v>
      </c>
      <c r="I20" s="3">
        <f ca="1"/>
        <v>1</v>
      </c>
      <c r="J20" s="3">
        <f ca="1"/>
        <v>-2.6030065116863028</v>
      </c>
      <c r="K20">
        <f ca="1"/>
        <v>0</v>
      </c>
      <c r="L20">
        <f ca="1"/>
        <v>6.684906812671926</v>
      </c>
      <c r="M20" s="6">
        <f t="array" aca="1" ref="M20:M21" ca="1">_xll.MONTE.STDEV(C20)</f>
        <v>3.8030772164227651E-4</v>
      </c>
      <c r="N20" s="6">
        <v>0</v>
      </c>
      <c r="O20" s="6">
        <f t="array" aca="1" ref="O20:O21" ca="1">_xll.MONTE.STDEV(E20)</f>
        <v>100.00818714859341</v>
      </c>
      <c r="P20" s="6">
        <f>f*EXP(mu*B20)</f>
        <v>100</v>
      </c>
    </row>
    <row r="21" spans="2:16" ht="18">
      <c r="B21">
        <v>2.1999999999999999E-2</v>
      </c>
      <c r="C21">
        <f ca="1"/>
        <v>-0.27922941706413101</v>
      </c>
      <c r="D21">
        <f ca="1"/>
        <v>1</v>
      </c>
      <c r="E21" s="15">
        <f ca="1"/>
        <v>94.526886057072332</v>
      </c>
      <c r="F21" s="7">
        <f ca="1"/>
        <v>0</v>
      </c>
      <c r="G21" s="3">
        <f ca="1"/>
        <v>0</v>
      </c>
      <c r="H21" s="7">
        <f ca="1"/>
        <v>-95.918099699014377</v>
      </c>
      <c r="I21" s="3">
        <f ca="1"/>
        <v>1</v>
      </c>
      <c r="J21" s="3">
        <f ca="1"/>
        <v>-1.3912136419420449</v>
      </c>
      <c r="K21">
        <f ca="1"/>
        <v>0</v>
      </c>
      <c r="L21">
        <f ca="1"/>
        <v>5.4731139429276681</v>
      </c>
      <c r="M21" s="6">
        <f ca="1"/>
        <v>0.14246877339565153</v>
      </c>
      <c r="N21" s="6">
        <f>SQRT(B20)</f>
        <v>0.1414213562373095</v>
      </c>
      <c r="O21" s="6">
        <f ca="1"/>
        <v>2.8494088040547276</v>
      </c>
      <c r="P21" s="6"/>
    </row>
    <row r="22" spans="2:16">
      <c r="B22">
        <v>2.4E-2</v>
      </c>
      <c r="C22">
        <f ca="1"/>
        <v>-0.28185338926289044</v>
      </c>
      <c r="D22">
        <f ca="1"/>
        <v>1</v>
      </c>
      <c r="E22" s="15">
        <f ca="1"/>
        <v>94.473512871278331</v>
      </c>
      <c r="F22" s="7">
        <f ca="1"/>
        <v>0</v>
      </c>
      <c r="G22" s="3">
        <f ca="1"/>
        <v>0</v>
      </c>
      <c r="H22" s="7">
        <f ca="1"/>
        <v>-95.918099699014377</v>
      </c>
      <c r="I22" s="3">
        <f ca="1"/>
        <v>1</v>
      </c>
      <c r="J22" s="3">
        <f ca="1"/>
        <v>-1.4445868277360461</v>
      </c>
      <c r="K22">
        <f ca="1"/>
        <v>0</v>
      </c>
      <c r="L22">
        <f ca="1"/>
        <v>5.5264871287216693</v>
      </c>
    </row>
    <row r="23" spans="2:16">
      <c r="B23">
        <v>2.6000000000000002E-2</v>
      </c>
      <c r="C23">
        <f ca="1"/>
        <v>-0.23373303293852493</v>
      </c>
      <c r="D23">
        <f ca="1"/>
        <v>1</v>
      </c>
      <c r="E23" s="15">
        <f ca="1"/>
        <v>95.383306550973785</v>
      </c>
      <c r="F23" s="7">
        <f ca="1"/>
        <v>0</v>
      </c>
      <c r="G23" s="3">
        <f ca="1"/>
        <v>0</v>
      </c>
      <c r="H23" s="7">
        <f ca="1"/>
        <v>-95.918099699014377</v>
      </c>
      <c r="I23" s="3">
        <f ca="1"/>
        <v>1</v>
      </c>
      <c r="J23" s="3">
        <f ca="1"/>
        <v>-0.53479314804059186</v>
      </c>
      <c r="K23">
        <f ca="1"/>
        <v>0</v>
      </c>
      <c r="L23">
        <f ca="1"/>
        <v>4.616693449026215</v>
      </c>
    </row>
    <row r="24" spans="2:16">
      <c r="B24">
        <v>2.8000000000000001E-2</v>
      </c>
      <c r="C24">
        <f ca="1"/>
        <v>-0.22334063632446716</v>
      </c>
      <c r="D24">
        <f ca="1"/>
        <v>1</v>
      </c>
      <c r="E24" s="15">
        <f ca="1"/>
        <v>95.57794176164667</v>
      </c>
      <c r="F24" s="7">
        <f ca="1"/>
        <v>0</v>
      </c>
      <c r="G24" s="3">
        <f ca="1"/>
        <v>0</v>
      </c>
      <c r="H24" s="7">
        <f ca="1"/>
        <v>-95.918099699014377</v>
      </c>
      <c r="I24" s="3">
        <f ca="1"/>
        <v>1</v>
      </c>
      <c r="J24" s="3">
        <f ca="1"/>
        <v>-0.34015793736770661</v>
      </c>
      <c r="K24">
        <f ca="1"/>
        <v>0</v>
      </c>
      <c r="L24">
        <f ca="1"/>
        <v>4.4220582383533298</v>
      </c>
    </row>
    <row r="25" spans="2:16">
      <c r="B25">
        <v>0.03</v>
      </c>
      <c r="C25">
        <f ca="1"/>
        <v>-0.18627753672297137</v>
      </c>
      <c r="D25">
        <f ca="1"/>
        <v>1</v>
      </c>
      <c r="E25" s="15">
        <f ca="1"/>
        <v>96.285205589072817</v>
      </c>
      <c r="F25" s="7">
        <f ca="1"/>
        <v>0</v>
      </c>
      <c r="G25" s="3">
        <f ca="1"/>
        <v>0</v>
      </c>
      <c r="H25" s="7">
        <f ca="1"/>
        <v>-95.918099699014377</v>
      </c>
      <c r="I25" s="3">
        <f ca="1"/>
        <v>1</v>
      </c>
      <c r="J25" s="3">
        <f ca="1"/>
        <v>0.36710589005843985</v>
      </c>
      <c r="K25">
        <f ca="1"/>
        <v>0</v>
      </c>
      <c r="L25">
        <f ca="1"/>
        <v>3.7147944109271833</v>
      </c>
    </row>
    <row r="26" spans="2:16">
      <c r="B26">
        <v>3.2000000000000001E-2</v>
      </c>
      <c r="C26">
        <f ca="1"/>
        <v>-0.17936226037215658</v>
      </c>
      <c r="D26">
        <f ca="1"/>
        <v>1</v>
      </c>
      <c r="E26" s="15">
        <f ca="1"/>
        <v>96.414608820272335</v>
      </c>
      <c r="F26" s="7">
        <f ca="1"/>
        <v>0</v>
      </c>
      <c r="G26" s="3">
        <f ca="1"/>
        <v>0</v>
      </c>
      <c r="H26" s="7">
        <f ca="1"/>
        <v>-95.918099699014377</v>
      </c>
      <c r="I26" s="3">
        <f ca="1"/>
        <v>1</v>
      </c>
      <c r="J26" s="3">
        <f ca="1"/>
        <v>0.49650912125795799</v>
      </c>
      <c r="K26">
        <f ca="1"/>
        <v>0</v>
      </c>
      <c r="L26">
        <f ca="1"/>
        <v>3.5853911797276652</v>
      </c>
    </row>
    <row r="27" spans="2:16">
      <c r="B27">
        <v>3.4000000000000002E-2</v>
      </c>
      <c r="C27">
        <f ca="1"/>
        <v>-0.15416799560679484</v>
      </c>
      <c r="D27">
        <f ca="1"/>
        <v>1</v>
      </c>
      <c r="E27" s="15">
        <f ca="1"/>
        <v>96.897777911772749</v>
      </c>
      <c r="F27" s="7">
        <f ca="1"/>
        <v>0</v>
      </c>
      <c r="G27" s="3">
        <f ca="1"/>
        <v>0</v>
      </c>
      <c r="H27" s="7">
        <f ca="1"/>
        <v>-95.918099699014377</v>
      </c>
      <c r="I27" s="3">
        <f ca="1"/>
        <v>1</v>
      </c>
      <c r="J27" s="3">
        <f ca="1"/>
        <v>0.97967821275837252</v>
      </c>
      <c r="K27">
        <f ca="1"/>
        <v>0</v>
      </c>
      <c r="L27">
        <f ca="1"/>
        <v>3.1022220882272507</v>
      </c>
    </row>
    <row r="28" spans="2:16">
      <c r="B28">
        <v>3.6000000000000004E-2</v>
      </c>
      <c r="C28">
        <f ca="1"/>
        <v>-0.10122410808705905</v>
      </c>
      <c r="D28">
        <f ca="1"/>
        <v>1</v>
      </c>
      <c r="E28" s="15">
        <f ca="1"/>
        <v>97.92534125147408</v>
      </c>
      <c r="F28" s="7">
        <f ca="1"/>
        <v>0</v>
      </c>
      <c r="G28" s="3">
        <f ca="1"/>
        <v>0</v>
      </c>
      <c r="H28" s="7">
        <f ca="1"/>
        <v>-95.918099699014377</v>
      </c>
      <c r="I28" s="3">
        <f ca="1"/>
        <v>1</v>
      </c>
      <c r="J28" s="3">
        <f ca="1"/>
        <v>2.0072415524597034</v>
      </c>
      <c r="K28">
        <f ca="1"/>
        <v>0</v>
      </c>
      <c r="L28">
        <f ca="1"/>
        <v>2.0746587485259198</v>
      </c>
    </row>
    <row r="29" spans="2:16">
      <c r="B29">
        <v>3.7999999999999999E-2</v>
      </c>
      <c r="C29">
        <f ca="1"/>
        <v>-7.4128577269789567E-2</v>
      </c>
      <c r="D29">
        <f ca="1"/>
        <v>1</v>
      </c>
      <c r="E29" s="15">
        <f ca="1"/>
        <v>98.453511326070071</v>
      </c>
      <c r="F29" s="7">
        <f ca="1"/>
        <v>0</v>
      </c>
      <c r="G29" s="3">
        <f ca="1"/>
        <v>0</v>
      </c>
      <c r="H29" s="7">
        <f ca="1"/>
        <v>-95.918099699014377</v>
      </c>
      <c r="I29" s="3">
        <f ca="1"/>
        <v>1</v>
      </c>
      <c r="J29" s="3">
        <f ca="1"/>
        <v>2.5354116270556943</v>
      </c>
      <c r="K29">
        <f ca="1"/>
        <v>0</v>
      </c>
      <c r="L29">
        <f ca="1"/>
        <v>1.5464886739299288</v>
      </c>
    </row>
    <row r="30" spans="2:16">
      <c r="B30">
        <v>0.04</v>
      </c>
      <c r="C30">
        <f ca="1"/>
        <v>-6.1932662013247215E-2</v>
      </c>
      <c r="D30">
        <f ca="1"/>
        <v>1</v>
      </c>
      <c r="E30" s="15">
        <f ca="1"/>
        <v>98.69000290163666</v>
      </c>
      <c r="F30" s="7">
        <f ca="1"/>
        <v>0</v>
      </c>
      <c r="G30" s="3">
        <f ca="1"/>
        <v>0</v>
      </c>
      <c r="H30" s="7">
        <f ca="1"/>
        <v>-95.918099699014377</v>
      </c>
      <c r="I30" s="3">
        <f ca="1"/>
        <v>1</v>
      </c>
      <c r="J30" s="3">
        <f ca="1"/>
        <v>2.7719032026222834</v>
      </c>
      <c r="K30">
        <f ca="1"/>
        <v>0</v>
      </c>
      <c r="L30">
        <f ca="1"/>
        <v>1.3099970983633398</v>
      </c>
    </row>
    <row r="31" spans="2:16">
      <c r="B31">
        <v>4.2000000000000003E-2</v>
      </c>
      <c r="C31">
        <f ca="1"/>
        <v>-7.8345029981531061E-2</v>
      </c>
      <c r="D31">
        <f ca="1"/>
        <v>1</v>
      </c>
      <c r="E31" s="15">
        <f ca="1"/>
        <v>98.362652081396917</v>
      </c>
      <c r="F31" s="7">
        <f ca="1"/>
        <v>0</v>
      </c>
      <c r="G31" s="3">
        <f ca="1"/>
        <v>0</v>
      </c>
      <c r="H31" s="7">
        <f ca="1"/>
        <v>-95.918099699014377</v>
      </c>
      <c r="I31" s="3">
        <f ca="1"/>
        <v>1</v>
      </c>
      <c r="J31" s="3">
        <f ca="1"/>
        <v>2.4445523823825397</v>
      </c>
      <c r="K31">
        <f ca="1"/>
        <v>0</v>
      </c>
      <c r="L31">
        <f ca="1"/>
        <v>1.6373479186030835</v>
      </c>
    </row>
    <row r="32" spans="2:16">
      <c r="B32">
        <v>4.3999999999999997E-2</v>
      </c>
      <c r="C32">
        <f ca="1"/>
        <v>-1.0630766977852563E-2</v>
      </c>
      <c r="D32">
        <f ca="1"/>
        <v>1</v>
      </c>
      <c r="E32" s="15">
        <f ca="1"/>
        <v>99.699836055920201</v>
      </c>
      <c r="F32" s="7">
        <f ca="1"/>
        <v>0</v>
      </c>
      <c r="G32" s="3">
        <f ca="1"/>
        <v>0</v>
      </c>
      <c r="H32" s="7">
        <f ca="1"/>
        <v>-95.918099699014377</v>
      </c>
      <c r="I32" s="3">
        <f ca="1"/>
        <v>1</v>
      </c>
      <c r="J32" s="3">
        <f ca="1"/>
        <v>3.7817363569058244</v>
      </c>
      <c r="K32">
        <f ca="1"/>
        <v>0</v>
      </c>
      <c r="L32">
        <f ca="1"/>
        <v>0.30016394407979874</v>
      </c>
    </row>
    <row r="33" spans="2:12">
      <c r="B33">
        <v>4.5999999999999999E-2</v>
      </c>
      <c r="C33">
        <f ca="1"/>
        <v>1.348917053723114E-2</v>
      </c>
      <c r="D33">
        <f ca="1"/>
        <v>1</v>
      </c>
      <c r="E33" s="15">
        <f ca="1"/>
        <v>100.1779415391451</v>
      </c>
      <c r="F33" s="7">
        <f ca="1"/>
        <v>100.1779415391451</v>
      </c>
      <c r="G33" s="3">
        <f ca="1"/>
        <v>-1</v>
      </c>
      <c r="H33" s="7">
        <f ca="1"/>
        <v>4.2598418401307185</v>
      </c>
      <c r="I33" s="3">
        <f ca="1"/>
        <v>0</v>
      </c>
      <c r="J33" s="3">
        <f ca="1"/>
        <v>4.2598418401307185</v>
      </c>
      <c r="K33">
        <f ca="1"/>
        <v>0</v>
      </c>
      <c r="L33">
        <f ca="1"/>
        <v>0</v>
      </c>
    </row>
    <row r="34" spans="2:12">
      <c r="B34">
        <v>4.8000000000000001E-2</v>
      </c>
      <c r="C34">
        <f ca="1"/>
        <v>5.5929450559998924E-3</v>
      </c>
      <c r="D34">
        <f ca="1"/>
        <v>1</v>
      </c>
      <c r="E34" s="15">
        <f ca="1"/>
        <v>100.0158601587102</v>
      </c>
      <c r="F34" s="7">
        <f ca="1"/>
        <v>0</v>
      </c>
      <c r="G34" s="3">
        <f ca="1"/>
        <v>0</v>
      </c>
      <c r="H34" s="7">
        <f ca="1"/>
        <v>4.2598418401307185</v>
      </c>
      <c r="I34" s="3">
        <f ca="1"/>
        <v>0</v>
      </c>
      <c r="J34" s="3">
        <f ca="1"/>
        <v>4.2598418401307185</v>
      </c>
      <c r="K34">
        <f ca="1"/>
        <v>0</v>
      </c>
      <c r="L34">
        <f ca="1"/>
        <v>0</v>
      </c>
    </row>
    <row r="35" spans="2:12">
      <c r="B35">
        <v>0.05</v>
      </c>
      <c r="C35">
        <f ca="1"/>
        <v>5.0337279354381176E-2</v>
      </c>
      <c r="D35">
        <f ca="1"/>
        <v>1</v>
      </c>
      <c r="E35" s="15">
        <f ca="1"/>
        <v>100.91086897835267</v>
      </c>
      <c r="F35" s="7">
        <f ca="1"/>
        <v>0</v>
      </c>
      <c r="G35" s="3">
        <f ca="1"/>
        <v>0</v>
      </c>
      <c r="H35" s="7">
        <f ca="1"/>
        <v>4.2598418401307185</v>
      </c>
      <c r="I35" s="3">
        <f ca="1"/>
        <v>0</v>
      </c>
      <c r="J35" s="3">
        <f ca="1"/>
        <v>4.2598418401307185</v>
      </c>
      <c r="K35">
        <f ca="1"/>
        <v>0</v>
      </c>
      <c r="L35">
        <f ca="1"/>
        <v>0</v>
      </c>
    </row>
    <row r="36" spans="2:12">
      <c r="B36">
        <v>5.2000000000000005E-2</v>
      </c>
      <c r="C36">
        <f ca="1"/>
        <v>0.11094247528907338</v>
      </c>
      <c r="D36">
        <f ca="1"/>
        <v>1</v>
      </c>
      <c r="E36" s="15">
        <f ca="1"/>
        <v>102.13737093250582</v>
      </c>
      <c r="F36" s="7">
        <f ca="1"/>
        <v>0</v>
      </c>
      <c r="G36" s="3">
        <f ca="1"/>
        <v>0</v>
      </c>
      <c r="H36" s="7">
        <f ca="1"/>
        <v>4.2598418401307185</v>
      </c>
      <c r="I36" s="3">
        <f ca="1"/>
        <v>0</v>
      </c>
      <c r="J36" s="3">
        <f ca="1"/>
        <v>4.2598418401307185</v>
      </c>
      <c r="K36">
        <f ca="1"/>
        <v>0</v>
      </c>
      <c r="L36">
        <f ca="1"/>
        <v>0</v>
      </c>
    </row>
    <row r="37" spans="2:12">
      <c r="B37">
        <v>5.3999999999999999E-2</v>
      </c>
      <c r="C37">
        <f ca="1"/>
        <v>3.6290084787751462E-2</v>
      </c>
      <c r="D37">
        <f ca="1"/>
        <v>1</v>
      </c>
      <c r="E37" s="15">
        <f ca="1"/>
        <v>100.61971402654044</v>
      </c>
      <c r="F37" s="7">
        <f ca="1"/>
        <v>0</v>
      </c>
      <c r="G37" s="3">
        <f ca="1"/>
        <v>0</v>
      </c>
      <c r="H37" s="7">
        <f ca="1"/>
        <v>4.2598418401307185</v>
      </c>
      <c r="I37" s="3">
        <f ca="1"/>
        <v>0</v>
      </c>
      <c r="J37" s="3">
        <f ca="1"/>
        <v>4.2598418401307185</v>
      </c>
      <c r="K37">
        <f ca="1"/>
        <v>0</v>
      </c>
      <c r="L37">
        <f ca="1"/>
        <v>0</v>
      </c>
    </row>
    <row r="38" spans="2:12">
      <c r="B38">
        <v>5.6000000000000001E-2</v>
      </c>
      <c r="C38">
        <f ca="1"/>
        <v>-5.9864063967338468E-3</v>
      </c>
      <c r="D38">
        <f ca="1"/>
        <v>1</v>
      </c>
      <c r="E38" s="15">
        <f ca="1"/>
        <v>99.768540154423135</v>
      </c>
      <c r="F38" s="7">
        <f ca="1"/>
        <v>-99.768540154423135</v>
      </c>
      <c r="G38" s="3">
        <f ca="1"/>
        <v>1</v>
      </c>
      <c r="H38" s="7">
        <f ca="1"/>
        <v>-95.508698314292417</v>
      </c>
      <c r="I38" s="3">
        <f ca="1"/>
        <v>1</v>
      </c>
      <c r="J38" s="3">
        <f ca="1"/>
        <v>4.2598418401307185</v>
      </c>
      <c r="K38">
        <f ca="1"/>
        <v>0</v>
      </c>
      <c r="L38">
        <f ca="1"/>
        <v>0.23145984557686461</v>
      </c>
    </row>
    <row r="39" spans="2:12">
      <c r="B39">
        <v>5.8000000000000003E-2</v>
      </c>
      <c r="C39">
        <f ca="1"/>
        <v>-2.8348105793395254E-2</v>
      </c>
      <c r="D39">
        <f ca="1"/>
        <v>1</v>
      </c>
      <c r="E39" s="15">
        <f ca="1"/>
        <v>99.319364770127223</v>
      </c>
      <c r="F39" s="7">
        <f ca="1"/>
        <v>0</v>
      </c>
      <c r="G39" s="3">
        <f ca="1"/>
        <v>0</v>
      </c>
      <c r="H39" s="7">
        <f ca="1"/>
        <v>-95.508698314292417</v>
      </c>
      <c r="I39" s="3">
        <f ca="1"/>
        <v>1</v>
      </c>
      <c r="J39" s="3">
        <f ca="1"/>
        <v>3.8106664558348058</v>
      </c>
      <c r="K39">
        <f ca="1"/>
        <v>0</v>
      </c>
      <c r="L39">
        <f ca="1"/>
        <v>0.68063522987277736</v>
      </c>
    </row>
    <row r="40" spans="2:12">
      <c r="B40">
        <v>0.06</v>
      </c>
      <c r="C40">
        <f ca="1"/>
        <v>2.2140485070766821E-2</v>
      </c>
      <c r="D40">
        <f ca="1"/>
        <v>1</v>
      </c>
      <c r="E40" s="15">
        <f ca="1"/>
        <v>100.32333129303042</v>
      </c>
      <c r="F40" s="7">
        <f ca="1"/>
        <v>100.32333129303042</v>
      </c>
      <c r="G40" s="3">
        <f ca="1"/>
        <v>-1</v>
      </c>
      <c r="H40" s="7">
        <f ca="1"/>
        <v>4.814632978738004</v>
      </c>
      <c r="I40" s="3">
        <f ca="1"/>
        <v>0</v>
      </c>
      <c r="J40" s="3">
        <f ca="1"/>
        <v>4.814632978738004</v>
      </c>
      <c r="K40">
        <f ca="1"/>
        <v>0</v>
      </c>
      <c r="L40">
        <f ca="1"/>
        <v>0</v>
      </c>
    </row>
    <row r="41" spans="2:12">
      <c r="B41">
        <v>6.2E-2</v>
      </c>
      <c r="C41">
        <f ca="1"/>
        <v>-3.1663633600031438E-2</v>
      </c>
      <c r="D41">
        <f ca="1"/>
        <v>1</v>
      </c>
      <c r="E41" s="15">
        <f ca="1"/>
        <v>99.245587413396123</v>
      </c>
      <c r="F41" s="7">
        <f ca="1"/>
        <v>-99.245587413396123</v>
      </c>
      <c r="G41" s="3">
        <f ca="1"/>
        <v>1</v>
      </c>
      <c r="H41" s="7">
        <f ca="1"/>
        <v>-94.430954434658119</v>
      </c>
      <c r="I41" s="3">
        <f ca="1"/>
        <v>1</v>
      </c>
      <c r="J41" s="3">
        <f ca="1"/>
        <v>4.814632978738004</v>
      </c>
      <c r="K41">
        <f ca="1"/>
        <v>0</v>
      </c>
      <c r="L41">
        <f ca="1"/>
        <v>0.75441258660387689</v>
      </c>
    </row>
    <row r="42" spans="2:12">
      <c r="B42">
        <v>6.4000000000000001E-2</v>
      </c>
      <c r="C42">
        <f ca="1"/>
        <v>-3.9961662252441944E-2</v>
      </c>
      <c r="D42">
        <f ca="1"/>
        <v>1</v>
      </c>
      <c r="E42" s="15">
        <f ca="1"/>
        <v>99.077052306490046</v>
      </c>
      <c r="F42" s="7">
        <f ca="1"/>
        <v>0</v>
      </c>
      <c r="G42" s="3">
        <f ca="1"/>
        <v>0</v>
      </c>
      <c r="H42" s="7">
        <f ca="1"/>
        <v>-94.430954434658119</v>
      </c>
      <c r="I42" s="3">
        <f ca="1"/>
        <v>1</v>
      </c>
      <c r="J42" s="3">
        <f ca="1"/>
        <v>4.6460978718319268</v>
      </c>
      <c r="K42">
        <f ca="1"/>
        <v>0</v>
      </c>
      <c r="L42">
        <f ca="1"/>
        <v>0.92294769350995409</v>
      </c>
    </row>
    <row r="43" spans="2:12">
      <c r="B43">
        <v>6.6000000000000003E-2</v>
      </c>
      <c r="C43">
        <f ca="1"/>
        <v>-9.1155182675569102E-2</v>
      </c>
      <c r="D43">
        <f ca="1"/>
        <v>1</v>
      </c>
      <c r="E43" s="15">
        <f ca="1"/>
        <v>98.063884550262344</v>
      </c>
      <c r="F43" s="7">
        <f ca="1"/>
        <v>0</v>
      </c>
      <c r="G43" s="3">
        <f ca="1"/>
        <v>0</v>
      </c>
      <c r="H43" s="7">
        <f ca="1"/>
        <v>-94.430954434658119</v>
      </c>
      <c r="I43" s="3">
        <f ca="1"/>
        <v>1</v>
      </c>
      <c r="J43" s="3">
        <f ca="1"/>
        <v>3.6329301156042249</v>
      </c>
      <c r="K43">
        <f ca="1"/>
        <v>0</v>
      </c>
      <c r="L43">
        <f ca="1"/>
        <v>1.936115449737656</v>
      </c>
    </row>
    <row r="44" spans="2:12">
      <c r="B44">
        <v>6.8000000000000005E-2</v>
      </c>
      <c r="C44">
        <f ca="1"/>
        <v>-5.1975389828860984E-2</v>
      </c>
      <c r="D44">
        <f ca="1"/>
        <v>1</v>
      </c>
      <c r="E44" s="15">
        <f ca="1"/>
        <v>98.831374303385871</v>
      </c>
      <c r="F44" s="7">
        <f ca="1"/>
        <v>0</v>
      </c>
      <c r="G44" s="3">
        <f ca="1"/>
        <v>0</v>
      </c>
      <c r="H44" s="7">
        <f ca="1"/>
        <v>-94.430954434658119</v>
      </c>
      <c r="I44" s="3">
        <f ca="1"/>
        <v>1</v>
      </c>
      <c r="J44" s="3">
        <f ca="1"/>
        <v>4.4004198687277523</v>
      </c>
      <c r="K44">
        <f ca="1"/>
        <v>0</v>
      </c>
      <c r="L44">
        <f ca="1"/>
        <v>1.1686256966141286</v>
      </c>
    </row>
    <row r="45" spans="2:12">
      <c r="B45">
        <v>7.0000000000000007E-2</v>
      </c>
      <c r="C45">
        <f ca="1"/>
        <v>2.0010526011691919E-2</v>
      </c>
      <c r="D45">
        <f ca="1"/>
        <v>1</v>
      </c>
      <c r="E45" s="15">
        <f ca="1"/>
        <v>100.26054936164464</v>
      </c>
      <c r="F45" s="7">
        <f ca="1"/>
        <v>100.26054936164464</v>
      </c>
      <c r="G45" s="3">
        <f ca="1"/>
        <v>-1</v>
      </c>
      <c r="H45" s="7">
        <f ca="1"/>
        <v>5.8295949269865162</v>
      </c>
      <c r="I45" s="3">
        <f ca="1"/>
        <v>0</v>
      </c>
      <c r="J45" s="3">
        <f ca="1"/>
        <v>5.8295949269865162</v>
      </c>
      <c r="K45">
        <f ca="1"/>
        <v>0</v>
      </c>
      <c r="L45">
        <f ca="1"/>
        <v>0</v>
      </c>
    </row>
    <row r="46" spans="2:12">
      <c r="B46">
        <v>7.2000000000000008E-2</v>
      </c>
      <c r="C46">
        <f ca="1"/>
        <v>8.0882191282445892E-2</v>
      </c>
      <c r="D46">
        <f ca="1"/>
        <v>1</v>
      </c>
      <c r="E46" s="15">
        <f ca="1"/>
        <v>101.48455549007602</v>
      </c>
      <c r="F46" s="7">
        <f ca="1"/>
        <v>0</v>
      </c>
      <c r="G46" s="3">
        <f ca="1"/>
        <v>0</v>
      </c>
      <c r="H46" s="7">
        <f ca="1"/>
        <v>5.8295949269865162</v>
      </c>
      <c r="I46" s="3">
        <f ca="1"/>
        <v>0</v>
      </c>
      <c r="J46" s="3">
        <f ca="1"/>
        <v>5.8295949269865162</v>
      </c>
      <c r="K46">
        <f ca="1"/>
        <v>0</v>
      </c>
      <c r="L46">
        <f ca="1"/>
        <v>0</v>
      </c>
    </row>
    <row r="47" spans="2:12">
      <c r="B47">
        <v>7.3999999999999996E-2</v>
      </c>
      <c r="C47">
        <f ca="1"/>
        <v>5.1643057464964795E-2</v>
      </c>
      <c r="D47">
        <f ca="1"/>
        <v>1</v>
      </c>
      <c r="E47" s="15">
        <f ca="1"/>
        <v>100.88878761828832</v>
      </c>
      <c r="F47" s="7">
        <f ca="1"/>
        <v>0</v>
      </c>
      <c r="G47" s="3">
        <f ca="1"/>
        <v>0</v>
      </c>
      <c r="H47" s="7">
        <f ca="1"/>
        <v>5.8295949269865162</v>
      </c>
      <c r="I47" s="3">
        <f ca="1"/>
        <v>0</v>
      </c>
      <c r="J47" s="3">
        <f ca="1"/>
        <v>5.8295949269865162</v>
      </c>
      <c r="K47">
        <f ca="1"/>
        <v>0</v>
      </c>
      <c r="L47">
        <f ca="1"/>
        <v>0</v>
      </c>
    </row>
    <row r="48" spans="2:12">
      <c r="B48">
        <v>7.5999999999999998E-2</v>
      </c>
      <c r="C48">
        <f ca="1"/>
        <v>1.1344588119381216E-2</v>
      </c>
      <c r="D48">
        <f ca="1"/>
        <v>1</v>
      </c>
      <c r="E48" s="15">
        <f ca="1"/>
        <v>100.07491981327014</v>
      </c>
      <c r="F48" s="7">
        <f ca="1"/>
        <v>0</v>
      </c>
      <c r="G48" s="3">
        <f ca="1"/>
        <v>0</v>
      </c>
      <c r="H48" s="7">
        <f ca="1"/>
        <v>5.8295949269865162</v>
      </c>
      <c r="I48" s="3">
        <f ca="1"/>
        <v>0</v>
      </c>
      <c r="J48" s="3">
        <f ca="1"/>
        <v>5.8295949269865162</v>
      </c>
      <c r="K48">
        <f ca="1"/>
        <v>0</v>
      </c>
      <c r="L48">
        <f ca="1"/>
        <v>0</v>
      </c>
    </row>
    <row r="49" spans="2:12">
      <c r="B49">
        <v>7.8E-2</v>
      </c>
      <c r="C49">
        <f ca="1"/>
        <v>-5.4204048725537288E-2</v>
      </c>
      <c r="D49">
        <f ca="1"/>
        <v>1</v>
      </c>
      <c r="E49" s="15">
        <f ca="1"/>
        <v>98.76757634460435</v>
      </c>
      <c r="F49" s="7">
        <f ca="1"/>
        <v>-98.76757634460435</v>
      </c>
      <c r="G49" s="3">
        <f ca="1"/>
        <v>1</v>
      </c>
      <c r="H49" s="7">
        <f ca="1"/>
        <v>-92.937981417617834</v>
      </c>
      <c r="I49" s="3">
        <f ca="1"/>
        <v>1</v>
      </c>
      <c r="J49" s="3">
        <f ca="1"/>
        <v>5.8295949269865162</v>
      </c>
      <c r="K49">
        <f ca="1"/>
        <v>0</v>
      </c>
      <c r="L49">
        <f ca="1"/>
        <v>1.2324236553956496</v>
      </c>
    </row>
    <row r="50" spans="2:12">
      <c r="B50">
        <v>0.08</v>
      </c>
      <c r="C50">
        <f ca="1"/>
        <v>-8.7170366209041186E-2</v>
      </c>
      <c r="D50">
        <f ca="1"/>
        <v>1</v>
      </c>
      <c r="E50" s="15">
        <f ca="1"/>
        <v>98.114593085070027</v>
      </c>
      <c r="F50" s="7">
        <f ca="1"/>
        <v>0</v>
      </c>
      <c r="G50" s="3">
        <f ca="1"/>
        <v>0</v>
      </c>
      <c r="H50" s="7">
        <f ca="1"/>
        <v>-92.937981417617834</v>
      </c>
      <c r="I50" s="3">
        <f ca="1"/>
        <v>1</v>
      </c>
      <c r="J50" s="3">
        <f ca="1"/>
        <v>5.1766116674521925</v>
      </c>
      <c r="K50">
        <f ca="1"/>
        <v>0</v>
      </c>
      <c r="L50">
        <f ca="1"/>
        <v>1.8854069149299733</v>
      </c>
    </row>
    <row r="51" spans="2:12">
      <c r="B51">
        <v>8.2000000000000003E-2</v>
      </c>
      <c r="C51">
        <f ca="1"/>
        <v>-0.13266279256187913</v>
      </c>
      <c r="D51">
        <f ca="1"/>
        <v>1</v>
      </c>
      <c r="E51" s="15">
        <f ca="1"/>
        <v>97.222058738751954</v>
      </c>
      <c r="F51" s="7">
        <f ca="1"/>
        <v>0</v>
      </c>
      <c r="G51" s="3">
        <f ca="1"/>
        <v>0</v>
      </c>
      <c r="H51" s="7">
        <f ca="1"/>
        <v>-92.937981417617834</v>
      </c>
      <c r="I51" s="3">
        <f ca="1"/>
        <v>1</v>
      </c>
      <c r="J51" s="3">
        <f ca="1"/>
        <v>4.2840773211341201</v>
      </c>
      <c r="K51">
        <f ca="1"/>
        <v>0</v>
      </c>
      <c r="L51">
        <f ca="1"/>
        <v>2.7779412612480456</v>
      </c>
    </row>
    <row r="52" spans="2:12">
      <c r="B52">
        <v>8.4000000000000005E-2</v>
      </c>
      <c r="C52">
        <f ca="1"/>
        <v>-5.7025919796605803E-2</v>
      </c>
      <c r="D52">
        <f ca="1"/>
        <v>1</v>
      </c>
      <c r="E52" s="15">
        <f ca="1"/>
        <v>98.70000548666745</v>
      </c>
      <c r="F52" s="7">
        <f ca="1"/>
        <v>0</v>
      </c>
      <c r="G52" s="3">
        <f ca="1"/>
        <v>0</v>
      </c>
      <c r="H52" s="7">
        <f ca="1"/>
        <v>-92.937981417617834</v>
      </c>
      <c r="I52" s="3">
        <f ca="1"/>
        <v>1</v>
      </c>
      <c r="J52" s="3">
        <f ca="1"/>
        <v>5.7620240690496161</v>
      </c>
      <c r="K52">
        <f ca="1"/>
        <v>0</v>
      </c>
      <c r="L52">
        <f ca="1"/>
        <v>1.2999945133325497</v>
      </c>
    </row>
    <row r="53" spans="2:12">
      <c r="B53">
        <v>8.6000000000000007E-2</v>
      </c>
      <c r="C53">
        <f ca="1"/>
        <v>-0.12853968449356873</v>
      </c>
      <c r="D53">
        <f ca="1"/>
        <v>1</v>
      </c>
      <c r="E53" s="15">
        <f ca="1"/>
        <v>97.294479344641545</v>
      </c>
      <c r="F53" s="7">
        <f ca="1"/>
        <v>0</v>
      </c>
      <c r="G53" s="3">
        <f ca="1"/>
        <v>0</v>
      </c>
      <c r="H53" s="7">
        <f ca="1"/>
        <v>-92.937981417617834</v>
      </c>
      <c r="I53" s="3">
        <f ca="1"/>
        <v>1</v>
      </c>
      <c r="J53" s="3">
        <f ca="1"/>
        <v>4.3564979270237103</v>
      </c>
      <c r="K53">
        <f ca="1"/>
        <v>0</v>
      </c>
      <c r="L53">
        <f ca="1"/>
        <v>2.7055206553584554</v>
      </c>
    </row>
    <row r="54" spans="2:12">
      <c r="B54">
        <v>8.7999999999999995E-2</v>
      </c>
      <c r="C54">
        <f ca="1"/>
        <v>-6.8748061959859774E-2</v>
      </c>
      <c r="D54">
        <f ca="1"/>
        <v>1</v>
      </c>
      <c r="E54" s="15">
        <f ca="1"/>
        <v>98.461004224857916</v>
      </c>
      <c r="F54" s="7">
        <f ca="1"/>
        <v>0</v>
      </c>
      <c r="G54" s="3">
        <f ca="1"/>
        <v>0</v>
      </c>
      <c r="H54" s="7">
        <f ca="1"/>
        <v>-92.937981417617834</v>
      </c>
      <c r="I54" s="3">
        <f ca="1"/>
        <v>1</v>
      </c>
      <c r="J54" s="3">
        <f ca="1"/>
        <v>5.523022807240082</v>
      </c>
      <c r="K54">
        <f ca="1"/>
        <v>0</v>
      </c>
      <c r="L54">
        <f ca="1"/>
        <v>1.5389957751420837</v>
      </c>
    </row>
    <row r="55" spans="2:12">
      <c r="B55">
        <v>0.09</v>
      </c>
      <c r="C55">
        <f ca="1"/>
        <v>-3.3542317536375814E-2</v>
      </c>
      <c r="D55">
        <f ca="1"/>
        <v>1</v>
      </c>
      <c r="E55" s="15">
        <f ca="1"/>
        <v>99.152763102613591</v>
      </c>
      <c r="F55" s="7">
        <f ca="1"/>
        <v>0</v>
      </c>
      <c r="G55" s="3">
        <f ca="1"/>
        <v>0</v>
      </c>
      <c r="H55" s="7">
        <f ca="1"/>
        <v>-92.937981417617834</v>
      </c>
      <c r="I55" s="3">
        <f ca="1"/>
        <v>1</v>
      </c>
      <c r="J55" s="3">
        <f ca="1"/>
        <v>6.2147816849957565</v>
      </c>
      <c r="K55">
        <f ca="1"/>
        <v>0</v>
      </c>
      <c r="L55">
        <f ca="1"/>
        <v>0.84723689738640928</v>
      </c>
    </row>
    <row r="56" spans="2:12">
      <c r="B56">
        <v>9.1999999999999998E-2</v>
      </c>
      <c r="C56">
        <f ca="1"/>
        <v>-7.6236651767930874E-2</v>
      </c>
      <c r="D56">
        <f ca="1"/>
        <v>1</v>
      </c>
      <c r="E56" s="15">
        <f ca="1"/>
        <v>98.305783009821255</v>
      </c>
      <c r="F56" s="7">
        <f ca="1"/>
        <v>0</v>
      </c>
      <c r="G56" s="3">
        <f ca="1"/>
        <v>0</v>
      </c>
      <c r="H56" s="7">
        <f ca="1"/>
        <v>-92.937981417617834</v>
      </c>
      <c r="I56" s="3">
        <f ca="1"/>
        <v>1</v>
      </c>
      <c r="J56" s="3">
        <f ca="1"/>
        <v>5.3678015922034206</v>
      </c>
      <c r="K56">
        <f ca="1"/>
        <v>0</v>
      </c>
      <c r="L56">
        <f ca="1"/>
        <v>1.6942169901787452</v>
      </c>
    </row>
    <row r="57" spans="2:12">
      <c r="B57">
        <v>9.4E-2</v>
      </c>
      <c r="C57">
        <f ca="1"/>
        <v>-0.11574657259187143</v>
      </c>
      <c r="D57">
        <f ca="1"/>
        <v>1</v>
      </c>
      <c r="E57" s="15">
        <f ca="1"/>
        <v>97.528132170705376</v>
      </c>
      <c r="F57" s="7">
        <f ca="1"/>
        <v>0</v>
      </c>
      <c r="G57" s="3">
        <f ca="1"/>
        <v>0</v>
      </c>
      <c r="H57" s="7">
        <f ca="1"/>
        <v>-92.937981417617834</v>
      </c>
      <c r="I57" s="3">
        <f ca="1"/>
        <v>1</v>
      </c>
      <c r="J57" s="3">
        <f ca="1"/>
        <v>4.5901507530875421</v>
      </c>
      <c r="K57">
        <f ca="1"/>
        <v>0</v>
      </c>
      <c r="L57">
        <f ca="1"/>
        <v>2.4718678292946237</v>
      </c>
    </row>
    <row r="58" spans="2:12">
      <c r="B58">
        <v>9.6000000000000002E-2</v>
      </c>
      <c r="C58">
        <f ca="1"/>
        <v>-0.18578535516128419</v>
      </c>
      <c r="D58">
        <f ca="1"/>
        <v>1</v>
      </c>
      <c r="E58" s="15">
        <f ca="1"/>
        <v>96.167658888273834</v>
      </c>
      <c r="F58" s="7">
        <f ca="1"/>
        <v>0</v>
      </c>
      <c r="G58" s="3">
        <f ca="1"/>
        <v>0</v>
      </c>
      <c r="H58" s="7">
        <f ca="1"/>
        <v>-92.937981417617834</v>
      </c>
      <c r="I58" s="3">
        <f ca="1"/>
        <v>1</v>
      </c>
      <c r="J58" s="3">
        <f ca="1"/>
        <v>3.2296774706560001</v>
      </c>
      <c r="K58">
        <f ca="1"/>
        <v>0</v>
      </c>
      <c r="L58">
        <f ca="1"/>
        <v>3.8323411117261656</v>
      </c>
    </row>
    <row r="59" spans="2:12">
      <c r="B59">
        <v>9.8000000000000004E-2</v>
      </c>
      <c r="C59">
        <f ca="1"/>
        <v>-0.13809775015455092</v>
      </c>
      <c r="D59">
        <f ca="1"/>
        <v>1</v>
      </c>
      <c r="E59" s="15">
        <f ca="1"/>
        <v>97.085364313191079</v>
      </c>
      <c r="F59" s="7">
        <f ca="1"/>
        <v>0</v>
      </c>
      <c r="G59" s="3">
        <f ca="1"/>
        <v>0</v>
      </c>
      <c r="H59" s="7">
        <f ca="1"/>
        <v>-92.937981417617834</v>
      </c>
      <c r="I59" s="3">
        <f ca="1"/>
        <v>1</v>
      </c>
      <c r="J59" s="3">
        <f ca="1"/>
        <v>4.1473828955732444</v>
      </c>
      <c r="K59">
        <f ca="1"/>
        <v>0</v>
      </c>
      <c r="L59">
        <f ca="1"/>
        <v>2.9146356868089214</v>
      </c>
    </row>
    <row r="60" spans="2:12">
      <c r="B60">
        <v>0.1</v>
      </c>
      <c r="C60">
        <f ca="1"/>
        <v>-0.15317842490525593</v>
      </c>
      <c r="D60">
        <f ca="1"/>
        <v>1</v>
      </c>
      <c r="E60" s="15">
        <f ca="1"/>
        <v>96.789111263398766</v>
      </c>
      <c r="F60" s="7">
        <f ca="1"/>
        <v>0</v>
      </c>
      <c r="G60" s="3">
        <f ca="1"/>
        <v>0</v>
      </c>
      <c r="H60" s="7">
        <f ca="1"/>
        <v>-92.937981417617834</v>
      </c>
      <c r="I60" s="3">
        <f ca="1"/>
        <v>1</v>
      </c>
      <c r="J60" s="3">
        <f ca="1"/>
        <v>3.8511298457809318</v>
      </c>
      <c r="K60">
        <f ca="1"/>
        <v>0</v>
      </c>
      <c r="L60">
        <f ca="1"/>
        <v>3.210888736601234</v>
      </c>
    </row>
    <row r="61" spans="2:12">
      <c r="B61">
        <v>0.10200000000000001</v>
      </c>
      <c r="C61">
        <f ca="1"/>
        <v>-0.15912297250895843</v>
      </c>
      <c r="D61">
        <f ca="1"/>
        <v>1</v>
      </c>
      <c r="E61" s="15">
        <f ca="1"/>
        <v>96.670239259492064</v>
      </c>
      <c r="F61" s="7">
        <f ca="1"/>
        <v>0</v>
      </c>
      <c r="G61" s="3">
        <f ca="1"/>
        <v>0</v>
      </c>
      <c r="H61" s="7">
        <f ca="1"/>
        <v>-92.937981417617834</v>
      </c>
      <c r="I61" s="3">
        <f ca="1"/>
        <v>1</v>
      </c>
      <c r="J61" s="3">
        <f ca="1"/>
        <v>3.7322578418742296</v>
      </c>
      <c r="K61">
        <f ca="1"/>
        <v>0</v>
      </c>
      <c r="L61">
        <f ca="1"/>
        <v>3.3297607405079361</v>
      </c>
    </row>
    <row r="62" spans="2:12">
      <c r="B62">
        <v>0.10400000000000001</v>
      </c>
      <c r="C62">
        <f ca="1"/>
        <v>-0.1768841032945174</v>
      </c>
      <c r="D62">
        <f ca="1"/>
        <v>1</v>
      </c>
      <c r="E62" s="15">
        <f ca="1"/>
        <v>96.323600871905626</v>
      </c>
      <c r="F62" s="7">
        <f ca="1"/>
        <v>0</v>
      </c>
      <c r="G62" s="3">
        <f ca="1"/>
        <v>0</v>
      </c>
      <c r="H62" s="7">
        <f ca="1"/>
        <v>-92.937981417617834</v>
      </c>
      <c r="I62" s="3">
        <f ca="1"/>
        <v>1</v>
      </c>
      <c r="J62" s="3">
        <f ca="1"/>
        <v>3.3856194542877915</v>
      </c>
      <c r="K62">
        <f ca="1"/>
        <v>0</v>
      </c>
      <c r="L62">
        <f ca="1"/>
        <v>3.6763991280943742</v>
      </c>
    </row>
    <row r="63" spans="2:12">
      <c r="B63">
        <v>0.106</v>
      </c>
      <c r="C63">
        <f ca="1"/>
        <v>-0.14021401679011955</v>
      </c>
      <c r="D63">
        <f ca="1"/>
        <v>1</v>
      </c>
      <c r="E63" s="15">
        <f ca="1"/>
        <v>97.028755461696633</v>
      </c>
      <c r="F63" s="7">
        <f ca="1"/>
        <v>0</v>
      </c>
      <c r="G63" s="3">
        <f ca="1"/>
        <v>0</v>
      </c>
      <c r="H63" s="7">
        <f ca="1"/>
        <v>-92.937981417617834</v>
      </c>
      <c r="I63" s="3">
        <f ca="1"/>
        <v>1</v>
      </c>
      <c r="J63" s="3">
        <f ca="1"/>
        <v>4.090774044078799</v>
      </c>
      <c r="K63">
        <f ca="1"/>
        <v>0</v>
      </c>
      <c r="L63">
        <f ca="1"/>
        <v>2.9712445383033668</v>
      </c>
    </row>
    <row r="64" spans="2:12">
      <c r="B64">
        <v>0.108</v>
      </c>
      <c r="C64">
        <f ca="1"/>
        <v>-0.20728231261610142</v>
      </c>
      <c r="D64">
        <f ca="1"/>
        <v>1</v>
      </c>
      <c r="E64" s="15">
        <f ca="1"/>
        <v>95.732105557272959</v>
      </c>
      <c r="F64" s="7">
        <f ca="1"/>
        <v>0</v>
      </c>
      <c r="G64" s="3">
        <f ca="1"/>
        <v>0</v>
      </c>
      <c r="H64" s="7">
        <f ca="1"/>
        <v>-92.937981417617834</v>
      </c>
      <c r="I64" s="3">
        <f ca="1"/>
        <v>1</v>
      </c>
      <c r="J64" s="3">
        <f ca="1"/>
        <v>2.7941241396551248</v>
      </c>
      <c r="K64">
        <f ca="1"/>
        <v>0</v>
      </c>
      <c r="L64">
        <f ca="1"/>
        <v>4.2678944427270409</v>
      </c>
    </row>
    <row r="65" spans="2:12">
      <c r="B65">
        <v>0.11</v>
      </c>
      <c r="C65">
        <f ca="1"/>
        <v>-0.27905876871303764</v>
      </c>
      <c r="D65">
        <f ca="1"/>
        <v>1</v>
      </c>
      <c r="E65" s="15">
        <f ca="1"/>
        <v>94.363885608338734</v>
      </c>
      <c r="F65" s="7">
        <f ca="1"/>
        <v>0</v>
      </c>
      <c r="G65" s="3">
        <f ca="1"/>
        <v>0</v>
      </c>
      <c r="H65" s="7">
        <f ca="1"/>
        <v>-92.937981417617834</v>
      </c>
      <c r="I65" s="3">
        <f ca="1"/>
        <v>1</v>
      </c>
      <c r="J65" s="3">
        <f ca="1"/>
        <v>1.4259041907208996</v>
      </c>
      <c r="K65">
        <f ca="1"/>
        <v>0</v>
      </c>
      <c r="L65">
        <f ca="1"/>
        <v>5.6361143916612662</v>
      </c>
    </row>
    <row r="66" spans="2:12">
      <c r="B66">
        <v>0.112</v>
      </c>
      <c r="C66">
        <f ca="1"/>
        <v>-0.22199764684633455</v>
      </c>
      <c r="D66">
        <f ca="1"/>
        <v>1</v>
      </c>
      <c r="E66" s="15">
        <f ca="1"/>
        <v>95.443138007042108</v>
      </c>
      <c r="F66" s="7">
        <f ca="1"/>
        <v>0</v>
      </c>
      <c r="G66" s="3">
        <f ca="1"/>
        <v>0</v>
      </c>
      <c r="H66" s="7">
        <f ca="1"/>
        <v>-92.937981417617834</v>
      </c>
      <c r="I66" s="3">
        <f ca="1"/>
        <v>1</v>
      </c>
      <c r="J66" s="3">
        <f ca="1"/>
        <v>2.5051565894242742</v>
      </c>
      <c r="K66">
        <f ca="1"/>
        <v>0</v>
      </c>
      <c r="L66">
        <f ca="1"/>
        <v>4.5568619929578915</v>
      </c>
    </row>
    <row r="67" spans="2:12">
      <c r="B67">
        <v>0.114</v>
      </c>
      <c r="C67">
        <f ca="1"/>
        <v>-0.30592423415976333</v>
      </c>
      <c r="D67">
        <f ca="1"/>
        <v>1</v>
      </c>
      <c r="E67" s="15">
        <f ca="1"/>
        <v>93.850711021895208</v>
      </c>
      <c r="F67" s="7">
        <f ca="1"/>
        <v>0</v>
      </c>
      <c r="G67" s="3">
        <f ca="1"/>
        <v>0</v>
      </c>
      <c r="H67" s="7">
        <f ca="1"/>
        <v>-92.937981417617834</v>
      </c>
      <c r="I67" s="3">
        <f ca="1"/>
        <v>1</v>
      </c>
      <c r="J67" s="3">
        <f ca="1"/>
        <v>0.9127296042773736</v>
      </c>
      <c r="K67">
        <f ca="1"/>
        <v>0</v>
      </c>
      <c r="L67">
        <f ca="1"/>
        <v>6.1492889781047921</v>
      </c>
    </row>
    <row r="68" spans="2:12">
      <c r="B68">
        <v>0.11600000000000001</v>
      </c>
      <c r="C68">
        <f ca="1"/>
        <v>-0.35095944265611179</v>
      </c>
      <c r="D68">
        <f ca="1"/>
        <v>1</v>
      </c>
      <c r="E68" s="15">
        <f ca="1"/>
        <v>93.005468961033671</v>
      </c>
      <c r="F68" s="7">
        <f ca="1"/>
        <v>0</v>
      </c>
      <c r="G68" s="3">
        <f ca="1"/>
        <v>0</v>
      </c>
      <c r="H68" s="7">
        <f ca="1"/>
        <v>-92.937981417617834</v>
      </c>
      <c r="I68" s="3">
        <f ca="1"/>
        <v>1</v>
      </c>
      <c r="J68" s="3">
        <f ca="1"/>
        <v>6.7487543415836626E-2</v>
      </c>
      <c r="K68">
        <f ca="1"/>
        <v>0</v>
      </c>
      <c r="L68">
        <f ca="1"/>
        <v>6.9945310389663291</v>
      </c>
    </row>
    <row r="69" spans="2:12">
      <c r="B69">
        <v>0.11800000000000001</v>
      </c>
      <c r="C69">
        <f ca="1"/>
        <v>-0.4420433011415823</v>
      </c>
      <c r="D69">
        <f ca="1"/>
        <v>1</v>
      </c>
      <c r="E69" s="15">
        <f ca="1"/>
        <v>91.322895264141437</v>
      </c>
      <c r="F69" s="7">
        <f ca="1"/>
        <v>0</v>
      </c>
      <c r="G69" s="3">
        <f ca="1"/>
        <v>0</v>
      </c>
      <c r="H69" s="7">
        <f ca="1"/>
        <v>-92.937981417617834</v>
      </c>
      <c r="I69" s="3">
        <f ca="1"/>
        <v>1</v>
      </c>
      <c r="J69" s="3">
        <f ca="1"/>
        <v>-1.6150861534763976</v>
      </c>
      <c r="K69">
        <f ca="1"/>
        <v>0</v>
      </c>
      <c r="L69">
        <f ca="1"/>
        <v>8.6771047358585633</v>
      </c>
    </row>
    <row r="70" spans="2:12">
      <c r="B70">
        <v>0.12</v>
      </c>
      <c r="C70">
        <f ca="1"/>
        <v>-0.48931412079018333</v>
      </c>
      <c r="D70">
        <f ca="1"/>
        <v>1</v>
      </c>
      <c r="E70" s="15">
        <f ca="1"/>
        <v>90.45996361521847</v>
      </c>
      <c r="F70" s="7">
        <f ca="1"/>
        <v>0</v>
      </c>
      <c r="G70" s="3">
        <f ca="1"/>
        <v>0</v>
      </c>
      <c r="H70" s="7">
        <f ca="1"/>
        <v>-92.937981417617834</v>
      </c>
      <c r="I70" s="3">
        <f ca="1"/>
        <v>1</v>
      </c>
      <c r="J70" s="3">
        <f ca="1"/>
        <v>-2.4780178023993642</v>
      </c>
      <c r="K70">
        <f ca="1"/>
        <v>0</v>
      </c>
      <c r="L70">
        <f ca="1"/>
        <v>9.5400363847815299</v>
      </c>
    </row>
    <row r="71" spans="2:12">
      <c r="B71">
        <v>0.122</v>
      </c>
      <c r="C71">
        <f ca="1"/>
        <v>-0.55658009153927313</v>
      </c>
      <c r="D71">
        <f ca="1"/>
        <v>1</v>
      </c>
      <c r="E71" s="15">
        <f ca="1"/>
        <v>89.247567704722371</v>
      </c>
      <c r="F71" s="7">
        <f ca="1"/>
        <v>0</v>
      </c>
      <c r="G71" s="3">
        <f ca="1"/>
        <v>0</v>
      </c>
      <c r="H71" s="7">
        <f ca="1"/>
        <v>-92.937981417617834</v>
      </c>
      <c r="I71" s="3">
        <f ca="1"/>
        <v>1</v>
      </c>
      <c r="J71" s="3">
        <f ca="1"/>
        <v>-3.690413712895463</v>
      </c>
      <c r="K71">
        <f ca="1"/>
        <v>0</v>
      </c>
      <c r="L71">
        <f ca="1"/>
        <v>10.752432295277629</v>
      </c>
    </row>
    <row r="72" spans="2:12">
      <c r="B72">
        <v>0.124</v>
      </c>
      <c r="C72">
        <f ca="1"/>
        <v>-0.64523810632271938</v>
      </c>
      <c r="D72">
        <f ca="1"/>
        <v>1</v>
      </c>
      <c r="E72" s="15">
        <f ca="1"/>
        <v>87.675505771995105</v>
      </c>
      <c r="F72" s="7">
        <f ca="1"/>
        <v>0</v>
      </c>
      <c r="G72" s="3">
        <f ca="1"/>
        <v>0</v>
      </c>
      <c r="H72" s="7">
        <f ca="1"/>
        <v>-92.937981417617834</v>
      </c>
      <c r="I72" s="3">
        <f ca="1"/>
        <v>1</v>
      </c>
      <c r="J72" s="3">
        <f ca="1"/>
        <v>-5.2624756456227288</v>
      </c>
      <c r="K72">
        <f ca="1"/>
        <v>0</v>
      </c>
      <c r="L72">
        <f ca="1"/>
        <v>12.324494228004895</v>
      </c>
    </row>
    <row r="73" spans="2:12">
      <c r="B73">
        <v>0.126</v>
      </c>
      <c r="C73">
        <f ca="1"/>
        <v>-0.70915766844525896</v>
      </c>
      <c r="D73">
        <f ca="1"/>
        <v>1</v>
      </c>
      <c r="E73" s="15">
        <f ca="1"/>
        <v>86.558341284000022</v>
      </c>
      <c r="F73" s="7">
        <f ca="1"/>
        <v>0</v>
      </c>
      <c r="G73" s="3">
        <f ca="1"/>
        <v>0</v>
      </c>
      <c r="H73" s="7">
        <f ca="1"/>
        <v>-92.937981417617834</v>
      </c>
      <c r="I73" s="3">
        <f ca="1"/>
        <v>1</v>
      </c>
      <c r="J73" s="3">
        <f ca="1"/>
        <v>-6.3796401336178121</v>
      </c>
      <c r="K73">
        <f ca="1"/>
        <v>0</v>
      </c>
      <c r="L73">
        <f ca="1"/>
        <v>13.441658715999978</v>
      </c>
    </row>
    <row r="74" spans="2:12">
      <c r="B74">
        <v>0.128</v>
      </c>
      <c r="C74">
        <f ca="1"/>
        <v>-0.67293778351742672</v>
      </c>
      <c r="D74">
        <f ca="1"/>
        <v>1</v>
      </c>
      <c r="E74" s="15">
        <f ca="1"/>
        <v>87.18415705722326</v>
      </c>
      <c r="F74" s="7">
        <f ca="1"/>
        <v>0</v>
      </c>
      <c r="G74" s="3">
        <f ca="1"/>
        <v>0</v>
      </c>
      <c r="H74" s="7">
        <f ca="1"/>
        <v>-92.937981417617834</v>
      </c>
      <c r="I74" s="3">
        <f ca="1"/>
        <v>1</v>
      </c>
      <c r="J74" s="3">
        <f ca="1"/>
        <v>-5.7538243603945745</v>
      </c>
      <c r="K74">
        <f ca="1"/>
        <v>0</v>
      </c>
      <c r="L74">
        <f ca="1"/>
        <v>12.81584294277674</v>
      </c>
    </row>
    <row r="75" spans="2:12">
      <c r="B75">
        <v>0.13</v>
      </c>
      <c r="C75">
        <f ca="1"/>
        <v>-0.76573120766675895</v>
      </c>
      <c r="D75">
        <f ca="1"/>
        <v>1</v>
      </c>
      <c r="E75" s="15">
        <f ca="1"/>
        <v>85.577632330778926</v>
      </c>
      <c r="F75" s="7">
        <f ca="1"/>
        <v>0</v>
      </c>
      <c r="G75" s="3">
        <f ca="1"/>
        <v>0</v>
      </c>
      <c r="H75" s="7">
        <f ca="1"/>
        <v>-92.937981417617834</v>
      </c>
      <c r="I75" s="3">
        <f ca="1"/>
        <v>1</v>
      </c>
      <c r="J75" s="3">
        <f ca="1"/>
        <v>-7.3603490868389088</v>
      </c>
      <c r="K75">
        <f ca="1"/>
        <v>0</v>
      </c>
      <c r="L75">
        <f ca="1"/>
        <v>14.422367669221074</v>
      </c>
    </row>
    <row r="76" spans="2:12">
      <c r="B76">
        <v>0.13200000000000001</v>
      </c>
      <c r="C76">
        <f ca="1"/>
        <v>-0.72502145858168998</v>
      </c>
      <c r="D76">
        <f ca="1"/>
        <v>1</v>
      </c>
      <c r="E76" s="15">
        <f ca="1"/>
        <v>86.273794340119522</v>
      </c>
      <c r="F76" s="7">
        <f ca="1"/>
        <v>0</v>
      </c>
      <c r="G76" s="3">
        <f ca="1"/>
        <v>0</v>
      </c>
      <c r="H76" s="7">
        <f ca="1"/>
        <v>-92.937981417617834</v>
      </c>
      <c r="I76" s="3">
        <f ca="1"/>
        <v>1</v>
      </c>
      <c r="J76" s="3">
        <f ca="1"/>
        <v>-6.6641870774983119</v>
      </c>
      <c r="K76">
        <f ca="1"/>
        <v>0</v>
      </c>
      <c r="L76">
        <f ca="1"/>
        <v>13.726205659880478</v>
      </c>
    </row>
    <row r="77" spans="2:12">
      <c r="B77">
        <v>0.13400000000000001</v>
      </c>
      <c r="C77">
        <f ca="1"/>
        <v>-0.73482052522082741</v>
      </c>
      <c r="D77">
        <f ca="1"/>
        <v>1</v>
      </c>
      <c r="E77" s="15">
        <f ca="1"/>
        <v>86.101435256794218</v>
      </c>
      <c r="F77" s="7">
        <f ca="1"/>
        <v>0</v>
      </c>
      <c r="G77" s="3">
        <f ca="1"/>
        <v>0</v>
      </c>
      <c r="H77" s="7">
        <f ca="1"/>
        <v>-92.937981417617834</v>
      </c>
      <c r="I77" s="3">
        <f ca="1"/>
        <v>1</v>
      </c>
      <c r="J77" s="3">
        <f ca="1"/>
        <v>-6.836546160823616</v>
      </c>
      <c r="K77">
        <f ca="1"/>
        <v>0</v>
      </c>
      <c r="L77">
        <f ca="1"/>
        <v>13.898564743205782</v>
      </c>
    </row>
    <row r="78" spans="2:12">
      <c r="B78">
        <v>0.13600000000000001</v>
      </c>
      <c r="C78">
        <f ca="1"/>
        <v>-0.69091349741550967</v>
      </c>
      <c r="D78">
        <f ca="1"/>
        <v>1</v>
      </c>
      <c r="E78" s="15">
        <f ca="1"/>
        <v>86.857382026791356</v>
      </c>
      <c r="F78" s="7">
        <f ca="1"/>
        <v>0</v>
      </c>
      <c r="G78" s="3">
        <f ca="1"/>
        <v>0</v>
      </c>
      <c r="H78" s="7">
        <f ca="1"/>
        <v>-92.937981417617834</v>
      </c>
      <c r="I78" s="3">
        <f ca="1"/>
        <v>1</v>
      </c>
      <c r="J78" s="3">
        <f ca="1"/>
        <v>-6.0805993908264782</v>
      </c>
      <c r="K78">
        <f ca="1"/>
        <v>0</v>
      </c>
      <c r="L78">
        <f ca="1"/>
        <v>13.142617973208644</v>
      </c>
    </row>
    <row r="79" spans="2:12">
      <c r="B79">
        <v>0.13800000000000001</v>
      </c>
      <c r="C79">
        <f ca="1"/>
        <v>-0.65554259936520387</v>
      </c>
      <c r="D79">
        <f ca="1"/>
        <v>1</v>
      </c>
      <c r="E79" s="15">
        <f ca="1"/>
        <v>87.470506337592624</v>
      </c>
      <c r="F79" s="7">
        <f ca="1"/>
        <v>0</v>
      </c>
      <c r="G79" s="3">
        <f ca="1"/>
        <v>0</v>
      </c>
      <c r="H79" s="7">
        <f ca="1"/>
        <v>-92.937981417617834</v>
      </c>
      <c r="I79" s="3">
        <f ca="1"/>
        <v>1</v>
      </c>
      <c r="J79" s="3">
        <f ca="1"/>
        <v>-5.4674750800252099</v>
      </c>
      <c r="K79">
        <f ca="1"/>
        <v>0</v>
      </c>
      <c r="L79">
        <f ca="1"/>
        <v>12.529493662407376</v>
      </c>
    </row>
    <row r="80" spans="2:12">
      <c r="B80">
        <v>0.14000000000000001</v>
      </c>
      <c r="C80">
        <f ca="1"/>
        <v>-0.63823462820876553</v>
      </c>
      <c r="D80">
        <f ca="1"/>
        <v>1</v>
      </c>
      <c r="E80" s="15">
        <f ca="1"/>
        <v>87.770307524001467</v>
      </c>
      <c r="F80" s="7">
        <f ca="1"/>
        <v>0</v>
      </c>
      <c r="G80" s="3">
        <f ca="1"/>
        <v>0</v>
      </c>
      <c r="H80" s="7">
        <f ca="1"/>
        <v>-92.937981417617834</v>
      </c>
      <c r="I80" s="3">
        <f ca="1"/>
        <v>1</v>
      </c>
      <c r="J80" s="3">
        <f ca="1"/>
        <v>-5.1676738936163673</v>
      </c>
      <c r="K80">
        <f ca="1"/>
        <v>0</v>
      </c>
      <c r="L80">
        <f ca="1"/>
        <v>12.229692475998533</v>
      </c>
    </row>
    <row r="81" spans="2:12">
      <c r="B81">
        <v>0.14200000000000002</v>
      </c>
      <c r="C81">
        <f ca="1"/>
        <v>-0.60716951296538468</v>
      </c>
      <c r="D81">
        <f ca="1"/>
        <v>1</v>
      </c>
      <c r="E81" s="15">
        <f ca="1"/>
        <v>88.313791398737578</v>
      </c>
      <c r="F81" s="7">
        <f ca="1"/>
        <v>0</v>
      </c>
      <c r="G81" s="3">
        <f ca="1"/>
        <v>0</v>
      </c>
      <c r="H81" s="7">
        <f ca="1"/>
        <v>-92.937981417617834</v>
      </c>
      <c r="I81" s="3">
        <f ca="1"/>
        <v>1</v>
      </c>
      <c r="J81" s="3">
        <f ca="1"/>
        <v>-4.624190018880256</v>
      </c>
      <c r="K81">
        <f ca="1"/>
        <v>0</v>
      </c>
      <c r="L81">
        <f ca="1"/>
        <v>11.686208601262422</v>
      </c>
    </row>
    <row r="82" spans="2:12">
      <c r="B82">
        <v>0.14400000000000002</v>
      </c>
      <c r="C82">
        <f ca="1"/>
        <v>-0.57872137662241074</v>
      </c>
      <c r="D82">
        <f ca="1"/>
        <v>1</v>
      </c>
      <c r="E82" s="15">
        <f ca="1"/>
        <v>88.814143473314644</v>
      </c>
      <c r="F82" s="7">
        <f ca="1"/>
        <v>0</v>
      </c>
      <c r="G82" s="3">
        <f ca="1"/>
        <v>0</v>
      </c>
      <c r="H82" s="7">
        <f ca="1"/>
        <v>-92.937981417617834</v>
      </c>
      <c r="I82" s="3">
        <f ca="1"/>
        <v>1</v>
      </c>
      <c r="J82" s="3">
        <f ca="1"/>
        <v>-4.1238379443031903</v>
      </c>
      <c r="K82">
        <f ca="1"/>
        <v>0</v>
      </c>
      <c r="L82">
        <f ca="1"/>
        <v>11.185856526685356</v>
      </c>
    </row>
    <row r="83" spans="2:12">
      <c r="B83">
        <v>0.14599999999999999</v>
      </c>
      <c r="C83">
        <f ca="1"/>
        <v>-0.51945155461739956</v>
      </c>
      <c r="D83">
        <f ca="1"/>
        <v>1</v>
      </c>
      <c r="E83" s="15">
        <f ca="1"/>
        <v>89.869612966181791</v>
      </c>
      <c r="F83" s="7">
        <f ca="1"/>
        <v>0</v>
      </c>
      <c r="G83" s="3">
        <f ca="1"/>
        <v>0</v>
      </c>
      <c r="H83" s="7">
        <f ca="1"/>
        <v>-92.937981417617834</v>
      </c>
      <c r="I83" s="3">
        <f ca="1"/>
        <v>1</v>
      </c>
      <c r="J83" s="3">
        <f ca="1"/>
        <v>-3.0683684514360436</v>
      </c>
      <c r="K83">
        <f ca="1"/>
        <v>0</v>
      </c>
      <c r="L83">
        <f ca="1"/>
        <v>10.130387033818209</v>
      </c>
    </row>
    <row r="84" spans="2:12">
      <c r="B84">
        <v>0.14799999999999999</v>
      </c>
      <c r="C84">
        <f ca="1"/>
        <v>-0.51381148539348731</v>
      </c>
      <c r="D84">
        <f ca="1"/>
        <v>1</v>
      </c>
      <c r="E84" s="15">
        <f ca="1"/>
        <v>89.967445561272214</v>
      </c>
      <c r="F84" s="7">
        <f ca="1"/>
        <v>0</v>
      </c>
      <c r="G84" s="3">
        <f ca="1"/>
        <v>0</v>
      </c>
      <c r="H84" s="7">
        <f ca="1"/>
        <v>-92.937981417617834</v>
      </c>
      <c r="I84" s="3">
        <f ca="1"/>
        <v>1</v>
      </c>
      <c r="J84" s="3">
        <f ca="1"/>
        <v>-2.9705358563456201</v>
      </c>
      <c r="K84">
        <f ca="1"/>
        <v>0</v>
      </c>
      <c r="L84">
        <f ca="1"/>
        <v>10.032554438727786</v>
      </c>
    </row>
    <row r="85" spans="2:12">
      <c r="B85">
        <v>0.15</v>
      </c>
      <c r="C85">
        <f ca="1"/>
        <v>-0.44622998430525984</v>
      </c>
      <c r="D85">
        <f ca="1"/>
        <v>1</v>
      </c>
      <c r="E85" s="15">
        <f ca="1"/>
        <v>91.188080213686334</v>
      </c>
      <c r="F85" s="7">
        <f ca="1"/>
        <v>0</v>
      </c>
      <c r="G85" s="3">
        <f ca="1"/>
        <v>0</v>
      </c>
      <c r="H85" s="7">
        <f ca="1"/>
        <v>-92.937981417617834</v>
      </c>
      <c r="I85" s="3">
        <f ca="1"/>
        <v>1</v>
      </c>
      <c r="J85" s="3">
        <f ca="1"/>
        <v>-1.7499012039315005</v>
      </c>
      <c r="K85">
        <f ca="1"/>
        <v>0</v>
      </c>
      <c r="L85">
        <f ca="1"/>
        <v>8.8119197863136662</v>
      </c>
    </row>
    <row r="86" spans="2:12">
      <c r="B86">
        <v>0.152</v>
      </c>
      <c r="C86">
        <f ca="1"/>
        <v>-0.43158360463134798</v>
      </c>
      <c r="D86">
        <f ca="1"/>
        <v>1</v>
      </c>
      <c r="E86" s="15">
        <f ca="1"/>
        <v>91.451928721409928</v>
      </c>
      <c r="F86" s="7">
        <f ca="1"/>
        <v>0</v>
      </c>
      <c r="G86" s="3">
        <f ca="1"/>
        <v>0</v>
      </c>
      <c r="H86" s="7">
        <f ca="1"/>
        <v>-92.937981417617834</v>
      </c>
      <c r="I86" s="3">
        <f ca="1"/>
        <v>1</v>
      </c>
      <c r="J86" s="3">
        <f ca="1"/>
        <v>-1.4860526962079064</v>
      </c>
      <c r="K86">
        <f ca="1"/>
        <v>0</v>
      </c>
      <c r="L86">
        <f ca="1"/>
        <v>8.5480712785900721</v>
      </c>
    </row>
    <row r="87" spans="2:12">
      <c r="B87">
        <v>0.154</v>
      </c>
      <c r="C87">
        <f ca="1"/>
        <v>-0.46499127918257221</v>
      </c>
      <c r="D87">
        <f ca="1"/>
        <v>1</v>
      </c>
      <c r="E87" s="15">
        <f ca="1"/>
        <v>90.839292623881875</v>
      </c>
      <c r="F87" s="7">
        <f ca="1"/>
        <v>0</v>
      </c>
      <c r="G87" s="3">
        <f ca="1"/>
        <v>0</v>
      </c>
      <c r="H87" s="7">
        <f ca="1"/>
        <v>-92.937981417617834</v>
      </c>
      <c r="I87" s="3">
        <f ca="1"/>
        <v>1</v>
      </c>
      <c r="J87" s="3">
        <f ca="1"/>
        <v>-2.0986887937359597</v>
      </c>
      <c r="K87">
        <f ca="1"/>
        <v>0</v>
      </c>
      <c r="L87">
        <f ca="1"/>
        <v>9.1607073761181255</v>
      </c>
    </row>
    <row r="88" spans="2:12">
      <c r="B88">
        <v>0.156</v>
      </c>
      <c r="C88">
        <f ca="1"/>
        <v>-0.46920127205087131</v>
      </c>
      <c r="D88">
        <f ca="1"/>
        <v>1</v>
      </c>
      <c r="E88" s="15">
        <f ca="1"/>
        <v>90.759207819888431</v>
      </c>
      <c r="F88" s="7">
        <f ca="1"/>
        <v>0</v>
      </c>
      <c r="G88" s="3">
        <f ca="1"/>
        <v>0</v>
      </c>
      <c r="H88" s="7">
        <f ca="1"/>
        <v>-92.937981417617834</v>
      </c>
      <c r="I88" s="3">
        <f ca="1"/>
        <v>1</v>
      </c>
      <c r="J88" s="3">
        <f ca="1"/>
        <v>-2.1787735977294034</v>
      </c>
      <c r="K88">
        <f ca="1"/>
        <v>0</v>
      </c>
      <c r="L88">
        <f ca="1"/>
        <v>9.2407921801115691</v>
      </c>
    </row>
    <row r="89" spans="2:12">
      <c r="B89">
        <v>0.158</v>
      </c>
      <c r="C89">
        <f ca="1"/>
        <v>-0.43460255373861495</v>
      </c>
      <c r="D89">
        <f ca="1"/>
        <v>1</v>
      </c>
      <c r="E89" s="15">
        <f ca="1"/>
        <v>91.385760695009722</v>
      </c>
      <c r="F89" s="7">
        <f ca="1"/>
        <v>0</v>
      </c>
      <c r="G89" s="3">
        <f ca="1"/>
        <v>0</v>
      </c>
      <c r="H89" s="7">
        <f ca="1"/>
        <v>-92.937981417617834</v>
      </c>
      <c r="I89" s="3">
        <f ca="1"/>
        <v>1</v>
      </c>
      <c r="J89" s="3">
        <f ca="1"/>
        <v>-1.5522207226081122</v>
      </c>
      <c r="K89">
        <f ca="1"/>
        <v>0</v>
      </c>
      <c r="L89">
        <f ca="1"/>
        <v>8.6142393049902779</v>
      </c>
    </row>
    <row r="90" spans="2:12">
      <c r="B90">
        <v>0.16</v>
      </c>
      <c r="C90">
        <f ca="1"/>
        <v>-0.45605484144774316</v>
      </c>
      <c r="D90">
        <f ca="1"/>
        <v>1</v>
      </c>
      <c r="E90" s="15">
        <f ca="1"/>
        <v>90.990874175150779</v>
      </c>
      <c r="F90" s="7">
        <f ca="1"/>
        <v>0</v>
      </c>
      <c r="G90" s="3">
        <f ca="1"/>
        <v>0</v>
      </c>
      <c r="H90" s="7">
        <f ca="1"/>
        <v>-92.937981417617834</v>
      </c>
      <c r="I90" s="3">
        <f ca="1"/>
        <v>1</v>
      </c>
      <c r="J90" s="3">
        <f ca="1"/>
        <v>-1.9471072424670552</v>
      </c>
      <c r="K90">
        <f ca="1"/>
        <v>0</v>
      </c>
      <c r="L90">
        <f ca="1"/>
        <v>9.009125824849221</v>
      </c>
    </row>
    <row r="91" spans="2:12">
      <c r="B91">
        <v>0.16200000000000001</v>
      </c>
      <c r="C91">
        <f ca="1"/>
        <v>-0.46065391836918917</v>
      </c>
      <c r="D91">
        <f ca="1"/>
        <v>1</v>
      </c>
      <c r="E91" s="15">
        <f ca="1"/>
        <v>90.903581633351322</v>
      </c>
      <c r="F91" s="7">
        <f ca="1"/>
        <v>0</v>
      </c>
      <c r="G91" s="3">
        <f ca="1"/>
        <v>0</v>
      </c>
      <c r="H91" s="7">
        <f ca="1"/>
        <v>-92.937981417617834</v>
      </c>
      <c r="I91" s="3">
        <f ca="1"/>
        <v>1</v>
      </c>
      <c r="J91" s="3">
        <f ca="1"/>
        <v>-2.0343997842665118</v>
      </c>
      <c r="K91">
        <f ca="1"/>
        <v>0</v>
      </c>
      <c r="L91">
        <f ca="1"/>
        <v>9.0964183666486775</v>
      </c>
    </row>
    <row r="92" spans="2:12">
      <c r="B92">
        <v>0.16400000000000001</v>
      </c>
      <c r="C92">
        <f ca="1"/>
        <v>-0.47773179783466302</v>
      </c>
      <c r="D92">
        <f ca="1"/>
        <v>1</v>
      </c>
      <c r="E92" s="15">
        <f ca="1"/>
        <v>90.589999523493191</v>
      </c>
      <c r="F92" s="7">
        <f ca="1"/>
        <v>0</v>
      </c>
      <c r="G92" s="3">
        <f ca="1"/>
        <v>0</v>
      </c>
      <c r="H92" s="7">
        <f ca="1"/>
        <v>-92.937981417617834</v>
      </c>
      <c r="I92" s="3">
        <f ca="1"/>
        <v>1</v>
      </c>
      <c r="J92" s="3">
        <f ca="1"/>
        <v>-2.3479818941246435</v>
      </c>
      <c r="K92">
        <f ca="1"/>
        <v>0</v>
      </c>
      <c r="L92">
        <f ca="1"/>
        <v>9.4100004765068093</v>
      </c>
    </row>
    <row r="93" spans="2:12">
      <c r="B93">
        <v>0.16600000000000001</v>
      </c>
      <c r="C93">
        <f ca="1"/>
        <v>-0.4796966089424276</v>
      </c>
      <c r="D93">
        <f ca="1"/>
        <v>1</v>
      </c>
      <c r="E93" s="15">
        <f ca="1"/>
        <v>90.550785965656146</v>
      </c>
      <c r="F93" s="7">
        <f ca="1"/>
        <v>0</v>
      </c>
      <c r="G93" s="3">
        <f ca="1"/>
        <v>0</v>
      </c>
      <c r="H93" s="7">
        <f ca="1"/>
        <v>-92.937981417617834</v>
      </c>
      <c r="I93" s="3">
        <f ca="1"/>
        <v>1</v>
      </c>
      <c r="J93" s="3">
        <f ca="1"/>
        <v>-2.3871954519616878</v>
      </c>
      <c r="K93">
        <f ca="1"/>
        <v>0</v>
      </c>
      <c r="L93">
        <f ca="1"/>
        <v>9.4492140343438535</v>
      </c>
    </row>
    <row r="94" spans="2:12">
      <c r="B94">
        <v>0.16800000000000001</v>
      </c>
      <c r="C94">
        <f ca="1"/>
        <v>-0.50798060140151358</v>
      </c>
      <c r="D94">
        <f ca="1"/>
        <v>1</v>
      </c>
      <c r="E94" s="15">
        <f ca="1"/>
        <v>90.036402944072179</v>
      </c>
      <c r="F94" s="7">
        <f ca="1"/>
        <v>0</v>
      </c>
      <c r="G94" s="3">
        <f ca="1"/>
        <v>0</v>
      </c>
      <c r="H94" s="7">
        <f ca="1"/>
        <v>-92.937981417617834</v>
      </c>
      <c r="I94" s="3">
        <f ca="1"/>
        <v>1</v>
      </c>
      <c r="J94" s="3">
        <f ca="1"/>
        <v>-2.9015784735456549</v>
      </c>
      <c r="K94">
        <f ca="1"/>
        <v>0</v>
      </c>
      <c r="L94">
        <f ca="1"/>
        <v>9.9635970559278206</v>
      </c>
    </row>
    <row r="95" spans="2:12">
      <c r="B95">
        <v>0.17</v>
      </c>
      <c r="C95">
        <f ca="1"/>
        <v>-0.49615256913459033</v>
      </c>
      <c r="D95">
        <f ca="1"/>
        <v>1</v>
      </c>
      <c r="E95" s="15">
        <f ca="1"/>
        <v>90.246035851136881</v>
      </c>
      <c r="F95" s="7">
        <f ca="1"/>
        <v>0</v>
      </c>
      <c r="G95" s="3">
        <f ca="1"/>
        <v>0</v>
      </c>
      <c r="H95" s="7">
        <f ca="1"/>
        <v>-92.937981417617834</v>
      </c>
      <c r="I95" s="3">
        <f ca="1"/>
        <v>1</v>
      </c>
      <c r="J95" s="3">
        <f ca="1"/>
        <v>-2.6919455664809533</v>
      </c>
      <c r="K95">
        <f ca="1"/>
        <v>0</v>
      </c>
      <c r="L95">
        <f ca="1"/>
        <v>9.753964148863119</v>
      </c>
    </row>
    <row r="96" spans="2:12">
      <c r="B96">
        <v>0.17200000000000001</v>
      </c>
      <c r="C96">
        <f ca="1"/>
        <v>-0.51034602637893578</v>
      </c>
      <c r="D96">
        <f ca="1"/>
        <v>1</v>
      </c>
      <c r="E96" s="15">
        <f ca="1"/>
        <v>89.986618929221322</v>
      </c>
      <c r="F96" s="7">
        <f ca="1"/>
        <v>0</v>
      </c>
      <c r="G96" s="3">
        <f ca="1"/>
        <v>0</v>
      </c>
      <c r="H96" s="7">
        <f ca="1"/>
        <v>-92.937981417617834</v>
      </c>
      <c r="I96" s="3">
        <f ca="1"/>
        <v>1</v>
      </c>
      <c r="J96" s="3">
        <f ca="1"/>
        <v>-2.9513624883965122</v>
      </c>
      <c r="K96">
        <f ca="1"/>
        <v>0</v>
      </c>
      <c r="L96">
        <f ca="1"/>
        <v>10.013381070778678</v>
      </c>
    </row>
    <row r="97" spans="2:12">
      <c r="B97">
        <v>0.17400000000000002</v>
      </c>
      <c r="C97">
        <f ca="1"/>
        <v>-0.45271545151031006</v>
      </c>
      <c r="D97">
        <f ca="1"/>
        <v>1</v>
      </c>
      <c r="E97" s="15">
        <f ca="1"/>
        <v>91.02617437794872</v>
      </c>
      <c r="F97" s="7">
        <f ca="1"/>
        <v>0</v>
      </c>
      <c r="G97" s="3">
        <f ca="1"/>
        <v>0</v>
      </c>
      <c r="H97" s="7">
        <f ca="1"/>
        <v>-92.937981417617834</v>
      </c>
      <c r="I97" s="3">
        <f ca="1"/>
        <v>1</v>
      </c>
      <c r="J97" s="3">
        <f ca="1"/>
        <v>-1.9118070396691138</v>
      </c>
      <c r="K97">
        <f ca="1"/>
        <v>0</v>
      </c>
      <c r="L97">
        <f ca="1"/>
        <v>8.9738256220512795</v>
      </c>
    </row>
    <row r="98" spans="2:12">
      <c r="B98">
        <v>0.17599999999999999</v>
      </c>
      <c r="C98">
        <f ca="1"/>
        <v>-0.41885415744855081</v>
      </c>
      <c r="D98">
        <f ca="1"/>
        <v>1</v>
      </c>
      <c r="E98" s="15">
        <f ca="1"/>
        <v>91.641053583171711</v>
      </c>
      <c r="F98" s="7">
        <f ca="1"/>
        <v>0</v>
      </c>
      <c r="G98" s="3">
        <f ca="1"/>
        <v>0</v>
      </c>
      <c r="H98" s="7">
        <f ca="1"/>
        <v>-92.937981417617834</v>
      </c>
      <c r="I98" s="3">
        <f ca="1"/>
        <v>1</v>
      </c>
      <c r="J98" s="3">
        <f ca="1"/>
        <v>-1.296927834446123</v>
      </c>
      <c r="K98">
        <f ca="1"/>
        <v>0</v>
      </c>
      <c r="L98">
        <f ca="1"/>
        <v>8.3589464168282888</v>
      </c>
    </row>
    <row r="99" spans="2:12">
      <c r="B99">
        <v>0.17799999999999999</v>
      </c>
      <c r="C99">
        <f ca="1"/>
        <v>-0.39940228721711091</v>
      </c>
      <c r="D99">
        <f ca="1"/>
        <v>1</v>
      </c>
      <c r="E99" s="15">
        <f ca="1"/>
        <v>91.994586096899468</v>
      </c>
      <c r="F99" s="7">
        <f ca="1"/>
        <v>0</v>
      </c>
      <c r="G99" s="3">
        <f ca="1"/>
        <v>0</v>
      </c>
      <c r="H99" s="7">
        <f ca="1"/>
        <v>-92.937981417617834</v>
      </c>
      <c r="I99" s="3">
        <f ca="1"/>
        <v>1</v>
      </c>
      <c r="J99">
        <f ca="1"/>
        <v>-0.94339532071836629</v>
      </c>
      <c r="K99">
        <f ca="1"/>
        <v>0</v>
      </c>
      <c r="L99">
        <f ca="1"/>
        <v>8.005413903100532</v>
      </c>
    </row>
    <row r="100" spans="2:12">
      <c r="B100">
        <v>0.18</v>
      </c>
      <c r="C100">
        <f ca="1"/>
        <v>-0.41950166488303342</v>
      </c>
      <c r="D100">
        <f ca="1"/>
        <v>1</v>
      </c>
      <c r="E100" s="15">
        <f ca="1"/>
        <v>91.621856657147745</v>
      </c>
      <c r="F100" s="7">
        <f ca="1"/>
        <v>0</v>
      </c>
      <c r="G100" s="3">
        <f ca="1"/>
        <v>0</v>
      </c>
      <c r="H100" s="7">
        <f ca="1"/>
        <v>-92.937981417617834</v>
      </c>
      <c r="I100" s="3">
        <f ca="1"/>
        <v>1</v>
      </c>
      <c r="J100">
        <f ca="1"/>
        <v>-1.316124760470089</v>
      </c>
      <c r="K100">
        <f ca="1"/>
        <v>0</v>
      </c>
      <c r="L100">
        <f ca="1"/>
        <v>8.3781433428522547</v>
      </c>
    </row>
    <row r="101" spans="2:12">
      <c r="B101">
        <v>0.182</v>
      </c>
      <c r="C101">
        <f ca="1"/>
        <v>-0.35115483064288727</v>
      </c>
      <c r="D101">
        <f ca="1"/>
        <v>1</v>
      </c>
      <c r="E101" s="15">
        <f ca="1"/>
        <v>92.879153167662764</v>
      </c>
      <c r="F101" s="7">
        <f ca="1"/>
        <v>0</v>
      </c>
      <c r="G101" s="3">
        <f ca="1"/>
        <v>0</v>
      </c>
      <c r="H101" s="7">
        <f ca="1"/>
        <v>-92.937981417617834</v>
      </c>
      <c r="I101" s="3">
        <f ca="1"/>
        <v>1</v>
      </c>
      <c r="J101">
        <f ca="1"/>
        <v>-5.8828249955070078E-2</v>
      </c>
      <c r="K101">
        <f ca="1"/>
        <v>0</v>
      </c>
      <c r="L101">
        <f ca="1"/>
        <v>7.1208468323372358</v>
      </c>
    </row>
    <row r="102" spans="2:12">
      <c r="B102">
        <v>0.184</v>
      </c>
      <c r="C102">
        <f ca="1"/>
        <v>-0.40305724242586161</v>
      </c>
      <c r="D102">
        <f ca="1"/>
        <v>1</v>
      </c>
      <c r="E102" s="15">
        <f ca="1"/>
        <v>91.916332829378817</v>
      </c>
      <c r="F102" s="7">
        <f ca="1"/>
        <v>0</v>
      </c>
      <c r="G102" s="3">
        <f ca="1"/>
        <v>0</v>
      </c>
      <c r="H102" s="7">
        <f ca="1"/>
        <v>-92.937981417617834</v>
      </c>
      <c r="I102" s="3">
        <f ca="1"/>
        <v>1</v>
      </c>
      <c r="J102">
        <f ca="1"/>
        <v>-1.0216485882390174</v>
      </c>
      <c r="K102">
        <f ca="1"/>
        <v>0</v>
      </c>
      <c r="L102">
        <f ca="1"/>
        <v>8.0836671706211831</v>
      </c>
    </row>
    <row r="103" spans="2:12">
      <c r="B103">
        <v>0.186</v>
      </c>
      <c r="C103">
        <f ca="1"/>
        <v>-0.37727299962250593</v>
      </c>
      <c r="D103">
        <f ca="1"/>
        <v>1</v>
      </c>
      <c r="E103" s="15">
        <f ca="1"/>
        <v>92.387860122796312</v>
      </c>
      <c r="F103" s="7">
        <f ca="1"/>
        <v>0</v>
      </c>
      <c r="G103" s="3">
        <f ca="1"/>
        <v>0</v>
      </c>
      <c r="H103" s="7">
        <f ca="1"/>
        <v>-92.937981417617834</v>
      </c>
      <c r="I103" s="3">
        <f ca="1"/>
        <v>1</v>
      </c>
      <c r="J103">
        <f ca="1"/>
        <v>-0.55012129482152261</v>
      </c>
      <c r="K103">
        <f ca="1"/>
        <v>0</v>
      </c>
      <c r="L103">
        <f ca="1"/>
        <v>7.6121398772036883</v>
      </c>
    </row>
    <row r="104" spans="2:12">
      <c r="B104">
        <v>0.188</v>
      </c>
      <c r="C104">
        <f ca="1"/>
        <v>-0.35290045735865794</v>
      </c>
      <c r="D104">
        <f ca="1"/>
        <v>1</v>
      </c>
      <c r="E104" s="15">
        <f ca="1"/>
        <v>92.83559142181953</v>
      </c>
      <c r="F104" s="7">
        <f ca="1"/>
        <v>0</v>
      </c>
      <c r="G104" s="3">
        <f ca="1"/>
        <v>0</v>
      </c>
      <c r="H104" s="7">
        <f ca="1"/>
        <v>-92.937981417617834</v>
      </c>
      <c r="I104" s="3">
        <f ca="1"/>
        <v>1</v>
      </c>
      <c r="J104">
        <f ca="1"/>
        <v>-0.10238999579830477</v>
      </c>
      <c r="K104">
        <f ca="1"/>
        <v>0</v>
      </c>
      <c r="L104">
        <f ca="1"/>
        <v>7.1644085781804705</v>
      </c>
    </row>
    <row r="105" spans="2:12">
      <c r="B105">
        <v>0.19</v>
      </c>
      <c r="C105">
        <f ca="1"/>
        <v>-0.30166040606820455</v>
      </c>
      <c r="D105">
        <f ca="1"/>
        <v>1</v>
      </c>
      <c r="E105" s="15">
        <f ca="1"/>
        <v>93.788111487358833</v>
      </c>
      <c r="F105" s="7">
        <f ca="1"/>
        <v>0</v>
      </c>
      <c r="G105" s="3">
        <f ca="1"/>
        <v>0</v>
      </c>
      <c r="H105" s="7">
        <f ca="1"/>
        <v>-92.937981417617834</v>
      </c>
      <c r="I105" s="3">
        <f ca="1"/>
        <v>1</v>
      </c>
      <c r="J105">
        <f ca="1"/>
        <v>0.85013006974099881</v>
      </c>
      <c r="K105">
        <f ca="1"/>
        <v>0</v>
      </c>
      <c r="L105">
        <f ca="1"/>
        <v>6.2118885126411669</v>
      </c>
    </row>
    <row r="106" spans="2:12">
      <c r="B106">
        <v>0.192</v>
      </c>
      <c r="C106">
        <f ca="1"/>
        <v>-0.29407193201554338</v>
      </c>
      <c r="D106">
        <f ca="1"/>
        <v>1</v>
      </c>
      <c r="E106" s="15">
        <f ca="1"/>
        <v>93.926804140462963</v>
      </c>
      <c r="F106" s="7">
        <f ca="1"/>
        <v>0</v>
      </c>
      <c r="G106" s="3">
        <f ca="1"/>
        <v>0</v>
      </c>
      <c r="H106" s="7">
        <f ca="1"/>
        <v>-92.937981417617834</v>
      </c>
      <c r="I106" s="3">
        <f ca="1"/>
        <v>1</v>
      </c>
      <c r="J106">
        <f ca="1"/>
        <v>0.98882272284512851</v>
      </c>
      <c r="K106">
        <f ca="1"/>
        <v>0</v>
      </c>
      <c r="L106">
        <f ca="1"/>
        <v>6.0731958595370372</v>
      </c>
    </row>
    <row r="107" spans="2:12">
      <c r="B107">
        <v>0.19400000000000001</v>
      </c>
      <c r="C107">
        <f ca="1"/>
        <v>-0.27278742909616988</v>
      </c>
      <c r="D107">
        <f ca="1"/>
        <v>1</v>
      </c>
      <c r="E107" s="15">
        <f ca="1"/>
        <v>94.323720425770091</v>
      </c>
      <c r="F107" s="7">
        <f ca="1"/>
        <v>0</v>
      </c>
      <c r="G107" s="3">
        <f ca="1"/>
        <v>0</v>
      </c>
      <c r="H107" s="7">
        <f ca="1"/>
        <v>-92.937981417617834</v>
      </c>
      <c r="I107" s="3">
        <f ca="1"/>
        <v>1</v>
      </c>
      <c r="J107">
        <f ca="1"/>
        <v>1.3857390081522567</v>
      </c>
      <c r="K107">
        <f ca="1"/>
        <v>0</v>
      </c>
      <c r="L107">
        <f ca="1"/>
        <v>5.676279574229909</v>
      </c>
    </row>
    <row r="108" spans="2:12">
      <c r="B108">
        <v>0.19600000000000001</v>
      </c>
      <c r="C108">
        <f ca="1"/>
        <v>-0.28765695015204745</v>
      </c>
      <c r="D108">
        <f ca="1"/>
        <v>1</v>
      </c>
      <c r="E108" s="15">
        <f ca="1"/>
        <v>94.039865737853717</v>
      </c>
      <c r="F108" s="7">
        <f ca="1"/>
        <v>0</v>
      </c>
      <c r="G108" s="3">
        <f ca="1"/>
        <v>0</v>
      </c>
      <c r="H108" s="7">
        <f ca="1"/>
        <v>-92.937981417617834</v>
      </c>
      <c r="I108" s="3">
        <f ca="1"/>
        <v>1</v>
      </c>
      <c r="J108">
        <f ca="1"/>
        <v>1.1018843202358823</v>
      </c>
      <c r="K108">
        <f ca="1"/>
        <v>0</v>
      </c>
      <c r="L108">
        <f ca="1"/>
        <v>5.9601342621462834</v>
      </c>
    </row>
    <row r="109" spans="2:12">
      <c r="B109">
        <v>0.19800000000000001</v>
      </c>
      <c r="C109">
        <f ca="1"/>
        <v>-0.26645180398972257</v>
      </c>
      <c r="D109">
        <f ca="1"/>
        <v>1</v>
      </c>
      <c r="E109" s="15">
        <f ca="1"/>
        <v>94.435760964294076</v>
      </c>
      <c r="F109" s="7">
        <f ca="1"/>
        <v>0</v>
      </c>
      <c r="G109" s="3">
        <f ca="1"/>
        <v>0</v>
      </c>
      <c r="H109" s="7">
        <f ca="1"/>
        <v>-92.937981417617834</v>
      </c>
      <c r="I109" s="3">
        <f ca="1"/>
        <v>1</v>
      </c>
      <c r="J109">
        <f ca="1"/>
        <v>1.4977795466762416</v>
      </c>
      <c r="K109">
        <f ca="1"/>
        <v>0</v>
      </c>
      <c r="L109">
        <f ca="1"/>
        <v>5.5642390357059242</v>
      </c>
    </row>
    <row r="110" spans="2:12">
      <c r="B110">
        <v>0.2</v>
      </c>
      <c r="C110">
        <f ca="1"/>
        <v>-0.21992974024265774</v>
      </c>
      <c r="D110">
        <f ca="1"/>
        <v>1</v>
      </c>
      <c r="E110" s="15">
        <f ca="1"/>
        <v>95.314718056132577</v>
      </c>
      <c r="F110" s="7">
        <f ca="1"/>
        <v>0</v>
      </c>
      <c r="G110" s="3">
        <f ca="1"/>
        <v>0</v>
      </c>
      <c r="H110" s="7">
        <f ca="1"/>
        <v>-92.937981417617834</v>
      </c>
      <c r="I110" s="3">
        <f ca="1"/>
        <v>1</v>
      </c>
      <c r="J110">
        <f ca="1"/>
        <v>2.3767366385147426</v>
      </c>
      <c r="K110">
        <f ca="1"/>
        <v>0</v>
      </c>
      <c r="L110">
        <f ca="1"/>
        <v>4.6852819438674231</v>
      </c>
    </row>
    <row r="111" spans="2:12">
      <c r="B111">
        <v>0.20200000000000001</v>
      </c>
      <c r="C111">
        <f ca="1"/>
        <v>-0.24825921951349306</v>
      </c>
      <c r="D111">
        <f ca="1"/>
        <v>1</v>
      </c>
      <c r="E111">
        <f ca="1"/>
        <v>94.772410847097888</v>
      </c>
      <c r="F111" s="7">
        <f ca="1"/>
        <v>0</v>
      </c>
      <c r="G111" s="3">
        <f ca="1"/>
        <v>0</v>
      </c>
      <c r="H111" s="7">
        <f ca="1"/>
        <v>-92.937981417617834</v>
      </c>
      <c r="I111" s="3">
        <f ca="1"/>
        <v>1</v>
      </c>
      <c r="J111">
        <f ca="1"/>
        <v>1.8344294294800534</v>
      </c>
      <c r="K111">
        <f ca="1"/>
        <v>0</v>
      </c>
      <c r="L111">
        <f ca="1"/>
        <v>5.2275891529021123</v>
      </c>
    </row>
    <row r="112" spans="2:12">
      <c r="B112">
        <v>0.20400000000000001</v>
      </c>
      <c r="C112">
        <f ca="1"/>
        <v>-0.26591822448400121</v>
      </c>
      <c r="D112">
        <f ca="1"/>
        <v>1</v>
      </c>
      <c r="E112">
        <f ca="1"/>
        <v>94.434506478642291</v>
      </c>
      <c r="F112" s="7">
        <f ca="1"/>
        <v>0</v>
      </c>
      <c r="G112" s="3">
        <f ca="1"/>
        <v>0</v>
      </c>
      <c r="H112" s="7">
        <f ca="1"/>
        <v>-92.937981417617834</v>
      </c>
      <c r="I112" s="3">
        <f ca="1"/>
        <v>1</v>
      </c>
      <c r="J112">
        <f ca="1"/>
        <v>1.4965250610244567</v>
      </c>
      <c r="K112">
        <f ca="1"/>
        <v>0</v>
      </c>
      <c r="L112">
        <f ca="1"/>
        <v>5.565493521357709</v>
      </c>
    </row>
    <row r="113" spans="2:12">
      <c r="B113">
        <v>0.20600000000000002</v>
      </c>
      <c r="C113">
        <f ca="1"/>
        <v>-0.23515802179695061</v>
      </c>
      <c r="D113">
        <f ca="1"/>
        <v>1</v>
      </c>
      <c r="E113">
        <f ca="1"/>
        <v>95.013461506333314</v>
      </c>
      <c r="F113" s="7">
        <f ca="1"/>
        <v>0</v>
      </c>
      <c r="G113" s="3">
        <f ca="1"/>
        <v>0</v>
      </c>
      <c r="H113" s="7">
        <f ca="1"/>
        <v>-92.937981417617834</v>
      </c>
      <c r="I113" s="3">
        <f ca="1"/>
        <v>1</v>
      </c>
      <c r="J113">
        <f ca="1"/>
        <v>2.0754800887154801</v>
      </c>
      <c r="K113">
        <f ca="1"/>
        <v>0</v>
      </c>
      <c r="L113">
        <f ca="1"/>
        <v>4.9865384936666857</v>
      </c>
    </row>
    <row r="114" spans="2:12">
      <c r="B114">
        <v>0.20800000000000002</v>
      </c>
      <c r="C114">
        <f ca="1"/>
        <v>-0.28937366470192105</v>
      </c>
      <c r="D114">
        <f ca="1"/>
        <v>1</v>
      </c>
      <c r="E114">
        <f ca="1"/>
        <v>93.985024246173381</v>
      </c>
      <c r="F114" s="7">
        <f ca="1"/>
        <v>0</v>
      </c>
      <c r="G114" s="3">
        <f ca="1"/>
        <v>0</v>
      </c>
      <c r="H114" s="7">
        <f ca="1"/>
        <v>-92.937981417617834</v>
      </c>
      <c r="I114" s="3">
        <f ca="1"/>
        <v>1</v>
      </c>
      <c r="J114">
        <f ca="1"/>
        <v>1.0470428285555471</v>
      </c>
      <c r="K114">
        <f ca="1"/>
        <v>0</v>
      </c>
      <c r="L114">
        <f ca="1"/>
        <v>6.0149757538266186</v>
      </c>
    </row>
    <row r="115" spans="2:12">
      <c r="B115">
        <v>0.21</v>
      </c>
      <c r="C115">
        <f ca="1"/>
        <v>-0.35906507049677516</v>
      </c>
      <c r="D115">
        <f ca="1"/>
        <v>1</v>
      </c>
      <c r="E115">
        <f ca="1"/>
        <v>92.680414495967185</v>
      </c>
      <c r="F115" s="7">
        <f ca="1"/>
        <v>0</v>
      </c>
      <c r="G115" s="3">
        <f ca="1"/>
        <v>0</v>
      </c>
      <c r="H115" s="7">
        <f ca="1"/>
        <v>-92.937981417617834</v>
      </c>
      <c r="I115" s="3">
        <f ca="1"/>
        <v>1</v>
      </c>
      <c r="J115">
        <f ca="1"/>
        <v>-0.25756692165064976</v>
      </c>
      <c r="K115">
        <f ca="1"/>
        <v>0</v>
      </c>
      <c r="L115">
        <f ca="1"/>
        <v>7.3195855040328155</v>
      </c>
    </row>
    <row r="116" spans="2:12">
      <c r="B116">
        <v>0.21199999999999999</v>
      </c>
      <c r="C116">
        <f ca="1"/>
        <v>-0.33252043899998518</v>
      </c>
      <c r="D116">
        <f ca="1"/>
        <v>1</v>
      </c>
      <c r="E116">
        <f ca="1"/>
        <v>93.170029509343806</v>
      </c>
      <c r="F116" s="7">
        <f ca="1"/>
        <v>0</v>
      </c>
      <c r="G116" s="3">
        <f ca="1"/>
        <v>0</v>
      </c>
      <c r="H116" s="7">
        <f ca="1"/>
        <v>-92.937981417617834</v>
      </c>
      <c r="I116" s="3">
        <f ca="1"/>
        <v>1</v>
      </c>
      <c r="J116">
        <f ca="1"/>
        <v>0.23204809172597152</v>
      </c>
      <c r="K116">
        <f ca="1"/>
        <v>0</v>
      </c>
      <c r="L116">
        <f ca="1"/>
        <v>6.8299704906561942</v>
      </c>
    </row>
    <row r="117" spans="2:12">
      <c r="B117">
        <v>0.214</v>
      </c>
      <c r="C117">
        <f ca="1"/>
        <v>-0.31480652830837264</v>
      </c>
      <c r="D117">
        <f ca="1"/>
        <v>1</v>
      </c>
      <c r="E117">
        <f ca="1"/>
        <v>93.496956066520369</v>
      </c>
      <c r="F117" s="7">
        <f ca="1"/>
        <v>0</v>
      </c>
      <c r="G117" s="3">
        <f ca="1"/>
        <v>0</v>
      </c>
      <c r="H117" s="7">
        <f ca="1"/>
        <v>-92.937981417617834</v>
      </c>
      <c r="I117" s="3">
        <f ca="1"/>
        <v>1</v>
      </c>
      <c r="J117">
        <f ca="1"/>
        <v>0.55897464890253445</v>
      </c>
      <c r="K117">
        <f ca="1"/>
        <v>0</v>
      </c>
      <c r="L117">
        <f ca="1"/>
        <v>6.5030439334796313</v>
      </c>
    </row>
    <row r="118" spans="2:12">
      <c r="B118">
        <v>0.216</v>
      </c>
      <c r="C118">
        <f ca="1"/>
        <v>-0.21381980637966411</v>
      </c>
      <c r="D118">
        <f ca="1"/>
        <v>1</v>
      </c>
      <c r="E118">
        <f ca="1"/>
        <v>95.400729455794149</v>
      </c>
      <c r="F118" s="7">
        <f ca="1"/>
        <v>0</v>
      </c>
      <c r="G118" s="3">
        <f ca="1"/>
        <v>0</v>
      </c>
      <c r="H118" s="7">
        <f ca="1"/>
        <v>-92.937981417617834</v>
      </c>
      <c r="I118" s="3">
        <f ca="1"/>
        <v>1</v>
      </c>
      <c r="J118">
        <f ca="1"/>
        <v>2.4627480381763149</v>
      </c>
      <c r="K118">
        <f ca="1"/>
        <v>0</v>
      </c>
      <c r="L118">
        <f ca="1"/>
        <v>4.5992705442058508</v>
      </c>
    </row>
    <row r="119" spans="2:12">
      <c r="B119">
        <v>0.218</v>
      </c>
      <c r="C119">
        <f ca="1"/>
        <v>-0.23504251681711233</v>
      </c>
      <c r="D119">
        <f ca="1"/>
        <v>1</v>
      </c>
      <c r="E119">
        <f ca="1"/>
        <v>94.992855415963959</v>
      </c>
      <c r="F119" s="7">
        <f ca="1"/>
        <v>0</v>
      </c>
      <c r="G119" s="3">
        <f ca="1"/>
        <v>0</v>
      </c>
      <c r="H119" s="7">
        <f ca="1"/>
        <v>-92.937981417617834</v>
      </c>
      <c r="I119" s="3">
        <f ca="1"/>
        <v>1</v>
      </c>
      <c r="J119">
        <f ca="1"/>
        <v>2.0548739983461246</v>
      </c>
      <c r="K119">
        <f ca="1"/>
        <v>0</v>
      </c>
      <c r="L119">
        <f ca="1"/>
        <v>5.0071445840360411</v>
      </c>
    </row>
    <row r="120" spans="2:12">
      <c r="B120">
        <v>0.22</v>
      </c>
      <c r="C120">
        <f ca="1"/>
        <v>-0.14887951367634616</v>
      </c>
      <c r="D120">
        <f ca="1"/>
        <v>1</v>
      </c>
      <c r="E120">
        <f ca="1"/>
        <v>96.640149701884866</v>
      </c>
      <c r="F120" s="7">
        <f ca="1"/>
        <v>0</v>
      </c>
      <c r="G120" s="3">
        <f ca="1"/>
        <v>0</v>
      </c>
      <c r="H120" s="7">
        <f ca="1"/>
        <v>-92.937981417617834</v>
      </c>
      <c r="I120" s="3">
        <f ca="1"/>
        <v>1</v>
      </c>
      <c r="J120">
        <f ca="1"/>
        <v>3.7021682842670316</v>
      </c>
      <c r="K120">
        <f ca="1"/>
        <v>0</v>
      </c>
      <c r="L120">
        <f ca="1"/>
        <v>3.3598502981151341</v>
      </c>
    </row>
    <row r="121" spans="2:12">
      <c r="B121">
        <v>0.222</v>
      </c>
      <c r="C121">
        <f ca="1"/>
        <v>-0.12542719260287602</v>
      </c>
      <c r="D121">
        <f ca="1"/>
        <v>1</v>
      </c>
      <c r="E121">
        <f ca="1"/>
        <v>97.090617891023726</v>
      </c>
      <c r="F121" s="7">
        <f ca="1"/>
        <v>0</v>
      </c>
      <c r="G121" s="3">
        <f ca="1"/>
        <v>0</v>
      </c>
      <c r="H121" s="7">
        <f ca="1"/>
        <v>-92.937981417617834</v>
      </c>
      <c r="I121" s="3">
        <f ca="1"/>
        <v>1</v>
      </c>
      <c r="J121">
        <f ca="1"/>
        <v>4.1526364734058916</v>
      </c>
      <c r="K121">
        <f ca="1"/>
        <v>0</v>
      </c>
      <c r="L121">
        <f ca="1"/>
        <v>2.9093821089762741</v>
      </c>
    </row>
    <row r="122" spans="2:12">
      <c r="B122">
        <v>0.224</v>
      </c>
      <c r="C122">
        <f ca="1"/>
        <v>-0.12635649802885879</v>
      </c>
      <c r="D122">
        <f ca="1"/>
        <v>1</v>
      </c>
      <c r="E122">
        <f ca="1"/>
        <v>97.06869137497101</v>
      </c>
      <c r="F122" s="7">
        <f ca="1"/>
        <v>0</v>
      </c>
      <c r="G122" s="3">
        <f ca="1"/>
        <v>0</v>
      </c>
      <c r="H122" s="7">
        <f ca="1"/>
        <v>-92.937981417617834</v>
      </c>
      <c r="I122" s="3">
        <f ca="1"/>
        <v>1</v>
      </c>
      <c r="J122">
        <f ca="1"/>
        <v>4.1307099573531758</v>
      </c>
      <c r="K122">
        <f ca="1"/>
        <v>0</v>
      </c>
      <c r="L122">
        <f ca="1"/>
        <v>2.9313086250289899</v>
      </c>
    </row>
    <row r="123" spans="2:12">
      <c r="B123">
        <v>0.22600000000000001</v>
      </c>
      <c r="C123">
        <f ca="1"/>
        <v>-0.13845272867855721</v>
      </c>
      <c r="D123">
        <f ca="1"/>
        <v>1</v>
      </c>
      <c r="E123">
        <f ca="1"/>
        <v>96.830268861353545</v>
      </c>
      <c r="F123" s="7">
        <f ca="1"/>
        <v>0</v>
      </c>
      <c r="G123" s="3">
        <f ca="1"/>
        <v>0</v>
      </c>
      <c r="H123" s="7">
        <f ca="1"/>
        <v>-92.937981417617834</v>
      </c>
      <c r="I123" s="3">
        <f ca="1"/>
        <v>1</v>
      </c>
      <c r="J123">
        <f ca="1"/>
        <v>3.8922874437357109</v>
      </c>
      <c r="K123">
        <f ca="1"/>
        <v>0</v>
      </c>
      <c r="L123">
        <f ca="1"/>
        <v>3.1697311386464548</v>
      </c>
    </row>
    <row r="124" spans="2:12">
      <c r="B124">
        <v>0.22800000000000001</v>
      </c>
      <c r="C124">
        <f ca="1"/>
        <v>-9.3242683235014556E-2</v>
      </c>
      <c r="D124">
        <f ca="1"/>
        <v>1</v>
      </c>
      <c r="E124">
        <f ca="1"/>
        <v>97.705870997955955</v>
      </c>
      <c r="F124" s="7">
        <f ca="1"/>
        <v>0</v>
      </c>
      <c r="G124" s="3">
        <f ca="1"/>
        <v>0</v>
      </c>
      <c r="H124" s="7">
        <f ca="1"/>
        <v>-92.937981417617834</v>
      </c>
      <c r="I124" s="3">
        <f ca="1"/>
        <v>1</v>
      </c>
      <c r="J124">
        <f ca="1"/>
        <v>4.7678895803381209</v>
      </c>
      <c r="K124">
        <f ca="1"/>
        <v>0</v>
      </c>
      <c r="L124">
        <f ca="1"/>
        <v>2.2941290020440448</v>
      </c>
    </row>
    <row r="125" spans="2:12">
      <c r="B125">
        <v>0.23</v>
      </c>
      <c r="C125">
        <f ca="1"/>
        <v>-5.5395050759465068E-2</v>
      </c>
      <c r="D125">
        <f ca="1"/>
        <v>1</v>
      </c>
      <c r="E125">
        <f ca="1"/>
        <v>98.444326563921734</v>
      </c>
      <c r="F125" s="7">
        <f ca="1"/>
        <v>0</v>
      </c>
      <c r="G125" s="3">
        <f ca="1"/>
        <v>0</v>
      </c>
      <c r="H125" s="7">
        <f ca="1"/>
        <v>-92.937981417617834</v>
      </c>
      <c r="I125" s="3">
        <f ca="1"/>
        <v>1</v>
      </c>
      <c r="J125">
        <f ca="1"/>
        <v>5.5063451463039002</v>
      </c>
      <c r="K125">
        <f ca="1"/>
        <v>0</v>
      </c>
      <c r="L125">
        <f ca="1"/>
        <v>1.5556734360782656</v>
      </c>
    </row>
    <row r="126" spans="2:12">
      <c r="B126">
        <v>0.23200000000000001</v>
      </c>
      <c r="C126">
        <f ca="1"/>
        <v>-5.1319731023323684E-2</v>
      </c>
      <c r="D126">
        <f ca="1"/>
        <v>1</v>
      </c>
      <c r="E126">
        <f ca="1"/>
        <v>98.520656788832184</v>
      </c>
      <c r="F126" s="7">
        <f ca="1"/>
        <v>0</v>
      </c>
      <c r="G126" s="3">
        <f ca="1"/>
        <v>0</v>
      </c>
      <c r="H126" s="7">
        <f ca="1"/>
        <v>-92.937981417617834</v>
      </c>
      <c r="I126" s="3">
        <f ca="1"/>
        <v>1</v>
      </c>
      <c r="J126">
        <f ca="1"/>
        <v>5.58267537121435</v>
      </c>
      <c r="K126">
        <f ca="1"/>
        <v>0</v>
      </c>
      <c r="L126">
        <f ca="1"/>
        <v>1.4793432111678158</v>
      </c>
    </row>
    <row r="127" spans="2:12">
      <c r="B127">
        <v>0.23400000000000001</v>
      </c>
      <c r="C127">
        <f ca="1"/>
        <v>-3.2111528375868281E-3</v>
      </c>
      <c r="D127">
        <f ca="1"/>
        <v>1</v>
      </c>
      <c r="E127">
        <f ca="1"/>
        <v>99.469190740861308</v>
      </c>
      <c r="F127" s="7">
        <f ca="1"/>
        <v>0</v>
      </c>
      <c r="G127" s="3">
        <f ca="1"/>
        <v>0</v>
      </c>
      <c r="H127" s="7">
        <f ca="1"/>
        <v>-92.937981417617834</v>
      </c>
      <c r="I127" s="3">
        <f ca="1"/>
        <v>1</v>
      </c>
      <c r="J127">
        <f ca="1"/>
        <v>6.5312093232434734</v>
      </c>
      <c r="K127">
        <f ca="1"/>
        <v>0</v>
      </c>
      <c r="L127">
        <f ca="1"/>
        <v>0.53080925913869237</v>
      </c>
    </row>
    <row r="128" spans="2:12">
      <c r="B128">
        <v>0.23600000000000002</v>
      </c>
      <c r="C128">
        <f ca="1"/>
        <v>8.0247218622310781E-2</v>
      </c>
      <c r="D128">
        <f ca="1"/>
        <v>1</v>
      </c>
      <c r="E128">
        <f ca="1"/>
        <v>101.13938649276162</v>
      </c>
      <c r="F128" s="7">
        <f ca="1"/>
        <v>101.13938649276162</v>
      </c>
      <c r="G128" s="3">
        <f ca="1"/>
        <v>-1</v>
      </c>
      <c r="H128" s="7">
        <f ca="1"/>
        <v>8.2014050751437821</v>
      </c>
      <c r="I128" s="3">
        <f ca="1"/>
        <v>0</v>
      </c>
      <c r="J128">
        <f ca="1"/>
        <v>8.2014050751437821</v>
      </c>
      <c r="K128">
        <f ca="1"/>
        <v>0</v>
      </c>
      <c r="L128">
        <f ca="1"/>
        <v>0</v>
      </c>
    </row>
    <row r="129" spans="2:12">
      <c r="B129">
        <v>0.23800000000000002</v>
      </c>
      <c r="C129">
        <f ca="1"/>
        <v>0.12117551572891262</v>
      </c>
      <c r="D129">
        <f ca="1"/>
        <v>1</v>
      </c>
      <c r="E129">
        <f ca="1"/>
        <v>101.96659800693777</v>
      </c>
      <c r="F129" s="7">
        <f ca="1"/>
        <v>0</v>
      </c>
      <c r="G129" s="3">
        <f ca="1"/>
        <v>0</v>
      </c>
      <c r="H129" s="7">
        <f ca="1"/>
        <v>8.2014050751437821</v>
      </c>
      <c r="I129" s="3">
        <f ca="1"/>
        <v>0</v>
      </c>
      <c r="J129">
        <f ca="1"/>
        <v>8.2014050751437821</v>
      </c>
      <c r="K129">
        <f ca="1"/>
        <v>0</v>
      </c>
      <c r="L129">
        <f ca="1"/>
        <v>0</v>
      </c>
    </row>
    <row r="130" spans="2:12">
      <c r="B130">
        <v>0.24</v>
      </c>
      <c r="C130">
        <f ca="1"/>
        <v>0.12487243939163024</v>
      </c>
      <c r="D130">
        <f ca="1"/>
        <v>1</v>
      </c>
      <c r="E130">
        <f ca="1"/>
        <v>102.0379368325481</v>
      </c>
      <c r="F130" s="7">
        <f ca="1"/>
        <v>0</v>
      </c>
      <c r="G130" s="3">
        <f ca="1"/>
        <v>0</v>
      </c>
      <c r="H130" s="7">
        <f ca="1"/>
        <v>8.2014050751437821</v>
      </c>
      <c r="I130" s="3">
        <f ca="1"/>
        <v>0</v>
      </c>
      <c r="J130">
        <f ca="1"/>
        <v>8.2014050751437821</v>
      </c>
      <c r="K130">
        <f ca="1"/>
        <v>0</v>
      </c>
      <c r="L130">
        <f ca="1"/>
        <v>0</v>
      </c>
    </row>
    <row r="131" spans="2:12">
      <c r="B131">
        <v>0.24199999999999999</v>
      </c>
      <c r="C131">
        <f ca="1"/>
        <v>9.4950645951393492E-2</v>
      </c>
      <c r="D131">
        <f ca="1"/>
        <v>1</v>
      </c>
      <c r="E131">
        <f ca="1"/>
        <v>101.42507161478353</v>
      </c>
      <c r="F131" s="7">
        <f ca="1"/>
        <v>0</v>
      </c>
      <c r="G131" s="3">
        <f ca="1"/>
        <v>0</v>
      </c>
      <c r="H131" s="7">
        <f ca="1"/>
        <v>8.2014050751437821</v>
      </c>
      <c r="I131" s="3">
        <f ca="1"/>
        <v>0</v>
      </c>
      <c r="J131">
        <f ca="1"/>
        <v>8.2014050751437821</v>
      </c>
      <c r="K131">
        <f ca="1"/>
        <v>0</v>
      </c>
      <c r="L131">
        <f ca="1"/>
        <v>0</v>
      </c>
    </row>
    <row r="132" spans="2:12">
      <c r="B132">
        <v>0.24399999999999999</v>
      </c>
      <c r="C132">
        <f ca="1"/>
        <v>0.13420145961239124</v>
      </c>
      <c r="D132">
        <f ca="1"/>
        <v>1</v>
      </c>
      <c r="E132">
        <f ca="1"/>
        <v>102.22031939408896</v>
      </c>
      <c r="F132" s="7">
        <f ca="1"/>
        <v>0</v>
      </c>
      <c r="G132" s="3">
        <f ca="1"/>
        <v>0</v>
      </c>
      <c r="H132" s="7">
        <f ca="1"/>
        <v>8.2014050751437821</v>
      </c>
      <c r="I132" s="3">
        <f ca="1"/>
        <v>0</v>
      </c>
      <c r="J132">
        <f ca="1"/>
        <v>8.2014050751437821</v>
      </c>
      <c r="K132">
        <f ca="1"/>
        <v>0</v>
      </c>
      <c r="L132">
        <f ca="1"/>
        <v>0</v>
      </c>
    </row>
    <row r="133" spans="2:12">
      <c r="B133">
        <v>0.246</v>
      </c>
      <c r="C133">
        <f ca="1"/>
        <v>0.18883388067538312</v>
      </c>
      <c r="D133">
        <f ca="1"/>
        <v>1</v>
      </c>
      <c r="E133">
        <f ca="1"/>
        <v>103.33921867650884</v>
      </c>
      <c r="F133" s="7">
        <f ca="1"/>
        <v>0</v>
      </c>
      <c r="G133" s="3">
        <f ca="1"/>
        <v>0</v>
      </c>
      <c r="H133" s="7">
        <f ca="1"/>
        <v>8.2014050751437821</v>
      </c>
      <c r="I133" s="3">
        <f ca="1"/>
        <v>0</v>
      </c>
      <c r="J133">
        <f ca="1"/>
        <v>8.2014050751437821</v>
      </c>
      <c r="K133">
        <f ca="1"/>
        <v>0</v>
      </c>
      <c r="L133">
        <f ca="1"/>
        <v>0</v>
      </c>
    </row>
    <row r="134" spans="2:12">
      <c r="B134">
        <v>0.248</v>
      </c>
      <c r="C134">
        <f ca="1"/>
        <v>0.24538601536318369</v>
      </c>
      <c r="D134">
        <f ca="1"/>
        <v>1</v>
      </c>
      <c r="E134">
        <f ca="1"/>
        <v>104.51048372087999</v>
      </c>
      <c r="F134" s="7">
        <f ca="1"/>
        <v>0</v>
      </c>
      <c r="G134" s="3">
        <f ca="1"/>
        <v>0</v>
      </c>
      <c r="H134" s="7">
        <f ca="1"/>
        <v>8.2014050751437821</v>
      </c>
      <c r="I134" s="3">
        <f ca="1"/>
        <v>0</v>
      </c>
      <c r="J134">
        <f ca="1"/>
        <v>8.2014050751437821</v>
      </c>
      <c r="K134">
        <f ca="1"/>
        <v>0</v>
      </c>
      <c r="L134">
        <f ca="1"/>
        <v>0</v>
      </c>
    </row>
    <row r="135" spans="2:12">
      <c r="B135">
        <v>0.25</v>
      </c>
      <c r="C135">
        <f ca="1"/>
        <v>0.19776591106092467</v>
      </c>
      <c r="D135">
        <f ca="1"/>
        <v>1</v>
      </c>
      <c r="E135">
        <f ca="1"/>
        <v>103.51570788556606</v>
      </c>
      <c r="F135" s="7">
        <f ca="1"/>
        <v>-8.2014050751437821</v>
      </c>
      <c r="G135" s="3">
        <f ca="1"/>
        <v>0</v>
      </c>
      <c r="H135" s="7">
        <f ca="1"/>
        <v>0</v>
      </c>
      <c r="I135" s="3">
        <f ca="1"/>
        <v>0</v>
      </c>
      <c r="J135">
        <f ca="1"/>
        <v>0</v>
      </c>
      <c r="K135">
        <f ca="1"/>
        <v>8.2014050751437821</v>
      </c>
      <c r="L135">
        <f ca="1"/>
        <v>0</v>
      </c>
    </row>
    <row r="136" spans="2:12">
      <c r="F136" s="7"/>
      <c r="G136" s="3"/>
      <c r="H136" s="7"/>
      <c r="I136" s="3"/>
    </row>
    <row r="137" spans="2:12">
      <c r="F137" s="7"/>
      <c r="G137" s="3"/>
      <c r="H137" s="7"/>
      <c r="I137" s="3"/>
    </row>
    <row r="138" spans="2:12">
      <c r="F138" s="7"/>
      <c r="G138" s="3"/>
      <c r="H138" s="7"/>
      <c r="I138" s="3"/>
    </row>
    <row r="139" spans="2:12">
      <c r="F139" s="7"/>
      <c r="G139" s="3"/>
      <c r="H139" s="7"/>
      <c r="I139" s="3"/>
    </row>
    <row r="140" spans="2:12">
      <c r="F140" s="7"/>
      <c r="G140" s="3"/>
      <c r="H140" s="7"/>
      <c r="I140" s="3"/>
    </row>
    <row r="141" spans="2:12">
      <c r="F141" s="7"/>
      <c r="G141" s="3"/>
      <c r="H141" s="7"/>
      <c r="I141" s="3"/>
    </row>
    <row r="142" spans="2:12">
      <c r="F142" s="7"/>
      <c r="G142" s="3"/>
      <c r="H142" s="7"/>
      <c r="I142" s="3"/>
    </row>
    <row r="143" spans="2:12">
      <c r="F143" s="7"/>
      <c r="G143" s="3"/>
      <c r="I143" s="3"/>
    </row>
    <row r="144" spans="2:12">
      <c r="F144" s="7"/>
      <c r="G144" s="3"/>
      <c r="I144" s="3"/>
    </row>
    <row r="145" spans="6:9">
      <c r="F145" s="7"/>
      <c r="G145" s="3"/>
      <c r="I145" s="3"/>
    </row>
    <row r="146" spans="6:9">
      <c r="F146" s="7"/>
      <c r="G146" s="3"/>
      <c r="I146" s="3"/>
    </row>
    <row r="147" spans="6:9">
      <c r="F147" s="7"/>
      <c r="G147" s="3"/>
      <c r="I147" s="3"/>
    </row>
    <row r="148" spans="6:9">
      <c r="F148" s="7"/>
      <c r="G148" s="3"/>
      <c r="I148" s="3"/>
    </row>
    <row r="149" spans="6:9">
      <c r="F149" s="7"/>
      <c r="G149" s="3"/>
      <c r="I149" s="3"/>
    </row>
    <row r="150" spans="6:9">
      <c r="F150" s="7"/>
      <c r="G150" s="3"/>
      <c r="I150" s="3"/>
    </row>
    <row r="151" spans="6:9">
      <c r="F151" s="7"/>
      <c r="G151" s="3"/>
      <c r="I151" s="3"/>
    </row>
    <row r="152" spans="6:9">
      <c r="F152" s="7"/>
      <c r="G152" s="3"/>
      <c r="I152" s="3"/>
    </row>
    <row r="153" spans="6:9">
      <c r="F153" s="7"/>
      <c r="G153" s="3"/>
      <c r="I153" s="3"/>
    </row>
    <row r="154" spans="6:9">
      <c r="F154" s="7"/>
      <c r="G154" s="3"/>
      <c r="I154" s="3"/>
    </row>
    <row r="155" spans="6:9">
      <c r="F155" s="7"/>
      <c r="G155" s="3"/>
      <c r="I155" s="3"/>
    </row>
    <row r="156" spans="6:9">
      <c r="F156" s="7"/>
      <c r="G156" s="3"/>
      <c r="I156" s="3"/>
    </row>
    <row r="157" spans="6:9">
      <c r="F157" s="7"/>
      <c r="G157" s="3"/>
      <c r="I157" s="3"/>
    </row>
    <row r="158" spans="6:9">
      <c r="F158" s="7"/>
      <c r="G158" s="3"/>
      <c r="I158" s="3"/>
    </row>
    <row r="159" spans="6:9">
      <c r="F159" s="7"/>
      <c r="G159" s="3"/>
      <c r="I159" s="3"/>
    </row>
    <row r="160" spans="6:9">
      <c r="F160" s="7"/>
      <c r="G160" s="3"/>
      <c r="I160" s="3"/>
    </row>
    <row r="161" spans="6:9">
      <c r="F161" s="7"/>
      <c r="G161" s="3"/>
      <c r="I161" s="3"/>
    </row>
    <row r="162" spans="6:9">
      <c r="F162" s="7"/>
      <c r="G162" s="3"/>
      <c r="I162" s="3"/>
    </row>
    <row r="163" spans="6:9">
      <c r="F163" s="7"/>
      <c r="G163" s="3"/>
      <c r="I163" s="3"/>
    </row>
    <row r="164" spans="6:9">
      <c r="F164" s="7"/>
      <c r="G164" s="3"/>
      <c r="I164" s="3"/>
    </row>
    <row r="165" spans="6:9">
      <c r="F165" s="7"/>
      <c r="G165" s="3"/>
    </row>
    <row r="166" spans="6:9">
      <c r="F166" s="7"/>
      <c r="G166" s="3"/>
    </row>
    <row r="167" spans="6:9">
      <c r="F167" s="7"/>
      <c r="G167" s="3"/>
    </row>
    <row r="168" spans="6:9">
      <c r="F168" s="7"/>
      <c r="G168" s="3"/>
    </row>
    <row r="169" spans="6:9">
      <c r="F169" s="7"/>
      <c r="G169" s="3"/>
    </row>
    <row r="170" spans="6:9">
      <c r="F170" s="7"/>
      <c r="G170" s="3"/>
    </row>
    <row r="171" spans="6:9">
      <c r="F171" s="7"/>
      <c r="G171" s="3"/>
    </row>
    <row r="172" spans="6:9">
      <c r="F172" s="7"/>
      <c r="G172" s="3"/>
    </row>
    <row r="173" spans="6:9">
      <c r="F173" s="7"/>
      <c r="G173" s="3"/>
    </row>
    <row r="174" spans="6:9">
      <c r="F174" s="7"/>
      <c r="G174" s="3"/>
    </row>
    <row r="175" spans="6:9">
      <c r="F175" s="7"/>
      <c r="G175" s="3"/>
    </row>
    <row r="176" spans="6:9">
      <c r="F176" s="7"/>
      <c r="G176" s="3"/>
    </row>
    <row r="177" spans="6:7">
      <c r="F177" s="7"/>
      <c r="G177" s="3"/>
    </row>
    <row r="178" spans="6:7">
      <c r="F178" s="7"/>
      <c r="G178" s="3"/>
    </row>
    <row r="179" spans="6:7">
      <c r="F179" s="7"/>
      <c r="G179" s="3"/>
    </row>
    <row r="180" spans="6:7">
      <c r="F180" s="7"/>
      <c r="G180" s="3"/>
    </row>
    <row r="181" spans="6:7">
      <c r="F181" s="7"/>
      <c r="G181" s="3"/>
    </row>
    <row r="182" spans="6:7">
      <c r="F182" s="7"/>
      <c r="G182" s="3"/>
    </row>
    <row r="183" spans="6:7">
      <c r="F183" s="7"/>
      <c r="G183" s="3"/>
    </row>
    <row r="184" spans="6:7">
      <c r="F184" s="7"/>
      <c r="G184" s="3"/>
    </row>
    <row r="185" spans="6:7">
      <c r="F185" s="7"/>
      <c r="G185" s="3"/>
    </row>
    <row r="186" spans="6:7">
      <c r="F186" s="7"/>
      <c r="G186" s="3"/>
    </row>
    <row r="187" spans="6:7">
      <c r="G187" s="3"/>
    </row>
    <row r="188" spans="6:7">
      <c r="G188" s="3"/>
    </row>
    <row r="189" spans="6:7">
      <c r="G189" s="3"/>
    </row>
    <row r="190" spans="6:7">
      <c r="G190" s="3"/>
    </row>
    <row r="191" spans="6:7">
      <c r="G191" s="3"/>
    </row>
    <row r="192" spans="6:7">
      <c r="G192" s="3"/>
    </row>
    <row r="193" spans="7:7">
      <c r="G193" s="3"/>
    </row>
    <row r="194" spans="7:7">
      <c r="G194" s="3"/>
    </row>
    <row r="195" spans="7:7">
      <c r="G195" s="3"/>
    </row>
    <row r="196" spans="7:7">
      <c r="G196" s="3"/>
    </row>
    <row r="197" spans="7:7">
      <c r="G197" s="3"/>
    </row>
    <row r="198" spans="7:7">
      <c r="G198" s="3"/>
    </row>
    <row r="199" spans="7:7">
      <c r="G199" s="3"/>
    </row>
    <row r="200" spans="7:7">
      <c r="G200" s="3"/>
    </row>
    <row r="201" spans="7:7">
      <c r="G201" s="3"/>
    </row>
    <row r="202" spans="7:7">
      <c r="G202" s="3"/>
    </row>
    <row r="203" spans="7:7">
      <c r="G203" s="3"/>
    </row>
    <row r="204" spans="7:7">
      <c r="G204" s="3"/>
    </row>
    <row r="205" spans="7:7">
      <c r="G205" s="3"/>
    </row>
    <row r="206" spans="7:7">
      <c r="G206" s="3"/>
    </row>
    <row r="207" spans="7:7">
      <c r="G207" s="3"/>
    </row>
    <row r="208" spans="7:7">
      <c r="G208" s="3"/>
    </row>
  </sheetData>
  <mergeCells count="3">
    <mergeCell ref="D8:E8"/>
    <mergeCell ref="F8:G8"/>
    <mergeCell ref="H8:I8"/>
  </mergeCells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Sheet1</vt:lpstr>
      <vt:lpstr>dt</vt:lpstr>
      <vt:lpstr>error</vt:lpstr>
      <vt:lpstr>f</vt:lpstr>
      <vt:lpstr>hedge</vt:lpstr>
      <vt:lpstr>k</vt:lpstr>
      <vt:lpstr>last</vt:lpstr>
      <vt:lpstr>mu</vt:lpstr>
      <vt:lpstr>payoff</vt:lpstr>
      <vt:lpstr>put</vt:lpstr>
      <vt:lpstr>sigma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Pu</dc:creator>
  <cp:lastModifiedBy>Jasper Pu</cp:lastModifiedBy>
  <dcterms:created xsi:type="dcterms:W3CDTF">2015-06-05T18:17:20Z</dcterms:created>
  <dcterms:modified xsi:type="dcterms:W3CDTF">2026-03-01T18:46:08Z</dcterms:modified>
</cp:coreProperties>
</file>